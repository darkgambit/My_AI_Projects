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up" sheetId="2" state="visible" r:id="rId2"/>
    <sheet name="Lists" sheetId="3" state="visible" r:id="rId3"/>
    <sheet name="Verint_Raw" sheetId="4" state="visible" r:id="rId4"/>
    <sheet name="IEX_Raw" sheetId="5" state="visible" r:id="rId5"/>
    <sheet name="Calc_Data" sheetId="6" state="visible" r:id="rId6"/>
    <sheet name="Dashboard" sheetId="7" state="visible" r:id="rId7"/>
    <sheet name="Reconciliation" sheetId="8" state="visible" r:id="rId8"/>
    <sheet name="DQ_Checks" sheetId="9" state="visible" r:id="rId9"/>
  </sheets>
  <definedNames>
    <definedName name="VER_DATE">Verint_Raw!$A$6:$A$10005</definedName>
    <definedName name="VER_TIME">Verint_Raw!$B$6:$B$10005</definedName>
    <definedName name="VER_END">Verint_Raw!$C$6:$C$10005</definedName>
    <definedName name="VER_INT">Verint_Raw!$D$6:$D$10005</definedName>
    <definedName name="VER_SITE">Verint_Raw!$E$6:$E$10005</definedName>
    <definedName name="VER_QUEUE">Verint_Raw!$F$6:$F$10005</definedName>
    <definedName name="VER_CHAN">Verint_Raw!$G$6:$G$10005</definedName>
    <definedName name="VER_OFFERED">Verint_Raw!$H$6:$H$10005</definedName>
    <definedName name="VER_HANDLED">Verint_Raw!$I$6:$I$10005</definedName>
    <definedName name="VER_ABAND">Verint_Raw!$J$6:$J$10005</definedName>
    <definedName name="VER_SHORT">Verint_Raw!$K$6:$K$10005</definedName>
    <definedName name="VER_ASA">Verint_Raw!$L$6:$L$10005</definedName>
    <definedName name="VER_AHT">Verint_Raw!$M$6:$M$10005</definedName>
    <definedName name="VER_TALK">Verint_Raw!$N$6:$N$10005</definedName>
    <definedName name="VER_HOLD">Verint_Raw!$O$6:$O$10005</definedName>
    <definedName name="VER_ACW">Verint_Raw!$P$6:$P$10005</definedName>
    <definedName name="VER_STAFFED">Verint_Raw!$Q$6:$Q$10005</definedName>
    <definedName name="VER_REQ">Verint_Raw!$R$6:$R$10005</definedName>
    <definedName name="VER_SL">Verint_Raw!$S$6:$S$10005</definedName>
    <definedName name="VER_WAIT">Verint_Raw!$T$6:$T$10005</definedName>
    <definedName name="VER_SRC">Verint_Raw!$U$6:$U$10005</definedName>
    <definedName name="VER_NOTES">Verint_Raw!$V$6:$V$10005</definedName>
    <definedName name="IEX_DATE">IEX_Raw!$A$6:$A$10005</definedName>
    <definedName name="IEX_TIME">IEX_Raw!$B$6:$B$10005</definedName>
    <definedName name="IEX_END">IEX_Raw!$C$6:$C$10005</definedName>
    <definedName name="IEX_INT">IEX_Raw!$D$6:$D$10005</definedName>
    <definedName name="IEX_SITE">IEX_Raw!$E$6:$E$10005</definedName>
    <definedName name="IEX_QUEUE">IEX_Raw!$F$6:$F$10005</definedName>
    <definedName name="IEX_CHAN">IEX_Raw!$G$6:$G$10005</definedName>
    <definedName name="IEX_OFFERED">IEX_Raw!$H$6:$H$10005</definedName>
    <definedName name="IEX_HANDLED">IEX_Raw!$I$6:$I$10005</definedName>
    <definedName name="IEX_ABAND">IEX_Raw!$J$6:$J$10005</definedName>
    <definedName name="IEX_SHORT">IEX_Raw!$K$6:$K$10005</definedName>
    <definedName name="IEX_ASA">IEX_Raw!$L$6:$L$10005</definedName>
    <definedName name="IEX_AHT">IEX_Raw!$M$6:$M$10005</definedName>
    <definedName name="IEX_TALK">IEX_Raw!$N$6:$N$10005</definedName>
    <definedName name="IEX_HOLD">IEX_Raw!$O$6:$O$10005</definedName>
    <definedName name="IEX_ACW">IEX_Raw!$P$6:$P$10005</definedName>
    <definedName name="IEX_STAFFED">IEX_Raw!$Q$6:$Q$10005</definedName>
    <definedName name="IEX_REQ">IEX_Raw!$R$6:$R$10005</definedName>
    <definedName name="IEX_SL">IEX_Raw!$S$6:$S$10005</definedName>
    <definedName name="IEX_WAIT">IEX_Raw!$T$6:$T$10005</definedName>
    <definedName name="IEX_SRC">IEX_Raw!$U$6:$U$10005</definedName>
    <definedName name="IEX_NOTES">IEX_Raw!$V$6:$V$10005</definedName>
    <definedName name="LIST_SITES">Lists!$A$5:$A$8</definedName>
    <definedName name="LIST_QUEUES">Lists!$B$5:$B$14</definedName>
    <definedName name="LIST_CHANNELS">Lists!$C$5:$C$9</definedName>
    <definedName name="LIST_SITES_FILTER">Lists!$G$5:$G$9</definedName>
    <definedName name="LIST_QUEUES_FILTER">Lists!$H$5:$H$15</definedName>
    <definedName name="LIST_CHANNELS_FILTER">Lists!$I$5:$I$10</definedName>
    <definedName name="_xlnm._FilterDatabase" localSheetId="3" hidden="1">'Verint_Raw'!$A$5:$V$10005</definedName>
    <definedName name="_xlnm._FilterDatabase" localSheetId="4" hidden="1">'IEX_Raw'!$A$5:$V$10005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hh:mm"/>
    <numFmt numFmtId="167" formatCode="#,##0.0"/>
    <numFmt numFmtId="168" formatCode="0.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B6B7A"/>
      <sz val="9"/>
    </font>
    <font>
      <name val="Calibri"/>
      <b val="1"/>
      <color rgb="000F2B46"/>
      <sz val="10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color rgb="000F2B46"/>
      <sz val="9"/>
    </font>
    <font>
      <name val="Calibri"/>
      <color rgb="005B6B7A"/>
      <sz val="9"/>
    </font>
    <font>
      <name val="Calibri"/>
      <color rgb="001A1A1A"/>
      <sz val="9"/>
    </font>
    <font>
      <name val="Calibri"/>
      <b val="1"/>
      <color rgb="00FFFFFF"/>
      <sz val="9"/>
    </font>
    <font>
      <name val="Calibri"/>
      <b val="1"/>
      <color rgb="000F2B46"/>
      <sz val="9"/>
    </font>
    <font>
      <name val="Calibri"/>
      <color rgb="001A1A1A"/>
      <sz val="8"/>
    </font>
    <font>
      <name val="Calibri"/>
      <color rgb="000F2B46"/>
      <sz val="11"/>
    </font>
    <font>
      <name val="Calibri"/>
      <b val="1"/>
      <color rgb="000E7C86"/>
      <sz val="11"/>
    </font>
    <font>
      <name val="Calibri"/>
      <color rgb="005B6B7A"/>
      <sz val="10"/>
    </font>
    <font>
      <name val="Calibri"/>
      <b val="1"/>
      <color rgb="005B6B7A"/>
      <sz val="9"/>
    </font>
    <font>
      <name val="Calibri"/>
      <b val="1"/>
      <color rgb="000E7C86"/>
      <sz val="9"/>
    </font>
    <font>
      <name val="Calibri"/>
      <i val="1"/>
      <color rgb="00B7791F"/>
      <sz val="9"/>
    </font>
    <font>
      <name val="Calibri"/>
      <i val="1"/>
      <color rgb="005B6B7A"/>
      <sz val="8"/>
    </font>
    <font>
      <name val="Calibri"/>
      <b val="1"/>
      <color rgb="00FFFFFF"/>
      <sz val="8"/>
    </font>
    <font>
      <name val="Calibri"/>
      <b val="1"/>
      <color rgb="000F2B46"/>
      <sz val="11"/>
    </font>
    <font>
      <name val="Calibri"/>
      <b val="1"/>
      <color rgb="000F2B46"/>
      <sz val="21"/>
    </font>
    <font>
      <name val="Calibri"/>
      <b val="1"/>
      <color rgb="00B23B3B"/>
      <sz val="11"/>
    </font>
    <font>
      <name val="Calibri"/>
      <b val="1"/>
      <color rgb="001F6FB2"/>
      <sz val="9"/>
    </font>
    <font>
      <name val="Calibri"/>
      <sz val="9"/>
    </font>
    <font>
      <name val="Calibri"/>
      <b val="1"/>
      <sz val="9"/>
    </font>
    <font>
      <name val="Calibri"/>
      <b val="1"/>
      <color rgb="00B23B3B"/>
      <sz val="9"/>
    </font>
    <font>
      <name val="Calibri"/>
      <b val="1"/>
      <color rgb="00B23B3B"/>
      <sz val="14"/>
    </font>
  </fonts>
  <fills count="18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EAF2F8"/>
      </patternFill>
    </fill>
    <fill>
      <patternFill patternType="solid">
        <fgColor rgb="001F6FB2"/>
      </patternFill>
    </fill>
    <fill>
      <patternFill patternType="solid">
        <fgColor rgb="00C05621"/>
      </patternFill>
    </fill>
    <fill>
      <patternFill patternType="solid">
        <fgColor rgb="008A93A5"/>
      </patternFill>
    </fill>
    <fill>
      <patternFill patternType="solid">
        <fgColor rgb="001E7B4D"/>
      </patternFill>
    </fill>
    <fill>
      <patternFill patternType="solid">
        <fgColor rgb="00B7791F"/>
      </patternFill>
    </fill>
    <fill>
      <patternFill patternType="solid">
        <fgColor rgb="00B23B3B"/>
      </patternFill>
    </fill>
    <fill>
      <patternFill patternType="solid">
        <fgColor rgb="005B6B7A"/>
      </patternFill>
    </fill>
    <fill>
      <patternFill patternType="solid">
        <fgColor rgb="000E7C86"/>
      </patternFill>
    </fill>
    <fill>
      <patternFill patternType="solid">
        <fgColor rgb="001D4E76"/>
      </patternFill>
    </fill>
    <fill>
      <patternFill patternType="solid">
        <fgColor rgb="003E7CA6"/>
      </patternFill>
    </fill>
    <fill>
      <patternFill patternType="solid">
        <fgColor rgb="006B5B95"/>
      </patternFill>
    </fill>
    <fill>
      <patternFill patternType="solid">
        <fgColor rgb="00F7FAFC"/>
      </patternFill>
    </fill>
    <fill>
      <patternFill patternType="solid">
        <fgColor rgb="00FFF4E0"/>
      </patternFill>
    </fill>
    <fill>
      <patternFill patternType="solid">
        <fgColor rgb="00F4F8FB"/>
      </patternFill>
    </fill>
  </fills>
  <borders count="4">
    <border>
      <left/>
      <right/>
      <top/>
      <bottom/>
      <diagonal/>
    </border>
    <border>
      <bottom style="thin">
        <color rgb="00C9D6E2"/>
      </bottom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  <border>
      <top style="thin">
        <color rgb="000F2B46"/>
      </top>
      <bottom style="double">
        <color rgb="000F2B46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indent="1"/>
    </xf>
    <xf numFmtId="0" fontId="9" fillId="11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3" fillId="0" borderId="0" pivotButton="0" quotePrefix="0" xfId="0"/>
    <xf numFmtId="164" fontId="12" fillId="3" borderId="2" applyAlignment="1" pivotButton="0" quotePrefix="0" xfId="0">
      <alignment horizontal="center" vertical="center"/>
    </xf>
    <xf numFmtId="0" fontId="2" fillId="0" borderId="0" pivotButton="0" quotePrefix="0" xfId="0"/>
    <xf numFmtId="1" fontId="12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165" fontId="12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5" fillId="12" borderId="2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9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164" fontId="0" fillId="16" borderId="1" pivotButton="0" quotePrefix="0" xfId="0"/>
    <xf numFmtId="0" fontId="0" fillId="16" borderId="1" pivotButton="0" quotePrefix="0" xfId="0"/>
    <xf numFmtId="0" fontId="0" fillId="15" borderId="1" pivotButton="0" quotePrefix="0" xfId="0"/>
    <xf numFmtId="0" fontId="7" fillId="0" borderId="0" pivotButton="0" quotePrefix="0" xfId="0"/>
    <xf numFmtId="164" fontId="1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8" fillId="0" borderId="0" pivotButton="0" quotePrefix="0" xfId="0"/>
    <xf numFmtId="1" fontId="10" fillId="0" borderId="0" applyAlignment="1" pivotButton="0" quotePrefix="0" xfId="0">
      <alignment horizontal="center"/>
    </xf>
    <xf numFmtId="49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0" fontId="9" fillId="12" borderId="2" applyAlignment="1" pivotButton="0" quotePrefix="0" xfId="0">
      <alignment horizontal="left" vertical="center" indent="1"/>
    </xf>
    <xf numFmtId="0" fontId="6" fillId="0" borderId="1" pivotButton="0" quotePrefix="0" xfId="0"/>
    <xf numFmtId="3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0" fontId="19" fillId="12" borderId="2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/>
    </xf>
    <xf numFmtId="49" fontId="8" fillId="0" borderId="1" applyAlignment="1" pivotButton="0" quotePrefix="0" xfId="0">
      <alignment horizontal="center"/>
    </xf>
    <xf numFmtId="3" fontId="8" fillId="0" borderId="1" pivotButton="0" quotePrefix="0" xfId="0"/>
    <xf numFmtId="165" fontId="8" fillId="0" borderId="1" pivotButton="0" quotePrefix="0" xfId="0"/>
    <xf numFmtId="167" fontId="8" fillId="0" borderId="1" pivotButton="0" quotePrefix="0" xfId="0"/>
    <xf numFmtId="166" fontId="8" fillId="0" borderId="1" applyAlignment="1" pivotButton="0" quotePrefix="0" xfId="0">
      <alignment horizontal="center"/>
    </xf>
    <xf numFmtId="49" fontId="8" fillId="0" borderId="1" pivotButton="0" quotePrefix="0" xfId="0"/>
    <xf numFmtId="49" fontId="6" fillId="0" borderId="1" pivotButton="0" quotePrefix="0" xfId="0"/>
    <xf numFmtId="0" fontId="20" fillId="0" borderId="0" pivotButton="0" quotePrefix="0" xfId="0"/>
    <xf numFmtId="0" fontId="19" fillId="12" borderId="2" applyAlignment="1" pivotButton="0" quotePrefix="0" xfId="0">
      <alignment horizontal="center" vertical="center"/>
    </xf>
    <xf numFmtId="0" fontId="0" fillId="0" borderId="2" pivotButton="0" quotePrefix="0" xfId="0"/>
    <xf numFmtId="0" fontId="19" fillId="9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3" fontId="21" fillId="17" borderId="2" applyAlignment="1" pivotButton="0" quotePrefix="0" xfId="0">
      <alignment horizontal="center" vertical="center"/>
    </xf>
    <xf numFmtId="165" fontId="21" fillId="17" borderId="2" applyAlignment="1" pivotButton="0" quotePrefix="0" xfId="0">
      <alignment horizontal="center" vertical="center"/>
    </xf>
    <xf numFmtId="167" fontId="21" fillId="17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165" fontId="20" fillId="0" borderId="0" applyAlignment="1" pivotButton="0" quotePrefix="0" xfId="0">
      <alignment horizontal="center"/>
    </xf>
    <xf numFmtId="0" fontId="23" fillId="0" borderId="0" pivotButton="0" quotePrefix="0" xfId="0"/>
    <xf numFmtId="0" fontId="18" fillId="0" borderId="0" applyAlignment="1" pivotButton="0" quotePrefix="0" xfId="0">
      <alignment horizontal="left" indent="1"/>
    </xf>
    <xf numFmtId="164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9" fillId="11" borderId="2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3" fontId="24" fillId="0" borderId="1" pivotButton="0" quotePrefix="0" xfId="0"/>
    <xf numFmtId="165" fontId="24" fillId="0" borderId="1" pivotButton="0" quotePrefix="0" xfId="0"/>
    <xf numFmtId="168" fontId="24" fillId="0" borderId="1" pivotButton="0" quotePrefix="0" xfId="0"/>
    <xf numFmtId="167" fontId="24" fillId="0" borderId="1" pivotButton="0" quotePrefix="0" xfId="0"/>
    <xf numFmtId="0" fontId="25" fillId="0" borderId="1" applyAlignment="1" pivotButton="0" quotePrefix="0" xfId="0">
      <alignment horizontal="center"/>
    </xf>
    <xf numFmtId="0" fontId="3" fillId="3" borderId="3" pivotButton="0" quotePrefix="0" xfId="0"/>
    <xf numFmtId="0" fontId="10" fillId="3" borderId="3" applyAlignment="1" pivotButton="0" quotePrefix="0" xfId="0">
      <alignment horizontal="right"/>
    </xf>
    <xf numFmtId="3" fontId="10" fillId="3" borderId="3" applyAlignment="1" pivotButton="0" quotePrefix="0" xfId="0">
      <alignment horizontal="right"/>
    </xf>
    <xf numFmtId="165" fontId="10" fillId="3" borderId="3" applyAlignment="1" pivotButton="0" quotePrefix="0" xfId="0">
      <alignment horizontal="right"/>
    </xf>
    <xf numFmtId="168" fontId="10" fillId="3" borderId="3" applyAlignment="1" pivotButton="0" quotePrefix="0" xfId="0">
      <alignment horizontal="right"/>
    </xf>
    <xf numFmtId="167" fontId="10" fillId="3" borderId="3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center"/>
    </xf>
    <xf numFmtId="0" fontId="7" fillId="0" borderId="1" pivotButton="0" quotePrefix="0" xfId="0"/>
    <xf numFmtId="0" fontId="27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B23B3B"/>
      </font>
      <fill>
        <patternFill patternType="solid">
          <fgColor rgb="00FBE4E4"/>
        </patternFill>
      </fill>
    </dxf>
    <dxf>
      <font>
        <color rgb="001E7B4D"/>
      </font>
      <fill>
        <patternFill patternType="solid">
          <fgColor rgb="00E3F2E8"/>
        </patternFill>
      </fill>
    </dxf>
    <dxf>
      <font>
        <b val="1"/>
        <color rgb="001E7B4D"/>
      </font>
      <fill>
        <patternFill patternType="solid">
          <fgColor rgb="00E3F2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Daily contact volume - Verint vs IEX</a:t>
            </a:r>
          </a:p>
        </rich>
      </tx>
    </title>
    <plotArea>
      <lineChart>
        <grouping val="standard"/>
        <ser>
          <idx val="0"/>
          <order val="0"/>
          <tx>
            <strRef>
              <f>'Calc_Data'!C31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'Calc_Data'!$C$32:$C$62</f>
            </numRef>
          </val>
          <smooth val="0"/>
        </ser>
        <ser>
          <idx val="1"/>
          <order val="1"/>
          <tx>
            <strRef>
              <f>'Calc_Data'!D31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'Calc_Data'!$D$32:$D$62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Contacts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Daily service level &amp; abandon rate</a:t>
            </a:r>
          </a:p>
        </rich>
      </tx>
    </title>
    <plotArea>
      <lineChart>
        <grouping val="standard"/>
        <ser>
          <idx val="0"/>
          <order val="0"/>
          <tx>
            <strRef>
              <f>'Calc_Data'!K31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'Calc_Data'!$K$32:$K$62</f>
            </numRef>
          </val>
        </ser>
        <ser>
          <idx val="1"/>
          <order val="1"/>
          <tx>
            <strRef>
              <f>'Calc_Data'!L31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'Calc_Data'!$L$32:$L$62</f>
            </numRef>
          </val>
        </ser>
        <ser>
          <idx val="2"/>
          <order val="2"/>
          <tx>
            <strRef>
              <f>'Calc_Data'!I31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'Calc_Data'!$I$32:$I$62</f>
            </numRef>
          </val>
        </ser>
        <ser>
          <idx val="3"/>
          <order val="3"/>
          <tx>
            <strRef>
              <f>'Calc_Data'!J31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'Calc_Data'!$A$32:$A$62</f>
            </numRef>
          </cat>
          <val>
            <numRef>
              <f>'Calc_Data'!$J$32:$J$62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Interval profile - contacts offered by interval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'Calc_Data'!C65</f>
            </strRef>
          </tx>
          <spPr>
            <a:ln>
              <a:prstDash val="solid"/>
            </a:ln>
          </spPr>
          <cat>
            <numRef>
              <f>'Calc_Data'!$B$66:$B$113</f>
            </numRef>
          </cat>
          <val>
            <numRef>
              <f>'Calc_Data'!$C$66:$C$113</f>
            </numRef>
          </val>
        </ser>
        <ser>
          <idx val="1"/>
          <order val="1"/>
          <tx>
            <strRef>
              <f>'Calc_Data'!D65</f>
            </strRef>
          </tx>
          <spPr>
            <a:ln>
              <a:prstDash val="solid"/>
            </a:ln>
          </spPr>
          <cat>
            <numRef>
              <f>'Calc_Data'!$B$66:$B$113</f>
            </numRef>
          </cat>
          <val>
            <numRef>
              <f>'Calc_Data'!$D$66:$D$113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Contacts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Queue / skill mix - offered by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'Calc_Data'!B117</f>
            </strRef>
          </tx>
          <spPr>
            <a:ln>
              <a:prstDash val="solid"/>
            </a:ln>
          </spPr>
          <cat>
            <numRef>
              <f>'Calc_Data'!$A$118:$A$127</f>
            </numRef>
          </cat>
          <val>
            <numRef>
              <f>'Calc_Data'!$B$118:$B$127</f>
            </numRef>
          </val>
        </ser>
        <ser>
          <idx val="1"/>
          <order val="1"/>
          <tx>
            <strRef>
              <f>'Calc_Data'!C117</f>
            </strRef>
          </tx>
          <spPr>
            <a:ln>
              <a:prstDash val="solid"/>
            </a:ln>
          </spPr>
          <cat>
            <numRef>
              <f>'Calc_Data'!$A$118:$A$127</f>
            </numRef>
          </cat>
          <val>
            <numRef>
              <f>'Calc_Data'!$C$118:$C$127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Contacts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5472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472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5472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37</row>
      <rowOff>0</rowOff>
    </from>
    <ext cx="5472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Reconciliation!A1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tabColor rgb="000F2B46"/>
    <outlinePr summaryBelow="1" summaryRight="1"/>
    <pageSetUpPr fitToPage="1"/>
  </sheetPr>
  <dimension ref="A1:F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30" customWidth="1" min="4" max="4"/>
    <col width="18" customWidth="1" min="5" max="5"/>
    <col width="46" customWidth="1" min="6" max="6"/>
    <col width="3" customWidth="1" min="7" max="7"/>
    <col width="3" customWidth="1" min="8" max="8"/>
  </cols>
  <sheetData>
    <row r="1" ht="38" customHeight="1">
      <c r="A1" s="1" t="inlineStr">
        <is>
          <t>VERINT + IEX RAW DATA TEMPLATE</t>
        </is>
      </c>
    </row>
    <row r="2" ht="18" customHeight="1">
      <c r="A2" s="2" t="inlineStr">
        <is>
          <t>One schema, two sources, one reconciled view of interval performance.</t>
        </is>
      </c>
    </row>
    <row r="4" ht="20" customHeight="1">
      <c r="A4" s="3" t="inlineStr">
        <is>
          <t>WHAT THIS WORKBOOK DOES</t>
        </is>
      </c>
      <c r="B4" s="4" t="n"/>
      <c r="C4" s="4" t="n"/>
      <c r="D4" s="4" t="n"/>
      <c r="E4" s="4" t="n"/>
      <c r="F4" s="4" t="n"/>
    </row>
    <row r="5" ht="32" customHeight="1">
      <c r="B5" s="5" t="inlineStr">
        <is>
          <t>Captures raw Verint Workforce Management and IEX TotalView interval exports, keeps them untouched, then calculates the same KPIs for both sources and reconciles them day by day.</t>
        </is>
      </c>
    </row>
    <row r="6" ht="32" customHeight="1">
      <c r="B6" s="5" t="inlineStr">
        <is>
          <t>Use it to answer three questions every WFM cycle: what happened (volume, handle time, service level), does the data agree across systems, and where is staffing short of requirement.</t>
        </is>
      </c>
    </row>
    <row r="8" ht="20" customHeight="1">
      <c r="A8" s="3" t="inlineStr">
        <is>
          <t>SHEET MAP</t>
        </is>
      </c>
      <c r="B8" s="4" t="n"/>
      <c r="C8" s="4" t="n"/>
      <c r="D8" s="4" t="n"/>
      <c r="E8" s="4" t="n"/>
      <c r="F8" s="4" t="n"/>
    </row>
    <row r="9">
      <c r="B9" s="6" t="inlineStr">
        <is>
          <t>README</t>
        </is>
      </c>
      <c r="C9" s="7" t="inlineStr">
        <is>
          <t>This guide</t>
        </is>
      </c>
      <c r="D9" s="4" t="n"/>
      <c r="E9" s="4" t="n"/>
      <c r="F9" s="8" t="inlineStr">
        <is>
          <t>Read first.</t>
        </is>
      </c>
    </row>
    <row r="10">
      <c r="B10" s="9" t="inlineStr">
        <is>
          <t>Setup</t>
        </is>
      </c>
      <c r="C10" s="7" t="inlineStr">
        <is>
          <t>Period, filters, tolerance</t>
        </is>
      </c>
      <c r="D10" s="4" t="n"/>
      <c r="E10" s="4" t="n"/>
      <c r="F10" s="8" t="inlineStr">
        <is>
          <t>Only place you change inputs.</t>
        </is>
      </c>
    </row>
    <row r="11">
      <c r="B11" s="10" t="inlineStr">
        <is>
          <t>Verint_Raw</t>
        </is>
      </c>
      <c r="C11" s="7" t="inlineStr">
        <is>
          <t>Paste the Verint export</t>
        </is>
      </c>
      <c r="D11" s="4" t="n"/>
      <c r="E11" s="4" t="n"/>
      <c r="F11" s="8" t="inlineStr">
        <is>
          <t>Data only - no formulas.</t>
        </is>
      </c>
    </row>
    <row r="12">
      <c r="B12" s="10" t="inlineStr">
        <is>
          <t>IEX_Raw</t>
        </is>
      </c>
      <c r="C12" s="7" t="inlineStr">
        <is>
          <t>Paste the IEX export</t>
        </is>
      </c>
      <c r="D12" s="4" t="n"/>
      <c r="E12" s="4" t="n"/>
      <c r="F12" s="8" t="inlineStr">
        <is>
          <t>Data only - no formulas.</t>
        </is>
      </c>
    </row>
    <row r="13">
      <c r="B13" s="11" t="inlineStr">
        <is>
          <t>Calc_Data</t>
        </is>
      </c>
      <c r="C13" s="7" t="inlineStr">
        <is>
          <t>Calculation engine</t>
        </is>
      </c>
      <c r="D13" s="4" t="n"/>
      <c r="E13" s="4" t="n"/>
      <c r="F13" s="8" t="inlineStr">
        <is>
          <t>Totals, daily trend, interval profile, queue mix.</t>
        </is>
      </c>
    </row>
    <row r="14">
      <c r="B14" s="12" t="inlineStr">
        <is>
          <t>Dashboard</t>
        </is>
      </c>
      <c r="C14" s="7" t="inlineStr">
        <is>
          <t>KPIs and charts</t>
        </is>
      </c>
      <c r="D14" s="4" t="n"/>
      <c r="E14" s="4" t="n"/>
      <c r="F14" s="8" t="inlineStr">
        <is>
          <t>Reads Calc_Data using the Setup source.</t>
        </is>
      </c>
    </row>
    <row r="15">
      <c r="B15" s="13" t="inlineStr">
        <is>
          <t>Reconciliation</t>
        </is>
      </c>
      <c r="C15" s="7" t="inlineStr">
        <is>
          <t>Verint vs IEX by day</t>
        </is>
      </c>
      <c r="D15" s="4" t="n"/>
      <c r="E15" s="4" t="n"/>
      <c r="F15" s="8" t="inlineStr">
        <is>
          <t>Variance flags against the tolerance.</t>
        </is>
      </c>
    </row>
    <row r="16">
      <c r="B16" s="14" t="inlineStr">
        <is>
          <t>DQ_Checks</t>
        </is>
      </c>
      <c r="C16" s="7" t="inlineStr">
        <is>
          <t>Data quality rules</t>
        </is>
      </c>
      <c r="D16" s="4" t="n"/>
      <c r="E16" s="4" t="n"/>
      <c r="F16" s="8" t="inlineStr">
        <is>
          <t>Fix FAIL rows before reporting.</t>
        </is>
      </c>
    </row>
    <row r="17">
      <c r="B17" s="15" t="inlineStr">
        <is>
          <t>Lists</t>
        </is>
      </c>
      <c r="C17" s="7" t="inlineStr">
        <is>
          <t>Sites, queues, channels</t>
        </is>
      </c>
      <c r="D17" s="4" t="n"/>
      <c r="E17" s="4" t="n"/>
      <c r="F17" s="8" t="inlineStr">
        <is>
          <t>Feeds every dropdown and the queue mix.</t>
        </is>
      </c>
    </row>
    <row r="19" ht="20" customHeight="1">
      <c r="A19" s="3" t="inlineStr">
        <is>
          <t>WORKFLOW</t>
        </is>
      </c>
      <c r="B19" s="4" t="n"/>
      <c r="C19" s="4" t="n"/>
      <c r="D19" s="4" t="n"/>
      <c r="E19" s="4" t="n"/>
      <c r="F19" s="4" t="n"/>
    </row>
    <row r="20" ht="20" customHeight="1">
      <c r="B20" s="16" t="inlineStr">
        <is>
          <t>1.  Set the month</t>
        </is>
      </c>
      <c r="C20" s="17" t="inlineStr">
        <is>
          <t>Setup!B5 = first day of the reporting month. Period End calculates itself.</t>
        </is>
      </c>
      <c r="D20" s="4" t="n"/>
      <c r="E20" s="4" t="n"/>
      <c r="F20" s="4" t="n"/>
    </row>
    <row r="21" ht="20" customHeight="1">
      <c r="B21" s="16" t="inlineStr">
        <is>
          <t>2.  Paste Verint</t>
        </is>
      </c>
      <c r="C21" s="17" t="inlineStr">
        <is>
          <t>Verint_Raw rows 6+ - align to the header row, paste as values.</t>
        </is>
      </c>
      <c r="D21" s="4" t="n"/>
      <c r="E21" s="4" t="n"/>
      <c r="F21" s="4" t="n"/>
    </row>
    <row r="22" ht="20" customHeight="1">
      <c r="B22" s="16" t="inlineStr">
        <is>
          <t>3.  Paste IEX</t>
        </is>
      </c>
      <c r="C22" s="17" t="inlineStr">
        <is>
          <t>IEX_Raw rows 6+ - same schema, same order.</t>
        </is>
      </c>
      <c r="D22" s="4" t="n"/>
      <c r="E22" s="4" t="n"/>
      <c r="F22" s="4" t="n"/>
    </row>
    <row r="23" ht="20" customHeight="1">
      <c r="B23" s="16" t="inlineStr">
        <is>
          <t>4.  Clear the sample</t>
        </is>
      </c>
      <c r="C23" s="17" t="inlineStr">
        <is>
          <t>Delete rows 6:101 on both raw sheets when you go live.</t>
        </is>
      </c>
      <c r="D23" s="4" t="n"/>
      <c r="E23" s="4" t="n"/>
      <c r="F23" s="4" t="n"/>
    </row>
    <row r="24" ht="20" customHeight="1">
      <c r="B24" s="16" t="inlineStr">
        <is>
          <t>5.  Run DQ_Checks</t>
        </is>
      </c>
      <c r="C24" s="17" t="inlineStr">
        <is>
          <t>Every FAIL row is a real data problem - fix it at source.</t>
        </is>
      </c>
      <c r="D24" s="4" t="n"/>
      <c r="E24" s="4" t="n"/>
      <c r="F24" s="4" t="n"/>
    </row>
    <row r="25" ht="20" customHeight="1">
      <c r="B25" s="16" t="inlineStr">
        <is>
          <t>6.  Read the Dashboard</t>
        </is>
      </c>
      <c r="C25" s="17" t="inlineStr">
        <is>
          <t>Pick VERINT, IEX or COMBINED in Setup!B13.</t>
        </is>
      </c>
      <c r="D25" s="4" t="n"/>
      <c r="E25" s="4" t="n"/>
      <c r="F25" s="4" t="n"/>
    </row>
    <row r="26" ht="20" customHeight="1">
      <c r="B26" s="16" t="inlineStr">
        <is>
          <t>7.  Reconcile</t>
        </is>
      </c>
      <c r="C26" s="17" t="inlineStr">
        <is>
          <t>Reconciliation compares both pulls per day; investigate REVIEW rows.</t>
        </is>
      </c>
      <c r="D26" s="4" t="n"/>
      <c r="E26" s="4" t="n"/>
      <c r="F26" s="4" t="n"/>
    </row>
    <row r="28" ht="20" customHeight="1">
      <c r="A28" s="3" t="inlineStr">
        <is>
          <t>COLUMN DICTIONARY  (identical schema on both raw sheets)</t>
        </is>
      </c>
      <c r="B28" s="4" t="n"/>
      <c r="C28" s="4" t="n"/>
      <c r="D28" s="4" t="n"/>
      <c r="E28" s="4" t="n"/>
      <c r="F28" s="4" t="n"/>
    </row>
    <row r="29" ht="20" customHeight="1">
      <c r="B29" s="18" t="inlineStr">
        <is>
          <t>Column</t>
        </is>
      </c>
      <c r="C29" s="18" t="inlineStr">
        <is>
          <t>Verint export name</t>
        </is>
      </c>
      <c r="D29" s="18" t="inlineStr">
        <is>
          <t>IEX TotalView name</t>
        </is>
      </c>
      <c r="E29" s="18" t="inlineStr">
        <is>
          <t>Type / format</t>
        </is>
      </c>
      <c r="F29" s="18" t="inlineStr">
        <is>
          <t>Notes</t>
        </is>
      </c>
    </row>
    <row r="30" ht="22" customHeight="1">
      <c r="B30" s="19" t="inlineStr">
        <is>
          <t>Date</t>
        </is>
      </c>
      <c r="C30" s="20" t="inlineStr">
        <is>
          <t>Date / Interval Date</t>
        </is>
      </c>
      <c r="D30" s="20" t="inlineStr">
        <is>
          <t>Date / Start Date</t>
        </is>
      </c>
      <c r="E30" s="20" t="inlineStr">
        <is>
          <t>Date (yyyy-mm-dd)</t>
        </is>
      </c>
      <c r="F30" s="20" t="inlineStr">
        <is>
          <t>Interval start date, not the file date.</t>
        </is>
      </c>
    </row>
    <row r="31" ht="22" customHeight="1">
      <c r="B31" s="19" t="inlineStr">
        <is>
          <t>Interval Start</t>
        </is>
      </c>
      <c r="C31" s="20" t="inlineStr">
        <is>
          <t>Interval Start / Start Time</t>
        </is>
      </c>
      <c r="D31" s="20" t="inlineStr">
        <is>
          <t>Interval / Start Time</t>
        </is>
      </c>
      <c r="E31" s="20" t="inlineStr">
        <is>
          <t>Time (hh:mm)</t>
        </is>
      </c>
      <c r="F31" s="20" t="inlineStr">
        <is>
          <t>Time only - never a date-time value.</t>
        </is>
      </c>
    </row>
    <row r="32" ht="22" customHeight="1">
      <c r="B32" s="19" t="inlineStr">
        <is>
          <t>Interval End</t>
        </is>
      </c>
      <c r="C32" s="20" t="inlineStr">
        <is>
          <t>Interval End / End Time</t>
        </is>
      </c>
      <c r="D32" s="20" t="inlineStr">
        <is>
          <t>End Time</t>
        </is>
      </c>
      <c r="E32" s="20" t="inlineStr">
        <is>
          <t>Time (hh:mm)</t>
        </is>
      </c>
      <c r="F32" s="20" t="inlineStr">
        <is>
          <t>Optional but recommended.</t>
        </is>
      </c>
    </row>
    <row r="33" ht="22" customHeight="1">
      <c r="B33" s="19" t="inlineStr">
        <is>
          <t>Interval</t>
        </is>
      </c>
      <c r="C33" s="20" t="inlineStr">
        <is>
          <t>Interval / Interval Name</t>
        </is>
      </c>
      <c r="D33" s="20" t="inlineStr">
        <is>
          <t>Interval Label</t>
        </is>
      </c>
      <c r="E33" s="20" t="inlineStr">
        <is>
          <t>Text</t>
        </is>
      </c>
      <c r="F33" s="20" t="inlineStr">
        <is>
          <t>Optional display label.</t>
        </is>
      </c>
    </row>
    <row r="34" ht="22" customHeight="1">
      <c r="B34" s="19" t="inlineStr">
        <is>
          <t>Site</t>
        </is>
      </c>
      <c r="C34" s="20" t="inlineStr">
        <is>
          <t>Site / Location</t>
        </is>
      </c>
      <c r="D34" s="20" t="inlineStr">
        <is>
          <t>Location / Site</t>
        </is>
      </c>
      <c r="E34" s="20" t="inlineStr">
        <is>
          <t>Text</t>
        </is>
      </c>
      <c r="F34" s="20" t="inlineStr">
        <is>
          <t>Must match Lists column A.</t>
        </is>
      </c>
    </row>
    <row r="35" ht="22" customHeight="1">
      <c r="B35" s="19" t="inlineStr">
        <is>
          <t>Queue / Skill</t>
        </is>
      </c>
      <c r="C35" s="20" t="inlineStr">
        <is>
          <t>Queue / Queue Name</t>
        </is>
      </c>
      <c r="D35" s="20" t="inlineStr">
        <is>
          <t>Skill / Skill Name</t>
        </is>
      </c>
      <c r="E35" s="20" t="inlineStr">
        <is>
          <t>Text</t>
        </is>
      </c>
      <c r="F35" s="20" t="inlineStr">
        <is>
          <t>Must match Lists column B.</t>
        </is>
      </c>
    </row>
    <row r="36" ht="22" customHeight="1">
      <c r="B36" s="19" t="inlineStr">
        <is>
          <t>Channel</t>
        </is>
      </c>
      <c r="C36" s="20" t="inlineStr">
        <is>
          <t>Channel / Media Type</t>
        </is>
      </c>
      <c r="D36" s="20" t="inlineStr">
        <is>
          <t>Channel / Media</t>
        </is>
      </c>
      <c r="E36" s="20" t="inlineStr">
        <is>
          <t>Text</t>
        </is>
      </c>
      <c r="F36" s="20" t="inlineStr">
        <is>
          <t>Voice, Chat, Email, Social, Backoffice.</t>
        </is>
      </c>
    </row>
    <row r="37" ht="22" customHeight="1">
      <c r="B37" s="19" t="inlineStr">
        <is>
          <t>Offered</t>
        </is>
      </c>
      <c r="C37" s="20" t="inlineStr">
        <is>
          <t>Offered / Contacts Offered</t>
        </is>
      </c>
      <c r="D37" s="20" t="inlineStr">
        <is>
          <t>Offered / Total Offered</t>
        </is>
      </c>
      <c r="E37" s="20" t="inlineStr">
        <is>
          <t>Integer</t>
        </is>
      </c>
      <c r="F37" s="20" t="inlineStr">
        <is>
          <t>Contacts that arrived in the interval.</t>
        </is>
      </c>
    </row>
    <row r="38" ht="22" customHeight="1">
      <c r="B38" s="19" t="inlineStr">
        <is>
          <t>Handled</t>
        </is>
      </c>
      <c r="C38" s="20" t="inlineStr">
        <is>
          <t>Handled / Answered</t>
        </is>
      </c>
      <c r="D38" s="20" t="inlineStr">
        <is>
          <t>Handled / Answered</t>
        </is>
      </c>
      <c r="E38" s="20" t="inlineStr">
        <is>
          <t>Integer</t>
        </is>
      </c>
      <c r="F38" s="20" t="inlineStr">
        <is>
          <t>Contacts answered by an agent.</t>
        </is>
      </c>
    </row>
    <row r="39" ht="22" customHeight="1">
      <c r="B39" s="19" t="inlineStr">
        <is>
          <t>Abandoned</t>
        </is>
      </c>
      <c r="C39" s="20" t="inlineStr">
        <is>
          <t>Abandoned / Abandons</t>
        </is>
      </c>
      <c r="D39" s="20" t="inlineStr">
        <is>
          <t>Abandoned</t>
        </is>
      </c>
      <c r="E39" s="20" t="inlineStr">
        <is>
          <t>Integer</t>
        </is>
      </c>
      <c r="F39" s="20" t="inlineStr">
        <is>
          <t>Offered minus handled is the sanity check.</t>
        </is>
      </c>
    </row>
    <row r="40" ht="22" customHeight="1">
      <c r="B40" s="19" t="inlineStr">
        <is>
          <t>Short Abandoned</t>
        </is>
      </c>
      <c r="C40" s="20" t="inlineStr">
        <is>
          <t>Short Abandoned / Abn &lt; 5s</t>
        </is>
      </c>
      <c r="D40" s="20" t="inlineStr">
        <is>
          <t>Short Abandoned</t>
        </is>
      </c>
      <c r="E40" s="20" t="inlineStr">
        <is>
          <t>Integer</t>
        </is>
      </c>
      <c r="F40" s="20" t="inlineStr">
        <is>
          <t>Optional short-abandon split.</t>
        </is>
      </c>
    </row>
    <row r="41" ht="22" customHeight="1">
      <c r="B41" s="19" t="inlineStr">
        <is>
          <t>ASA (sec)</t>
        </is>
      </c>
      <c r="C41" s="20" t="inlineStr">
        <is>
          <t>ASA / Avg Speed of Answer</t>
        </is>
      </c>
      <c r="D41" s="20" t="inlineStr">
        <is>
          <t>ASA</t>
        </is>
      </c>
      <c r="E41" s="20" t="inlineStr">
        <is>
          <t>Decimal</t>
        </is>
      </c>
      <c r="F41" s="20" t="inlineStr">
        <is>
          <t>Weighted by handled in all KPIs.</t>
        </is>
      </c>
    </row>
    <row r="42" ht="22" customHeight="1">
      <c r="B42" s="19" t="inlineStr">
        <is>
          <t>AHT (sec)</t>
        </is>
      </c>
      <c r="C42" s="20" t="inlineStr">
        <is>
          <t>AHT / Avg Handle Time</t>
        </is>
      </c>
      <c r="D42" s="20" t="inlineStr">
        <is>
          <t>AHT</t>
        </is>
      </c>
      <c r="E42" s="20" t="inlineStr">
        <is>
          <t>Decimal</t>
        </is>
      </c>
      <c r="F42" s="20" t="inlineStr">
        <is>
          <t>Cross-checked against talk + hold + ACW.</t>
        </is>
      </c>
    </row>
    <row r="43" ht="22" customHeight="1">
      <c r="B43" s="19" t="inlineStr">
        <is>
          <t>Talk (sec)</t>
        </is>
      </c>
      <c r="C43" s="20" t="inlineStr">
        <is>
          <t>Talk Time</t>
        </is>
      </c>
      <c r="D43" s="20" t="inlineStr">
        <is>
          <t>Talk Time</t>
        </is>
      </c>
      <c r="E43" s="20" t="inlineStr">
        <is>
          <t>Integer</t>
        </is>
      </c>
      <c r="F43" s="20" t="inlineStr">
        <is>
          <t>Total talk seconds in the interval.</t>
        </is>
      </c>
    </row>
    <row r="44" ht="22" customHeight="1">
      <c r="B44" s="19" t="inlineStr">
        <is>
          <t>Hold (sec)</t>
        </is>
      </c>
      <c r="C44" s="20" t="inlineStr">
        <is>
          <t>Hold Time</t>
        </is>
      </c>
      <c r="D44" s="20" t="inlineStr">
        <is>
          <t>Hold Time</t>
        </is>
      </c>
      <c r="E44" s="20" t="inlineStr">
        <is>
          <t>Integer</t>
        </is>
      </c>
      <c r="F44" s="20" t="inlineStr">
        <is>
          <t>Total hold seconds.</t>
        </is>
      </c>
    </row>
    <row r="45" ht="22" customHeight="1">
      <c r="B45" s="19" t="inlineStr">
        <is>
          <t>ACW (sec)</t>
        </is>
      </c>
      <c r="C45" s="20" t="inlineStr">
        <is>
          <t>ACW / Wrap Time</t>
        </is>
      </c>
      <c r="D45" s="20" t="inlineStr">
        <is>
          <t>ACW / After Call Work</t>
        </is>
      </c>
      <c r="E45" s="20" t="inlineStr">
        <is>
          <t>Integer</t>
        </is>
      </c>
      <c r="F45" s="20" t="inlineStr">
        <is>
          <t>Total after-call work seconds.</t>
        </is>
      </c>
    </row>
    <row r="46" ht="22" customHeight="1">
      <c r="B46" s="19" t="inlineStr">
        <is>
          <t>Staffed (agents)</t>
        </is>
      </c>
      <c r="C46" s="20" t="inlineStr">
        <is>
          <t>Staffed / Agents</t>
        </is>
      </c>
      <c r="D46" s="20" t="inlineStr">
        <is>
          <t>Staffed / Staff</t>
        </is>
      </c>
      <c r="E46" s="20" t="inlineStr">
        <is>
          <t>Decimal</t>
        </is>
      </c>
      <c r="F46" s="20" t="inlineStr">
        <is>
          <t>Average staffed in the interval.</t>
        </is>
      </c>
    </row>
    <row r="47" ht="22" customHeight="1">
      <c r="B47" s="19" t="inlineStr">
        <is>
          <t>Required (agents)</t>
        </is>
      </c>
      <c r="C47" s="20" t="inlineStr">
        <is>
          <t>Required / Needed</t>
        </is>
      </c>
      <c r="D47" s="20" t="inlineStr">
        <is>
          <t>Required / Req</t>
        </is>
      </c>
      <c r="E47" s="20" t="inlineStr">
        <is>
          <t>Decimal</t>
        </is>
      </c>
      <c r="F47" s="20" t="inlineStr">
        <is>
          <t>Workforce requirement for the interval.</t>
        </is>
      </c>
    </row>
    <row r="48" ht="22" customHeight="1">
      <c r="B48" s="19" t="inlineStr">
        <is>
          <t>Service Level %</t>
        </is>
      </c>
      <c r="C48" s="20" t="inlineStr">
        <is>
          <t>Service Level / SL %</t>
        </is>
      </c>
      <c r="D48" s="20" t="inlineStr">
        <is>
          <t>Service Level</t>
        </is>
      </c>
      <c r="E48" s="20" t="inlineStr">
        <is>
          <t>Percent (0.85)</t>
        </is>
      </c>
      <c r="F48" s="20" t="inlineStr">
        <is>
          <t>Stored as a decimal, formatted as %.</t>
        </is>
      </c>
    </row>
    <row r="49" ht="22" customHeight="1">
      <c r="B49" s="19" t="inlineStr">
        <is>
          <t>Max Wait (sec)</t>
        </is>
      </c>
      <c r="C49" s="20" t="inlineStr">
        <is>
          <t>Max Wait / Longest Wait</t>
        </is>
      </c>
      <c r="D49" s="20" t="inlineStr">
        <is>
          <t>Max Wait</t>
        </is>
      </c>
      <c r="E49" s="20" t="inlineStr">
        <is>
          <t>Integer</t>
        </is>
      </c>
      <c r="F49" s="20" t="inlineStr">
        <is>
          <t>Longest wait in the interval.</t>
        </is>
      </c>
    </row>
    <row r="50" ht="22" customHeight="1">
      <c r="B50" s="19" t="inlineStr">
        <is>
          <t>Source File</t>
        </is>
      </c>
      <c r="C50" s="20" t="inlineStr">
        <is>
          <t>Export file name</t>
        </is>
      </c>
      <c r="D50" s="20" t="inlineStr">
        <is>
          <t>Export file name</t>
        </is>
      </c>
      <c r="E50" s="20" t="inlineStr">
        <is>
          <t>Text</t>
        </is>
      </c>
      <c r="F50" s="20" t="inlineStr">
        <is>
          <t>Traceability - keep the export name.</t>
        </is>
      </c>
    </row>
    <row r="51" ht="22" customHeight="1">
      <c r="B51" s="19" t="inlineStr">
        <is>
          <t>Notes</t>
        </is>
      </c>
      <c r="C51" s="20" t="inlineStr">
        <is>
          <t>Notes</t>
        </is>
      </c>
      <c r="D51" s="20" t="inlineStr">
        <is>
          <t>Notes</t>
        </is>
      </c>
      <c r="E51" s="20" t="inlineStr">
        <is>
          <t>Text</t>
        </is>
      </c>
      <c r="F51" s="20" t="inlineStr">
        <is>
          <t>Anything the next analyst should know.</t>
        </is>
      </c>
    </row>
    <row r="53" ht="20" customHeight="1">
      <c r="A53" s="3" t="inlineStr">
        <is>
          <t>RULES, LIMITS AND DEFINITIONS</t>
        </is>
      </c>
      <c r="B53" s="4" t="n"/>
      <c r="C53" s="4" t="n"/>
      <c r="D53" s="4" t="n"/>
      <c r="E53" s="4" t="n"/>
      <c r="F53" s="4" t="n"/>
    </row>
    <row r="54" ht="26" customHeight="1">
      <c r="B54" s="19" t="inlineStr">
        <is>
          <t>Capacity</t>
        </is>
      </c>
      <c r="C54" s="21" t="inlineStr">
        <is>
          <t>10,000 rows per raw sheet (rows 6-10,005). Extend the ranges and update the defined names for larger months.</t>
        </is>
      </c>
      <c r="D54" s="4" t="n"/>
      <c r="E54" s="4" t="n"/>
      <c r="F54" s="4" t="n"/>
    </row>
    <row r="55" ht="26" customHeight="1">
      <c r="B55" s="19" t="inlineStr">
        <is>
          <t>Don't</t>
        </is>
      </c>
      <c r="C55" s="21" t="inlineStr">
        <is>
          <t>Never insert rows above row 6, merge cells in the raw sheets, or type into Calc_Data - it breaks every reference.</t>
        </is>
      </c>
      <c r="D55" s="4" t="n"/>
      <c r="E55" s="4" t="n"/>
      <c r="F55" s="4" t="n"/>
    </row>
    <row r="56" ht="26" customHeight="1">
      <c r="B56" s="19" t="inlineStr">
        <is>
          <t>Staffed agent-hours</t>
        </is>
      </c>
      <c r="C56" s="21" t="inlineStr">
        <is>
          <t>SUM(staffed agents) x interval minutes / 60, using the Setup period and filters.</t>
        </is>
      </c>
      <c r="D56" s="4" t="n"/>
      <c r="E56" s="4" t="n"/>
      <c r="F56" s="4" t="n"/>
    </row>
    <row r="57" ht="26" customHeight="1">
      <c r="B57" s="19" t="inlineStr">
        <is>
          <t>Occupancy</t>
        </is>
      </c>
      <c r="C57" s="21" t="inlineStr">
        <is>
          <t>(talk + hold + ACW seconds) / 3600 divided by staffed agent-hours.</t>
        </is>
      </c>
      <c r="D57" s="4" t="n"/>
      <c r="E57" s="4" t="n"/>
      <c r="F57" s="4" t="n"/>
    </row>
    <row r="58" ht="26" customHeight="1">
      <c r="B58" s="19" t="inlineStr">
        <is>
          <t>Service level KPI</t>
        </is>
      </c>
      <c r="C58" s="21" t="inlineStr">
        <is>
          <t>Offered-weighted average of the interval service level, not a plain average.</t>
        </is>
      </c>
      <c r="D58" s="4" t="n"/>
      <c r="E58" s="4" t="n"/>
      <c r="F58" s="4" t="n"/>
    </row>
    <row r="59" ht="26" customHeight="1">
      <c r="B59" s="19" t="inlineStr">
        <is>
          <t>AHT KPI</t>
        </is>
      </c>
      <c r="C59" s="21" t="inlineStr">
        <is>
          <t>(total talk + hold + ACW) / handled contacts - the weighted number, not the average of AHTs.</t>
        </is>
      </c>
      <c r="D59" s="4" t="n"/>
      <c r="E59" s="4" t="n"/>
      <c r="F59" s="4" t="n"/>
    </row>
    <row r="60" ht="26" customHeight="1">
      <c r="B60" s="19" t="inlineStr">
        <is>
          <t>Staffing gap</t>
        </is>
      </c>
      <c r="C60" s="21" t="inlineStr">
        <is>
          <t>Required agent-hours minus staffed agent-hours. Positive = understaffed.</t>
        </is>
      </c>
      <c r="D60" s="4" t="n"/>
      <c r="E60" s="4" t="n"/>
      <c r="F60" s="4" t="n"/>
    </row>
    <row r="61" ht="26" customHeight="1">
      <c r="B61" s="19" t="inlineStr">
        <is>
          <t>Reconciliation flag</t>
        </is>
      </c>
      <c r="C61" s="21" t="inlineStr">
        <is>
          <t>A day is REVIEW when offered variance % or handled variance exceeds the Setup tolerance.</t>
        </is>
      </c>
      <c r="D61" s="4" t="n"/>
      <c r="E61" s="4" t="n"/>
      <c r="F61" s="4" t="n"/>
    </row>
    <row r="62" ht="26" customHeight="1">
      <c r="B62" s="19" t="inlineStr">
        <is>
          <t>Report limits</t>
        </is>
      </c>
      <c r="C62" s="21" t="inlineStr">
        <is>
          <t>Daily trend = 31 days; interval profile = 48 intervals (24 h at 30 minutes). Extend the blocks for 15-minute intervals.</t>
        </is>
      </c>
      <c r="D62" s="4" t="n"/>
      <c r="E62" s="4" t="n"/>
      <c r="F62" s="4" t="n"/>
    </row>
  </sheetData>
  <mergeCells count="34">
    <mergeCell ref="C16:E16"/>
    <mergeCell ref="C23:F23"/>
    <mergeCell ref="C61:F61"/>
    <mergeCell ref="C9:E9"/>
    <mergeCell ref="C57:F57"/>
    <mergeCell ref="C12:E12"/>
    <mergeCell ref="A2:F2"/>
    <mergeCell ref="C11:E11"/>
    <mergeCell ref="A8:F8"/>
    <mergeCell ref="C62:F62"/>
    <mergeCell ref="C17:E17"/>
    <mergeCell ref="A4:F4"/>
    <mergeCell ref="C24:F24"/>
    <mergeCell ref="A53:F53"/>
    <mergeCell ref="C58:F58"/>
    <mergeCell ref="A28:F28"/>
    <mergeCell ref="C13:E13"/>
    <mergeCell ref="A19:F19"/>
    <mergeCell ref="C20:F20"/>
    <mergeCell ref="C26:F26"/>
    <mergeCell ref="C54:F54"/>
    <mergeCell ref="C25:F25"/>
    <mergeCell ref="C15:E15"/>
    <mergeCell ref="C55:F55"/>
    <mergeCell ref="C22:F22"/>
    <mergeCell ref="C14:E14"/>
    <mergeCell ref="B6:F6"/>
    <mergeCell ref="C56:F56"/>
    <mergeCell ref="A1:F1"/>
    <mergeCell ref="B5:F5"/>
    <mergeCell ref="C21:F21"/>
    <mergeCell ref="C59:F59"/>
    <mergeCell ref="C60:F60"/>
    <mergeCell ref="C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6FB2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0" customHeight="1">
      <c r="A1" s="1" t="inlineStr">
        <is>
          <t>SETUP - PERIOD, FILTERS &amp; SETTINGS</t>
        </is>
      </c>
    </row>
    <row r="2" ht="18" customHeight="1">
      <c r="A2" s="2" t="inlineStr">
        <is>
          <t>Every report in this workbook reads from these cells. Change a filter here and all outputs refresh.</t>
        </is>
      </c>
    </row>
    <row r="4" ht="20" customHeight="1">
      <c r="A4" s="3" t="inlineStr">
        <is>
          <t>REPORTING PERIOD</t>
        </is>
      </c>
      <c r="B4" s="4" t="n"/>
      <c r="C4" s="4" t="n"/>
    </row>
    <row r="5">
      <c r="A5" s="22" t="inlineStr">
        <is>
          <t>Period Start</t>
        </is>
      </c>
      <c r="B5" s="23" t="n">
        <v>46296</v>
      </c>
      <c r="C5" s="24" t="inlineStr">
        <is>
          <t>First day of the reporting month.</t>
        </is>
      </c>
    </row>
    <row r="6">
      <c r="A6" s="22" t="inlineStr">
        <is>
          <t>Period End</t>
        </is>
      </c>
      <c r="B6" s="23">
        <f>EOMONTH(B5,0)</f>
        <v/>
      </c>
      <c r="C6" s="24" t="inlineStr">
        <is>
          <t>Auto-calculated - do not overwrite.</t>
        </is>
      </c>
    </row>
    <row r="7">
      <c r="A7" s="22" t="inlineStr">
        <is>
          <t>Interval Minutes</t>
        </is>
      </c>
      <c r="B7" s="25" t="n">
        <v>30</v>
      </c>
      <c r="C7" s="24" t="inlineStr">
        <is>
          <t>Length of one interval: 15, 30 or 60.</t>
        </is>
      </c>
    </row>
    <row r="9" ht="20" customHeight="1">
      <c r="A9" s="3" t="inlineStr">
        <is>
          <t>FILTERS (applies to Calc_Data, Dashboard &amp; Reconciliation)</t>
        </is>
      </c>
      <c r="B9" s="4" t="n"/>
      <c r="C9" s="4" t="n"/>
    </row>
    <row r="10">
      <c r="A10" s="22" t="inlineStr">
        <is>
          <t>Site</t>
        </is>
      </c>
      <c r="B10" s="26" t="inlineStr">
        <is>
          <t>ALL</t>
        </is>
      </c>
      <c r="C10" s="24" t="inlineStr">
        <is>
          <t>Use ALL for the whole account.</t>
        </is>
      </c>
    </row>
    <row r="11">
      <c r="A11" s="22" t="inlineStr">
        <is>
          <t>Queue / Skill</t>
        </is>
      </c>
      <c r="B11" s="26" t="inlineStr">
        <is>
          <t>ALL</t>
        </is>
      </c>
      <c r="C11" s="24" t="inlineStr">
        <is>
          <t>Use ALL or pick one queue from Lists.</t>
        </is>
      </c>
    </row>
    <row r="12">
      <c r="A12" s="22" t="inlineStr">
        <is>
          <t>Channel</t>
        </is>
      </c>
      <c r="B12" s="26" t="inlineStr">
        <is>
          <t>ALL</t>
        </is>
      </c>
      <c r="C12" s="24" t="inlineStr">
        <is>
          <t>Use ALL or pick one channel from Lists.</t>
        </is>
      </c>
    </row>
    <row r="13">
      <c r="A13" s="22" t="inlineStr">
        <is>
          <t>Report Source</t>
        </is>
      </c>
      <c r="B13" s="26" t="inlineStr">
        <is>
          <t>COMBINED</t>
        </is>
      </c>
      <c r="C13" s="24" t="inlineStr">
        <is>
          <t>VERINT, IEX or COMBINED on the dashboard.</t>
        </is>
      </c>
    </row>
    <row r="15" ht="20" customHeight="1">
      <c r="A15" s="3" t="inlineStr">
        <is>
          <t>WORKBOOK INFO</t>
        </is>
      </c>
      <c r="B15" s="4" t="n"/>
      <c r="C15" s="4" t="n"/>
    </row>
    <row r="16">
      <c r="A16" s="22" t="inlineStr">
        <is>
          <t>Account / Site Name</t>
        </is>
      </c>
      <c r="B16" s="27" t="inlineStr">
        <is>
          <t>Contact Center Operations</t>
        </is>
      </c>
      <c r="C16" s="24" t="inlineStr">
        <is>
          <t>Shown on the dashboard.</t>
        </is>
      </c>
    </row>
    <row r="17">
      <c r="A17" s="22" t="inlineStr">
        <is>
          <t>Time Zone</t>
        </is>
      </c>
      <c r="B17" s="27" t="inlineStr">
        <is>
          <t>GMT+8</t>
        </is>
      </c>
      <c r="C17" s="24" t="inlineStr">
        <is>
          <t>Label only - keep both sources in one time zone.</t>
        </is>
      </c>
    </row>
    <row r="18">
      <c r="A18" s="22" t="inlineStr">
        <is>
          <t>Prepared By</t>
        </is>
      </c>
      <c r="B18" s="27" t="inlineStr">
        <is>
          <t>WFM Team</t>
        </is>
      </c>
      <c r="C18" s="24" t="inlineStr">
        <is>
          <t>Owner of this workbook.</t>
        </is>
      </c>
    </row>
    <row r="19">
      <c r="A19" s="22" t="inlineStr">
        <is>
          <t>Last Updated</t>
        </is>
      </c>
      <c r="B19" s="23">
        <f>TODAY()</f>
        <v/>
      </c>
      <c r="C19" s="24" t="inlineStr">
        <is>
          <t>Auto-stamped on open.</t>
        </is>
      </c>
    </row>
    <row r="20">
      <c r="A20" s="22" t="inlineStr">
        <is>
          <t>Reconciliation Tolerance</t>
        </is>
      </c>
      <c r="B20" s="28" t="n">
        <v>0.02</v>
      </c>
      <c r="C20" s="24" t="inlineStr">
        <is>
          <t>Variance above this is flagged REVIEW.</t>
        </is>
      </c>
    </row>
    <row r="22" ht="18" customHeight="1">
      <c r="A22" s="29" t="inlineStr">
        <is>
          <t>HOW TO USE</t>
        </is>
      </c>
    </row>
    <row r="23" ht="30" customHeight="1">
      <c r="A23" s="30" t="inlineStr">
        <is>
          <t>1. Set Period Start above, then paste the Verint export into Verint_Raw and the IEX export into IEX_Raw.</t>
        </is>
      </c>
    </row>
    <row r="24" ht="30" customHeight="1">
      <c r="A24" s="30" t="inlineStr">
        <is>
          <t>2. Both raw sheets share one schema - if your export order differs, rearrange the columns before pasting.</t>
        </is>
      </c>
    </row>
    <row r="25" ht="30" customHeight="1">
      <c r="A25" s="30" t="inlineStr">
        <is>
          <t>3. Clear the yellow sample rows (6:101) in both raw sheets once you are ready for live data.</t>
        </is>
      </c>
    </row>
    <row r="26" ht="30" customHeight="1">
      <c r="A26" s="30" t="inlineStr">
        <is>
          <t>4. Check DQ_Checks for blanks, duplicates and impossible values before reading the dashboard.</t>
        </is>
      </c>
    </row>
    <row r="27" ht="30" customHeight="1">
      <c r="A27" s="30" t="inlineStr">
        <is>
          <t>5. Use Reconciliation to prove Verint and IEX agree interval by interval.</t>
        </is>
      </c>
    </row>
    <row r="28" ht="30" customHeight="1">
      <c r="A28" s="30" t="inlineStr">
        <is>
          <t>6. Capacity is 10,000 rows per source. For a larger month, extend the raw ranges and update the defined names.</t>
        </is>
      </c>
    </row>
  </sheetData>
  <mergeCells count="12">
    <mergeCell ref="A25:C25"/>
    <mergeCell ref="A28:C28"/>
    <mergeCell ref="A1:C1"/>
    <mergeCell ref="A23:C23"/>
    <mergeCell ref="A22:C22"/>
    <mergeCell ref="A9:C9"/>
    <mergeCell ref="A27:C27"/>
    <mergeCell ref="A15:C15"/>
    <mergeCell ref="A4:C4"/>
    <mergeCell ref="A26:C26"/>
    <mergeCell ref="A24:C24"/>
    <mergeCell ref="A2:C2"/>
  </mergeCells>
  <dataValidations count="5">
    <dataValidation sqref="B10" showDropDown="0" showInputMessage="0" showErrorMessage="0" allowBlank="0" type="list">
      <formula1>LIST_SITES_FILTER</formula1>
    </dataValidation>
    <dataValidation sqref="B11" showDropDown="0" showInputMessage="0" showErrorMessage="0" allowBlank="0" type="list">
      <formula1>LIST_QUEUES_FILTER</formula1>
    </dataValidation>
    <dataValidation sqref="B12" showDropDown="0" showInputMessage="0" showErrorMessage="0" allowBlank="0" type="list">
      <formula1>LIST_CHANNELS_FILTER</formula1>
    </dataValidation>
    <dataValidation sqref="B13" showDropDown="0" showInputMessage="0" showErrorMessage="0" allowBlank="0" type="list">
      <formula1>"VERINT,IEX,COMBINED"</formula1>
    </dataValidation>
    <dataValidation sqref="B7" showDropDown="0" showInputMessage="0" showErrorMessage="0" allowBlank="0" type="list">
      <formula1>"15,30,60"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6B7A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REFERENCE LISTS</t>
        </is>
      </c>
    </row>
    <row r="2" ht="18" customHeight="1">
      <c r="A2" s="2" t="inlineStr">
        <is>
          <t>Dropdown sources and queue master. Edit freely - filter lists always keep ALL in row 1.</t>
        </is>
      </c>
    </row>
    <row r="4">
      <c r="A4" s="31" t="inlineStr">
        <is>
          <t>Sites</t>
        </is>
      </c>
      <c r="B4" s="31" t="inlineStr">
        <is>
          <t>Queues / Skills</t>
        </is>
      </c>
      <c r="C4" s="31" t="inlineStr">
        <is>
          <t>Channels</t>
        </is>
      </c>
      <c r="D4" s="31" t="inlineStr">
        <is>
          <t>Interval Minutes</t>
        </is>
      </c>
      <c r="E4" s="31" t="inlineStr">
        <is>
          <t>Sources</t>
        </is>
      </c>
      <c r="G4" s="31" t="inlineStr">
        <is>
          <t>Site filter</t>
        </is>
      </c>
      <c r="H4" s="31" t="inlineStr">
        <is>
          <t>Queue filter</t>
        </is>
      </c>
      <c r="I4" s="31" t="inlineStr">
        <is>
          <t>Channel filter</t>
        </is>
      </c>
    </row>
    <row r="5">
      <c r="A5" s="4" t="inlineStr">
        <is>
          <t>Manila</t>
        </is>
      </c>
      <c r="B5" s="4" t="inlineStr">
        <is>
          <t>CS_Voice_General</t>
        </is>
      </c>
      <c r="C5" s="4" t="inlineStr">
        <is>
          <t>Voice</t>
        </is>
      </c>
      <c r="D5" s="4" t="n">
        <v>15</v>
      </c>
      <c r="E5" s="4" t="inlineStr">
        <is>
          <t>VERINT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</row>
    <row r="6">
      <c r="A6" s="4" t="inlineStr">
        <is>
          <t>Cebu</t>
        </is>
      </c>
      <c r="B6" s="4" t="inlineStr">
        <is>
          <t>CS_Voice_Billing</t>
        </is>
      </c>
      <c r="C6" s="4" t="inlineStr">
        <is>
          <t>Chat</t>
        </is>
      </c>
      <c r="D6" s="4" t="n">
        <v>30</v>
      </c>
      <c r="E6" s="4" t="inlineStr">
        <is>
          <t>IEX</t>
        </is>
      </c>
      <c r="G6" t="inlineStr">
        <is>
          <t>Manila</t>
        </is>
      </c>
      <c r="H6" t="inlineStr">
        <is>
          <t>CS_Voice_General</t>
        </is>
      </c>
      <c r="I6" t="inlineStr">
        <is>
          <t>Voice</t>
        </is>
      </c>
    </row>
    <row r="7">
      <c r="A7" s="4" t="inlineStr">
        <is>
          <t>Davao</t>
        </is>
      </c>
      <c r="B7" s="4" t="inlineStr">
        <is>
          <t>Tech_Support</t>
        </is>
      </c>
      <c r="C7" s="4" t="inlineStr">
        <is>
          <t>Email</t>
        </is>
      </c>
      <c r="D7" s="4" t="n">
        <v>60</v>
      </c>
      <c r="E7" s="4" t="inlineStr">
        <is>
          <t>COMBINED</t>
        </is>
      </c>
      <c r="G7" t="inlineStr">
        <is>
          <t>Cebu</t>
        </is>
      </c>
      <c r="H7" t="inlineStr">
        <is>
          <t>CS_Voice_Billing</t>
        </is>
      </c>
      <c r="I7" t="inlineStr">
        <is>
          <t>Chat</t>
        </is>
      </c>
    </row>
    <row r="8">
      <c r="A8" s="4" t="inlineStr">
        <is>
          <t>Bacolod</t>
        </is>
      </c>
      <c r="B8" s="4" t="inlineStr">
        <is>
          <t>Retention</t>
        </is>
      </c>
      <c r="C8" s="4" t="inlineStr">
        <is>
          <t>Social</t>
        </is>
      </c>
      <c r="G8" t="inlineStr">
        <is>
          <t>Davao</t>
        </is>
      </c>
      <c r="H8" t="inlineStr">
        <is>
          <t>Tech_Support</t>
        </is>
      </c>
      <c r="I8" t="inlineStr">
        <is>
          <t>Email</t>
        </is>
      </c>
    </row>
    <row r="9">
      <c r="B9" s="4" t="inlineStr">
        <is>
          <t>Sales_Inbound</t>
        </is>
      </c>
      <c r="C9" s="4" t="inlineStr">
        <is>
          <t>Backoffice</t>
        </is>
      </c>
      <c r="G9" t="inlineStr">
        <is>
          <t>Bacolod</t>
        </is>
      </c>
      <c r="H9" t="inlineStr">
        <is>
          <t>Retention</t>
        </is>
      </c>
      <c r="I9" t="inlineStr">
        <is>
          <t>Social</t>
        </is>
      </c>
    </row>
    <row r="10">
      <c r="B10" s="4" t="inlineStr">
        <is>
          <t>Chat_Support</t>
        </is>
      </c>
      <c r="H10" t="inlineStr">
        <is>
          <t>Sales_Inbound</t>
        </is>
      </c>
      <c r="I10" t="inlineStr">
        <is>
          <t>Backoffice</t>
        </is>
      </c>
    </row>
    <row r="11">
      <c r="B11" s="4" t="inlineStr">
        <is>
          <t>Backoffice_Email</t>
        </is>
      </c>
      <c r="H11" t="inlineStr">
        <is>
          <t>Chat_Support</t>
        </is>
      </c>
    </row>
    <row r="12">
      <c r="B12" s="4" t="inlineStr">
        <is>
          <t>Escalations</t>
        </is>
      </c>
      <c r="H12" t="inlineStr">
        <is>
          <t>Backoffice_Email</t>
        </is>
      </c>
    </row>
    <row r="13">
      <c r="B13" s="4" t="inlineStr">
        <is>
          <t>VIP_Line</t>
        </is>
      </c>
      <c r="H13" t="inlineStr">
        <is>
          <t>Escalations</t>
        </is>
      </c>
    </row>
    <row r="14">
      <c r="B14" s="4" t="inlineStr">
        <is>
          <t>Overflow</t>
        </is>
      </c>
      <c r="H14" t="inlineStr">
        <is>
          <t>VIP_Line</t>
        </is>
      </c>
    </row>
    <row r="15">
      <c r="H15" t="inlineStr">
        <is>
          <t>Overflow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621"/>
    <outlinePr summaryBelow="1" summaryRight="1"/>
    <pageSetUpPr/>
  </sheetPr>
  <dimension ref="A1:V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32" min="1" max="1"/>
    <col width="11" customWidth="1" style="33" min="2" max="2"/>
    <col width="11" customWidth="1" style="33" min="3" max="3"/>
    <col width="19" customWidth="1" style="34" min="4" max="4"/>
    <col width="14" customWidth="1" style="34" min="5" max="5"/>
    <col width="22" customWidth="1" style="34" min="6" max="6"/>
    <col width="12" customWidth="1" style="34" min="7" max="7"/>
    <col width="10" customWidth="1" style="35" min="8" max="8"/>
    <col width="10" customWidth="1" style="35" min="9" max="9"/>
    <col width="11" customWidth="1" style="35" min="10" max="10"/>
    <col width="15" customWidth="1" style="35" min="11" max="11"/>
    <col width="10" customWidth="1" style="36" min="12" max="12"/>
    <col width="10" customWidth="1" style="36" min="13" max="13"/>
    <col width="11" customWidth="1" style="35" min="14" max="14"/>
    <col width="11" customWidth="1" style="35" min="15" max="15"/>
    <col width="11" customWidth="1" style="35" min="16" max="16"/>
    <col width="15" customWidth="1" style="36" min="17" max="17"/>
    <col width="16" customWidth="1" style="36" min="18" max="18"/>
    <col width="14" customWidth="1" style="37" min="19" max="19"/>
    <col width="13" customWidth="1" style="35" min="20" max="20"/>
    <col width="26" customWidth="1" style="34" min="21" max="21"/>
    <col width="26" customWidth="1" style="34" min="22" max="22"/>
  </cols>
  <sheetData>
    <row r="1" ht="30" customHeight="1">
      <c r="A1" s="1" t="inlineStr">
        <is>
          <t>VERINT RAW DATA</t>
        </is>
      </c>
    </row>
    <row r="2" ht="18" customHeight="1">
      <c r="A2" s="2" t="inlineStr">
        <is>
          <t>Paste the raw interval export below the header row. Do not edit column order, insert formulas or merge cells - all calculations happen on Calc_Data.</t>
        </is>
      </c>
    </row>
    <row r="3">
      <c r="A3" s="38" t="inlineStr">
        <is>
          <t>Source</t>
        </is>
      </c>
      <c r="B3" s="39" t="inlineStr">
        <is>
          <t>VERINT</t>
        </is>
      </c>
      <c r="C3" s="24" t="inlineStr">
        <is>
          <t>Rows 6-10,005 available  |  Paste as values  |  Date = date, Interval = hh:mm</t>
        </is>
      </c>
      <c r="J3" s="40" t="inlineStr">
        <is>
          <t>Sample rows are included - clear rows 6:101 before live use</t>
        </is>
      </c>
    </row>
    <row r="5" ht="34" customHeight="1">
      <c r="A5" s="41" t="inlineStr">
        <is>
          <t>Date</t>
        </is>
      </c>
      <c r="B5" s="41" t="inlineStr">
        <is>
          <t>Interval Start</t>
        </is>
      </c>
      <c r="C5" s="41" t="inlineStr">
        <is>
          <t>Interval End</t>
        </is>
      </c>
      <c r="D5" s="41" t="inlineStr">
        <is>
          <t>Interval</t>
        </is>
      </c>
      <c r="E5" s="41" t="inlineStr">
        <is>
          <t>Site</t>
        </is>
      </c>
      <c r="F5" s="41" t="inlineStr">
        <is>
          <t>Queue / Skill</t>
        </is>
      </c>
      <c r="G5" s="41" t="inlineStr">
        <is>
          <t>Channel</t>
        </is>
      </c>
      <c r="H5" s="18" t="inlineStr">
        <is>
          <t>Offered</t>
        </is>
      </c>
      <c r="I5" s="18" t="inlineStr">
        <is>
          <t>Handled</t>
        </is>
      </c>
      <c r="J5" s="18" t="inlineStr">
        <is>
          <t>Abandoned</t>
        </is>
      </c>
      <c r="K5" s="18" t="inlineStr">
        <is>
          <t>Short Abandoned</t>
        </is>
      </c>
      <c r="L5" s="42" t="inlineStr">
        <is>
          <t>ASA (sec)</t>
        </is>
      </c>
      <c r="M5" s="42" t="inlineStr">
        <is>
          <t>AHT (sec)</t>
        </is>
      </c>
      <c r="N5" s="42" t="inlineStr">
        <is>
          <t>Talk (sec)</t>
        </is>
      </c>
      <c r="O5" s="42" t="inlineStr">
        <is>
          <t>Hold (sec)</t>
        </is>
      </c>
      <c r="P5" s="42" t="inlineStr">
        <is>
          <t>ACW (sec)</t>
        </is>
      </c>
      <c r="Q5" s="43" t="inlineStr">
        <is>
          <t>Staffed (agents)</t>
        </is>
      </c>
      <c r="R5" s="43" t="inlineStr">
        <is>
          <t>Required (agents)</t>
        </is>
      </c>
      <c r="S5" s="42" t="inlineStr">
        <is>
          <t>Service Level %</t>
        </is>
      </c>
      <c r="T5" s="42" t="inlineStr">
        <is>
          <t>Max Wait (sec)</t>
        </is>
      </c>
      <c r="U5" s="44" t="inlineStr">
        <is>
          <t>Source File</t>
        </is>
      </c>
      <c r="V5" s="44" t="inlineStr">
        <is>
          <t>Notes</t>
        </is>
      </c>
    </row>
    <row r="6">
      <c r="A6" s="45" t="n">
        <v>46296</v>
      </c>
      <c r="B6" s="46" t="n">
        <v>0.3333333333333333</v>
      </c>
      <c r="C6" s="46" t="n">
        <v>0.3541666666666667</v>
      </c>
      <c r="D6" s="46" t="inlineStr">
        <is>
          <t>8:00 AM - 8:30 AM</t>
        </is>
      </c>
      <c r="E6" s="46" t="inlineStr">
        <is>
          <t>Manila</t>
        </is>
      </c>
      <c r="F6" s="46" t="inlineStr">
        <is>
          <t>CS_Voice_General</t>
        </is>
      </c>
      <c r="G6" s="46" t="inlineStr">
        <is>
          <t>Voice</t>
        </is>
      </c>
      <c r="H6" s="46" t="n">
        <v>22</v>
      </c>
      <c r="I6" s="46" t="n">
        <v>19</v>
      </c>
      <c r="J6" s="46" t="n">
        <v>3</v>
      </c>
      <c r="K6" s="46" t="n">
        <v>1</v>
      </c>
      <c r="L6" s="46" t="n">
        <v>31</v>
      </c>
      <c r="M6" s="46" t="n">
        <v>410.7</v>
      </c>
      <c r="N6" s="46" t="n">
        <v>5150</v>
      </c>
      <c r="O6" s="46" t="n">
        <v>390</v>
      </c>
      <c r="P6" s="46" t="n">
        <v>2263</v>
      </c>
      <c r="Q6" s="46" t="n">
        <v>5.4</v>
      </c>
      <c r="R6" s="46" t="n">
        <v>5.2</v>
      </c>
      <c r="S6" s="46" t="n">
        <v>0.782</v>
      </c>
      <c r="T6" s="46" t="n">
        <v>120</v>
      </c>
      <c r="U6" s="46" t="inlineStr">
        <is>
          <t>SAMPLE_VERINT_2026-10.xlsx</t>
        </is>
      </c>
      <c r="V6" s="46" t="inlineStr">
        <is>
          <t>Sample row - delete before live use</t>
        </is>
      </c>
    </row>
    <row r="7">
      <c r="A7" s="45" t="n">
        <v>46296</v>
      </c>
      <c r="B7" s="46" t="n">
        <v>0.3541666666666667</v>
      </c>
      <c r="C7" s="46" t="n">
        <v>0.375</v>
      </c>
      <c r="D7" s="46" t="inlineStr">
        <is>
          <t>8:30 AM - 9:00 AM</t>
        </is>
      </c>
      <c r="E7" s="46" t="inlineStr">
        <is>
          <t>Manila</t>
        </is>
      </c>
      <c r="F7" s="46" t="inlineStr">
        <is>
          <t>CS_Voice_General</t>
        </is>
      </c>
      <c r="G7" s="46" t="inlineStr">
        <is>
          <t>Voice</t>
        </is>
      </c>
      <c r="H7" s="46" t="n">
        <v>31</v>
      </c>
      <c r="I7" s="46" t="n">
        <v>27</v>
      </c>
      <c r="J7" s="46" t="n">
        <v>4</v>
      </c>
      <c r="K7" s="46" t="n">
        <v>1</v>
      </c>
      <c r="L7" s="46" t="n">
        <v>24</v>
      </c>
      <c r="M7" s="46" t="n">
        <v>386.3</v>
      </c>
      <c r="N7" s="46" t="n">
        <v>6883</v>
      </c>
      <c r="O7" s="46" t="n">
        <v>521</v>
      </c>
      <c r="P7" s="46" t="n">
        <v>3024</v>
      </c>
      <c r="Q7" s="46" t="n">
        <v>7.2</v>
      </c>
      <c r="R7" s="46" t="n">
        <v>6.9</v>
      </c>
      <c r="S7" s="46" t="n">
        <v>0.794</v>
      </c>
      <c r="T7" s="46" t="n">
        <v>310</v>
      </c>
      <c r="U7" s="46" t="inlineStr">
        <is>
          <t>SAMPLE_VERINT_2026-10.xlsx</t>
        </is>
      </c>
      <c r="V7" s="46" t="inlineStr">
        <is>
          <t>Sample row - delete before live use</t>
        </is>
      </c>
    </row>
    <row r="8">
      <c r="A8" s="45" t="n">
        <v>46296</v>
      </c>
      <c r="B8" s="46" t="n">
        <v>0.375</v>
      </c>
      <c r="C8" s="46" t="n">
        <v>0.3958333333333333</v>
      </c>
      <c r="D8" s="46" t="inlineStr">
        <is>
          <t>9:00 AM - 9:30 AM</t>
        </is>
      </c>
      <c r="E8" s="46" t="inlineStr">
        <is>
          <t>Manila</t>
        </is>
      </c>
      <c r="F8" s="46" t="inlineStr">
        <is>
          <t>CS_Voice_General</t>
        </is>
      </c>
      <c r="G8" s="46" t="inlineStr">
        <is>
          <t>Voice</t>
        </is>
      </c>
      <c r="H8" s="46" t="n">
        <v>36</v>
      </c>
      <c r="I8" s="46" t="n">
        <v>31</v>
      </c>
      <c r="J8" s="46" t="n">
        <v>5</v>
      </c>
      <c r="K8" s="46" t="n">
        <v>2</v>
      </c>
      <c r="L8" s="46" t="n">
        <v>8</v>
      </c>
      <c r="M8" s="46" t="n">
        <v>372.2</v>
      </c>
      <c r="N8" s="46" t="n">
        <v>7615</v>
      </c>
      <c r="O8" s="46" t="n">
        <v>577</v>
      </c>
      <c r="P8" s="46" t="n">
        <v>3346</v>
      </c>
      <c r="Q8" s="46" t="n">
        <v>8</v>
      </c>
      <c r="R8" s="46" t="n">
        <v>8.9</v>
      </c>
      <c r="S8" s="46" t="n">
        <v>0.778</v>
      </c>
      <c r="T8" s="46" t="n">
        <v>180</v>
      </c>
      <c r="U8" s="46" t="inlineStr">
        <is>
          <t>SAMPLE_VERINT_2026-10.xlsx</t>
        </is>
      </c>
      <c r="V8" s="46" t="inlineStr">
        <is>
          <t>Sample row - delete before live use</t>
        </is>
      </c>
    </row>
    <row r="9">
      <c r="A9" s="45" t="n">
        <v>46296</v>
      </c>
      <c r="B9" s="46" t="n">
        <v>0.3958333333333333</v>
      </c>
      <c r="C9" s="46" t="n">
        <v>0.4166666666666667</v>
      </c>
      <c r="D9" s="46" t="inlineStr">
        <is>
          <t>9:30 AM - 10:00 AM</t>
        </is>
      </c>
      <c r="E9" s="46" t="inlineStr">
        <is>
          <t>Manila</t>
        </is>
      </c>
      <c r="F9" s="46" t="inlineStr">
        <is>
          <t>CS_Voice_General</t>
        </is>
      </c>
      <c r="G9" s="46" t="inlineStr">
        <is>
          <t>Voice</t>
        </is>
      </c>
      <c r="H9" s="46" t="n">
        <v>43</v>
      </c>
      <c r="I9" s="46" t="n">
        <v>39</v>
      </c>
      <c r="J9" s="46" t="n">
        <v>4</v>
      </c>
      <c r="K9" s="46" t="n">
        <v>1</v>
      </c>
      <c r="L9" s="46" t="n">
        <v>8</v>
      </c>
      <c r="M9" s="46" t="n">
        <v>310.5</v>
      </c>
      <c r="N9" s="46" t="n">
        <v>7993</v>
      </c>
      <c r="O9" s="46" t="n">
        <v>606</v>
      </c>
      <c r="P9" s="46" t="n">
        <v>3512</v>
      </c>
      <c r="Q9" s="46" t="n">
        <v>8</v>
      </c>
      <c r="R9" s="46" t="n">
        <v>8.5</v>
      </c>
      <c r="S9" s="46" t="n">
        <v>0.851</v>
      </c>
      <c r="T9" s="46" t="n">
        <v>180</v>
      </c>
      <c r="U9" s="46" t="inlineStr">
        <is>
          <t>SAMPLE_VERINT_2026-10.xlsx</t>
        </is>
      </c>
      <c r="V9" s="46" t="inlineStr">
        <is>
          <t>Sample row - delete before live use</t>
        </is>
      </c>
    </row>
    <row r="10">
      <c r="A10" s="45" t="n">
        <v>46296</v>
      </c>
      <c r="B10" s="46" t="n">
        <v>0.4166666666666667</v>
      </c>
      <c r="C10" s="46" t="n">
        <v>0.4375</v>
      </c>
      <c r="D10" s="46" t="inlineStr">
        <is>
          <t>10:00 AM - 10:30 AM</t>
        </is>
      </c>
      <c r="E10" s="46" t="inlineStr">
        <is>
          <t>Manila</t>
        </is>
      </c>
      <c r="F10" s="46" t="inlineStr">
        <is>
          <t>CS_Voice_General</t>
        </is>
      </c>
      <c r="G10" s="46" t="inlineStr">
        <is>
          <t>Voice</t>
        </is>
      </c>
      <c r="H10" s="46" t="n">
        <v>38</v>
      </c>
      <c r="I10" s="46" t="n">
        <v>35</v>
      </c>
      <c r="J10" s="46" t="n">
        <v>3</v>
      </c>
      <c r="K10" s="46" t="n">
        <v>1</v>
      </c>
      <c r="L10" s="46" t="n">
        <v>8</v>
      </c>
      <c r="M10" s="46" t="n">
        <v>349.2</v>
      </c>
      <c r="N10" s="46" t="n">
        <v>8067</v>
      </c>
      <c r="O10" s="46" t="n">
        <v>611</v>
      </c>
      <c r="P10" s="46" t="n">
        <v>3545</v>
      </c>
      <c r="Q10" s="46" t="n">
        <v>8</v>
      </c>
      <c r="R10" s="46" t="n">
        <v>7.8</v>
      </c>
      <c r="S10" s="46" t="n">
        <v>0.874</v>
      </c>
      <c r="T10" s="46" t="n">
        <v>420</v>
      </c>
      <c r="U10" s="46" t="inlineStr">
        <is>
          <t>SAMPLE_VERINT_2026-10.xlsx</t>
        </is>
      </c>
      <c r="V10" s="46" t="inlineStr">
        <is>
          <t>Sample row - delete before live use</t>
        </is>
      </c>
    </row>
    <row r="11">
      <c r="A11" s="45" t="n">
        <v>46296</v>
      </c>
      <c r="B11" s="46" t="n">
        <v>0.4375</v>
      </c>
      <c r="C11" s="46" t="n">
        <v>0.4583333333333333</v>
      </c>
      <c r="D11" s="46" t="inlineStr">
        <is>
          <t>10:30 AM - 11:00 AM</t>
        </is>
      </c>
      <c r="E11" s="46" t="inlineStr">
        <is>
          <t>Manila</t>
        </is>
      </c>
      <c r="F11" s="46" t="inlineStr">
        <is>
          <t>CS_Voice_General</t>
        </is>
      </c>
      <c r="G11" s="46" t="inlineStr">
        <is>
          <t>Voice</t>
        </is>
      </c>
      <c r="H11" s="46" t="n">
        <v>38</v>
      </c>
      <c r="I11" s="46" t="n">
        <v>35</v>
      </c>
      <c r="J11" s="46" t="n">
        <v>3</v>
      </c>
      <c r="K11" s="46" t="n">
        <v>1</v>
      </c>
      <c r="L11" s="46" t="n">
        <v>44</v>
      </c>
      <c r="M11" s="46" t="n">
        <v>330.7</v>
      </c>
      <c r="N11" s="46" t="n">
        <v>7640</v>
      </c>
      <c r="O11" s="46" t="n">
        <v>579</v>
      </c>
      <c r="P11" s="46" t="n">
        <v>3357</v>
      </c>
      <c r="Q11" s="46" t="n">
        <v>7.5</v>
      </c>
      <c r="R11" s="46" t="n">
        <v>8</v>
      </c>
      <c r="S11" s="46" t="n">
        <v>0.874</v>
      </c>
      <c r="T11" s="46" t="n">
        <v>180</v>
      </c>
      <c r="U11" s="46" t="inlineStr">
        <is>
          <t>SAMPLE_VERINT_2026-10.xlsx</t>
        </is>
      </c>
      <c r="V11" s="46" t="inlineStr">
        <is>
          <t>Sample row - delete before live use</t>
        </is>
      </c>
    </row>
    <row r="12">
      <c r="A12" s="45" t="n">
        <v>46296</v>
      </c>
      <c r="B12" s="46" t="n">
        <v>0.4583333333333333</v>
      </c>
      <c r="C12" s="46" t="n">
        <v>0.4791666666666667</v>
      </c>
      <c r="D12" s="46" t="inlineStr">
        <is>
          <t>11:00 AM - 11:30 AM</t>
        </is>
      </c>
      <c r="E12" s="46" t="inlineStr">
        <is>
          <t>Manila</t>
        </is>
      </c>
      <c r="F12" s="46" t="inlineStr">
        <is>
          <t>CS_Voice_General</t>
        </is>
      </c>
      <c r="G12" s="46" t="inlineStr">
        <is>
          <t>Voice</t>
        </is>
      </c>
      <c r="H12" s="46" t="n">
        <v>37</v>
      </c>
      <c r="I12" s="46" t="n">
        <v>33</v>
      </c>
      <c r="J12" s="46" t="n">
        <v>4</v>
      </c>
      <c r="K12" s="46" t="n">
        <v>1</v>
      </c>
      <c r="L12" s="46" t="n">
        <v>12</v>
      </c>
      <c r="M12" s="46" t="n">
        <v>310.7</v>
      </c>
      <c r="N12" s="46" t="n">
        <v>6766</v>
      </c>
      <c r="O12" s="46" t="n">
        <v>513</v>
      </c>
      <c r="P12" s="46" t="n">
        <v>2973</v>
      </c>
      <c r="Q12" s="46" t="n">
        <v>6.9</v>
      </c>
      <c r="R12" s="46" t="n">
        <v>6.6</v>
      </c>
      <c r="S12" s="46" t="n">
        <v>0.827</v>
      </c>
      <c r="T12" s="46" t="n">
        <v>310</v>
      </c>
      <c r="U12" s="46" t="inlineStr">
        <is>
          <t>SAMPLE_VERINT_2026-10.xlsx</t>
        </is>
      </c>
      <c r="V12" s="46" t="inlineStr">
        <is>
          <t>Sample row - delete before live use</t>
        </is>
      </c>
    </row>
    <row r="13">
      <c r="A13" s="45" t="n">
        <v>46296</v>
      </c>
      <c r="B13" s="46" t="n">
        <v>0.4791666666666667</v>
      </c>
      <c r="C13" s="46" t="n">
        <v>0.5</v>
      </c>
      <c r="D13" s="46" t="inlineStr">
        <is>
          <t>11:30 AM - 12:00 PM</t>
        </is>
      </c>
      <c r="E13" s="46" t="inlineStr">
        <is>
          <t>Manila</t>
        </is>
      </c>
      <c r="F13" s="46" t="inlineStr">
        <is>
          <t>CS_Voice_General</t>
        </is>
      </c>
      <c r="G13" s="46" t="inlineStr">
        <is>
          <t>Voice</t>
        </is>
      </c>
      <c r="H13" s="46" t="n">
        <v>37</v>
      </c>
      <c r="I13" s="46" t="n">
        <v>33</v>
      </c>
      <c r="J13" s="46" t="n">
        <v>4</v>
      </c>
      <c r="K13" s="46" t="n">
        <v>1</v>
      </c>
      <c r="L13" s="46" t="n">
        <v>24</v>
      </c>
      <c r="M13" s="46" t="n">
        <v>353.4</v>
      </c>
      <c r="N13" s="46" t="n">
        <v>7697</v>
      </c>
      <c r="O13" s="46" t="n">
        <v>583</v>
      </c>
      <c r="P13" s="46" t="n">
        <v>3382</v>
      </c>
      <c r="Q13" s="46" t="n">
        <v>7.8</v>
      </c>
      <c r="R13" s="46" t="n">
        <v>8.300000000000001</v>
      </c>
      <c r="S13" s="46" t="n">
        <v>0.827</v>
      </c>
      <c r="T13" s="46" t="n">
        <v>240</v>
      </c>
      <c r="U13" s="46" t="inlineStr">
        <is>
          <t>SAMPLE_VERINT_2026-10.xlsx</t>
        </is>
      </c>
      <c r="V13" s="46" t="inlineStr">
        <is>
          <t>Sample row - delete before live use</t>
        </is>
      </c>
    </row>
    <row r="14">
      <c r="A14" s="45" t="n">
        <v>46296</v>
      </c>
      <c r="B14" s="46" t="n">
        <v>0.5</v>
      </c>
      <c r="C14" s="46" t="n">
        <v>0.5208333333333334</v>
      </c>
      <c r="D14" s="46" t="inlineStr">
        <is>
          <t>12:00 PM - 12:30 PM</t>
        </is>
      </c>
      <c r="E14" s="46" t="inlineStr">
        <is>
          <t>Manila</t>
        </is>
      </c>
      <c r="F14" s="46" t="inlineStr">
        <is>
          <t>CS_Voice_General</t>
        </is>
      </c>
      <c r="G14" s="46" t="inlineStr">
        <is>
          <t>Voice</t>
        </is>
      </c>
      <c r="H14" s="46" t="n">
        <v>32</v>
      </c>
      <c r="I14" s="46" t="n">
        <v>29</v>
      </c>
      <c r="J14" s="46" t="n">
        <v>3</v>
      </c>
      <c r="K14" s="46" t="n">
        <v>1</v>
      </c>
      <c r="L14" s="46" t="n">
        <v>31</v>
      </c>
      <c r="M14" s="46" t="n">
        <v>418.8</v>
      </c>
      <c r="N14" s="46" t="n">
        <v>8016</v>
      </c>
      <c r="O14" s="46" t="n">
        <v>607</v>
      </c>
      <c r="P14" s="46" t="n">
        <v>3522</v>
      </c>
      <c r="Q14" s="46" t="n">
        <v>8</v>
      </c>
      <c r="R14" s="46" t="n">
        <v>8</v>
      </c>
      <c r="S14" s="46" t="n">
        <v>0.85</v>
      </c>
      <c r="T14" s="46" t="n">
        <v>240</v>
      </c>
      <c r="U14" s="46" t="inlineStr">
        <is>
          <t>SAMPLE_VERINT_2026-10.xlsx</t>
        </is>
      </c>
      <c r="V14" s="46" t="inlineStr">
        <is>
          <t>Sample row - delete before live use</t>
        </is>
      </c>
    </row>
    <row r="15">
      <c r="A15" s="45" t="n">
        <v>46296</v>
      </c>
      <c r="B15" s="46" t="n">
        <v>0.5208333333333334</v>
      </c>
      <c r="C15" s="46" t="n">
        <v>0.5416666666666666</v>
      </c>
      <c r="D15" s="46" t="inlineStr">
        <is>
          <t>12:30 PM - 1:00 PM</t>
        </is>
      </c>
      <c r="E15" s="46" t="inlineStr">
        <is>
          <t>Manila</t>
        </is>
      </c>
      <c r="F15" s="46" t="inlineStr">
        <is>
          <t>CS_Voice_General</t>
        </is>
      </c>
      <c r="G15" s="46" t="inlineStr">
        <is>
          <t>Voice</t>
        </is>
      </c>
      <c r="H15" s="46" t="n">
        <v>36</v>
      </c>
      <c r="I15" s="46" t="n">
        <v>33</v>
      </c>
      <c r="J15" s="46" t="n">
        <v>3</v>
      </c>
      <c r="K15" s="46" t="n">
        <v>1</v>
      </c>
      <c r="L15" s="46" t="n">
        <v>8</v>
      </c>
      <c r="M15" s="46" t="n">
        <v>424</v>
      </c>
      <c r="N15" s="46" t="n">
        <v>9235</v>
      </c>
      <c r="O15" s="46" t="n">
        <v>700</v>
      </c>
      <c r="P15" s="46" t="n">
        <v>4058</v>
      </c>
      <c r="Q15" s="46" t="n">
        <v>9.199999999999999</v>
      </c>
      <c r="R15" s="46" t="n">
        <v>9.300000000000001</v>
      </c>
      <c r="S15" s="46" t="n">
        <v>0.867</v>
      </c>
      <c r="T15" s="46" t="n">
        <v>120</v>
      </c>
      <c r="U15" s="46" t="inlineStr">
        <is>
          <t>SAMPLE_VERINT_2026-10.xlsx</t>
        </is>
      </c>
      <c r="V15" s="46" t="inlineStr">
        <is>
          <t>Sample row - delete before live use</t>
        </is>
      </c>
    </row>
    <row r="16">
      <c r="A16" s="45" t="n">
        <v>46296</v>
      </c>
      <c r="B16" s="46" t="n">
        <v>0.5416666666666666</v>
      </c>
      <c r="C16" s="46" t="n">
        <v>0.5625</v>
      </c>
      <c r="D16" s="46" t="inlineStr">
        <is>
          <t>1:00 PM - 1:30 PM</t>
        </is>
      </c>
      <c r="E16" s="46" t="inlineStr">
        <is>
          <t>Manila</t>
        </is>
      </c>
      <c r="F16" s="46" t="inlineStr">
        <is>
          <t>CS_Voice_General</t>
        </is>
      </c>
      <c r="G16" s="46" t="inlineStr">
        <is>
          <t>Voice</t>
        </is>
      </c>
      <c r="H16" s="46" t="n">
        <v>38</v>
      </c>
      <c r="I16" s="46" t="n">
        <v>33</v>
      </c>
      <c r="J16" s="46" t="n">
        <v>5</v>
      </c>
      <c r="K16" s="46" t="n">
        <v>2</v>
      </c>
      <c r="L16" s="46" t="n">
        <v>24</v>
      </c>
      <c r="M16" s="46" t="n">
        <v>358.1</v>
      </c>
      <c r="N16" s="46" t="n">
        <v>7800</v>
      </c>
      <c r="O16" s="46" t="n">
        <v>591</v>
      </c>
      <c r="P16" s="46" t="n">
        <v>3427</v>
      </c>
      <c r="Q16" s="46" t="n">
        <v>8.199999999999999</v>
      </c>
      <c r="R16" s="46" t="n">
        <v>9.300000000000001</v>
      </c>
      <c r="S16" s="46" t="n">
        <v>0.789</v>
      </c>
      <c r="T16" s="46" t="n">
        <v>120</v>
      </c>
      <c r="U16" s="46" t="inlineStr">
        <is>
          <t>SAMPLE_VERINT_2026-10.xlsx</t>
        </is>
      </c>
      <c r="V16" s="46" t="inlineStr">
        <is>
          <t>Sample row - delete before live use</t>
        </is>
      </c>
    </row>
    <row r="17">
      <c r="A17" s="45" t="n">
        <v>46296</v>
      </c>
      <c r="B17" s="46" t="n">
        <v>0.5625</v>
      </c>
      <c r="C17" s="46" t="n">
        <v>0.5833333333333334</v>
      </c>
      <c r="D17" s="46" t="inlineStr">
        <is>
          <t>1:30 PM - 2:00 PM</t>
        </is>
      </c>
      <c r="E17" s="46" t="inlineStr">
        <is>
          <t>Manila</t>
        </is>
      </c>
      <c r="F17" s="46" t="inlineStr">
        <is>
          <t>CS_Voice_General</t>
        </is>
      </c>
      <c r="G17" s="46" t="inlineStr">
        <is>
          <t>Voice</t>
        </is>
      </c>
      <c r="H17" s="46" t="n">
        <v>32</v>
      </c>
      <c r="I17" s="46" t="n">
        <v>27</v>
      </c>
      <c r="J17" s="46" t="n">
        <v>5</v>
      </c>
      <c r="K17" s="46" t="n">
        <v>2</v>
      </c>
      <c r="L17" s="46" t="n">
        <v>58</v>
      </c>
      <c r="M17" s="46" t="n">
        <v>394.9</v>
      </c>
      <c r="N17" s="46" t="n">
        <v>7037</v>
      </c>
      <c r="O17" s="46" t="n">
        <v>533</v>
      </c>
      <c r="P17" s="46" t="n">
        <v>3092</v>
      </c>
      <c r="Q17" s="46" t="n">
        <v>7.6</v>
      </c>
      <c r="R17" s="46" t="n">
        <v>8.4</v>
      </c>
      <c r="S17" s="46" t="n">
        <v>0.75</v>
      </c>
      <c r="T17" s="46" t="n">
        <v>240</v>
      </c>
      <c r="U17" s="46" t="inlineStr">
        <is>
          <t>SAMPLE_VERINT_2026-10.xlsx</t>
        </is>
      </c>
      <c r="V17" s="46" t="inlineStr">
        <is>
          <t>Sample row - delete before live use</t>
        </is>
      </c>
    </row>
    <row r="18">
      <c r="A18" s="45" t="n">
        <v>46296</v>
      </c>
      <c r="B18" s="46" t="n">
        <v>0.3333333333333333</v>
      </c>
      <c r="C18" s="46" t="n">
        <v>0.3541666666666667</v>
      </c>
      <c r="D18" s="46" t="inlineStr">
        <is>
          <t>8:00 AM - 8:30 AM</t>
        </is>
      </c>
      <c r="E18" s="46" t="inlineStr">
        <is>
          <t>Manila</t>
        </is>
      </c>
      <c r="F18" s="46" t="inlineStr">
        <is>
          <t>CS_Voice_Billing</t>
        </is>
      </c>
      <c r="G18" s="46" t="inlineStr">
        <is>
          <t>Voice</t>
        </is>
      </c>
      <c r="H18" s="46" t="n">
        <v>14</v>
      </c>
      <c r="I18" s="46" t="n">
        <v>12</v>
      </c>
      <c r="J18" s="46" t="n">
        <v>2</v>
      </c>
      <c r="K18" s="46" t="n">
        <v>1</v>
      </c>
      <c r="L18" s="46" t="n">
        <v>8</v>
      </c>
      <c r="M18" s="46" t="n">
        <v>384.4</v>
      </c>
      <c r="N18" s="46" t="n">
        <v>3045</v>
      </c>
      <c r="O18" s="46" t="n">
        <v>231</v>
      </c>
      <c r="P18" s="46" t="n">
        <v>1338</v>
      </c>
      <c r="Q18" s="46" t="n">
        <v>3.2</v>
      </c>
      <c r="R18" s="46" t="n">
        <v>3.6</v>
      </c>
      <c r="S18" s="46" t="n">
        <v>0.771</v>
      </c>
      <c r="T18" s="46" t="n">
        <v>780</v>
      </c>
      <c r="U18" s="46" t="inlineStr">
        <is>
          <t>SAMPLE_VERINT_2026-10.xlsx</t>
        </is>
      </c>
      <c r="V18" s="46" t="inlineStr">
        <is>
          <t>Sample row - delete before live use</t>
        </is>
      </c>
    </row>
    <row r="19">
      <c r="A19" s="45" t="n">
        <v>46296</v>
      </c>
      <c r="B19" s="46" t="n">
        <v>0.3541666666666667</v>
      </c>
      <c r="C19" s="46" t="n">
        <v>0.375</v>
      </c>
      <c r="D19" s="46" t="inlineStr">
        <is>
          <t>8:30 AM - 9:00 AM</t>
        </is>
      </c>
      <c r="E19" s="46" t="inlineStr">
        <is>
          <t>Manila</t>
        </is>
      </c>
      <c r="F19" s="46" t="inlineStr">
        <is>
          <t>CS_Voice_Billing</t>
        </is>
      </c>
      <c r="G19" s="46" t="inlineStr">
        <is>
          <t>Voice</t>
        </is>
      </c>
      <c r="H19" s="46" t="n">
        <v>18</v>
      </c>
      <c r="I19" s="46" t="n">
        <v>16</v>
      </c>
      <c r="J19" s="46" t="n">
        <v>2</v>
      </c>
      <c r="K19" s="46" t="n">
        <v>1</v>
      </c>
      <c r="L19" s="46" t="n">
        <v>44</v>
      </c>
      <c r="M19" s="46" t="n">
        <v>418.5</v>
      </c>
      <c r="N19" s="46" t="n">
        <v>4419</v>
      </c>
      <c r="O19" s="46" t="n">
        <v>335</v>
      </c>
      <c r="P19" s="46" t="n">
        <v>1942</v>
      </c>
      <c r="Q19" s="46" t="n">
        <v>4.5</v>
      </c>
      <c r="R19" s="46" t="n">
        <v>4.3</v>
      </c>
      <c r="S19" s="46" t="n">
        <v>0.822</v>
      </c>
      <c r="T19" s="46" t="n">
        <v>600</v>
      </c>
      <c r="U19" s="46" t="inlineStr">
        <is>
          <t>SAMPLE_VERINT_2026-10.xlsx</t>
        </is>
      </c>
      <c r="V19" s="46" t="inlineStr">
        <is>
          <t>Sample row - delete before live use</t>
        </is>
      </c>
    </row>
    <row r="20">
      <c r="A20" s="45" t="n">
        <v>46296</v>
      </c>
      <c r="B20" s="46" t="n">
        <v>0.375</v>
      </c>
      <c r="C20" s="46" t="n">
        <v>0.3958333333333333</v>
      </c>
      <c r="D20" s="46" t="inlineStr">
        <is>
          <t>9:00 AM - 9:30 AM</t>
        </is>
      </c>
      <c r="E20" s="46" t="inlineStr">
        <is>
          <t>Manila</t>
        </is>
      </c>
      <c r="F20" s="46" t="inlineStr">
        <is>
          <t>CS_Voice_Billing</t>
        </is>
      </c>
      <c r="G20" s="46" t="inlineStr">
        <is>
          <t>Voice</t>
        </is>
      </c>
      <c r="H20" s="46" t="n">
        <v>24</v>
      </c>
      <c r="I20" s="46" t="n">
        <v>22</v>
      </c>
      <c r="J20" s="46" t="n">
        <v>2</v>
      </c>
      <c r="K20" s="46" t="n">
        <v>1</v>
      </c>
      <c r="L20" s="46" t="n">
        <v>44</v>
      </c>
      <c r="M20" s="46" t="n">
        <v>415.8</v>
      </c>
      <c r="N20" s="46" t="n">
        <v>6038</v>
      </c>
      <c r="O20" s="46" t="n">
        <v>457</v>
      </c>
      <c r="P20" s="46" t="n">
        <v>2653</v>
      </c>
      <c r="Q20" s="46" t="n">
        <v>6</v>
      </c>
      <c r="R20" s="46" t="n">
        <v>6.2</v>
      </c>
      <c r="S20" s="46" t="n">
        <v>0.867</v>
      </c>
      <c r="T20" s="46" t="n">
        <v>310</v>
      </c>
      <c r="U20" s="46" t="inlineStr">
        <is>
          <t>SAMPLE_VERINT_2026-10.xlsx</t>
        </is>
      </c>
      <c r="V20" s="46" t="inlineStr">
        <is>
          <t>Sample row - delete before live use</t>
        </is>
      </c>
    </row>
    <row r="21">
      <c r="A21" s="45" t="n">
        <v>46296</v>
      </c>
      <c r="B21" s="46" t="n">
        <v>0.3958333333333333</v>
      </c>
      <c r="C21" s="46" t="n">
        <v>0.4166666666666667</v>
      </c>
      <c r="D21" s="46" t="inlineStr">
        <is>
          <t>9:30 AM - 10:00 AM</t>
        </is>
      </c>
      <c r="E21" s="46" t="inlineStr">
        <is>
          <t>Manila</t>
        </is>
      </c>
      <c r="F21" s="46" t="inlineStr">
        <is>
          <t>CS_Voice_Billing</t>
        </is>
      </c>
      <c r="G21" s="46" t="inlineStr">
        <is>
          <t>Voice</t>
        </is>
      </c>
      <c r="H21" s="46" t="n">
        <v>28</v>
      </c>
      <c r="I21" s="46" t="n">
        <v>25</v>
      </c>
      <c r="J21" s="46" t="n">
        <v>3</v>
      </c>
      <c r="K21" s="46" t="n">
        <v>1</v>
      </c>
      <c r="L21" s="46" t="n">
        <v>31</v>
      </c>
      <c r="M21" s="46" t="n">
        <v>459.9</v>
      </c>
      <c r="N21" s="46" t="n">
        <v>7589</v>
      </c>
      <c r="O21" s="46" t="n">
        <v>575</v>
      </c>
      <c r="P21" s="46" t="n">
        <v>3334</v>
      </c>
      <c r="Q21" s="46" t="n">
        <v>7.7</v>
      </c>
      <c r="R21" s="46" t="n">
        <v>7.9</v>
      </c>
      <c r="S21" s="46" t="n">
        <v>0.829</v>
      </c>
      <c r="T21" s="46" t="n">
        <v>120</v>
      </c>
      <c r="U21" s="46" t="inlineStr">
        <is>
          <t>SAMPLE_VERINT_2026-10.xlsx</t>
        </is>
      </c>
      <c r="V21" s="46" t="inlineStr">
        <is>
          <t>Sample row - delete before live use</t>
        </is>
      </c>
    </row>
    <row r="22">
      <c r="A22" s="45" t="n">
        <v>46296</v>
      </c>
      <c r="B22" s="46" t="n">
        <v>0.4166666666666667</v>
      </c>
      <c r="C22" s="46" t="n">
        <v>0.4375</v>
      </c>
      <c r="D22" s="46" t="inlineStr">
        <is>
          <t>10:00 AM - 10:30 AM</t>
        </is>
      </c>
      <c r="E22" s="46" t="inlineStr">
        <is>
          <t>Manila</t>
        </is>
      </c>
      <c r="F22" s="46" t="inlineStr">
        <is>
          <t>CS_Voice_Billing</t>
        </is>
      </c>
      <c r="G22" s="46" t="inlineStr">
        <is>
          <t>Voice</t>
        </is>
      </c>
      <c r="H22" s="46" t="n">
        <v>26</v>
      </c>
      <c r="I22" s="46" t="n">
        <v>23</v>
      </c>
      <c r="J22" s="46" t="n">
        <v>3</v>
      </c>
      <c r="K22" s="46" t="n">
        <v>1</v>
      </c>
      <c r="L22" s="46" t="n">
        <v>24</v>
      </c>
      <c r="M22" s="46" t="n">
        <v>348.9</v>
      </c>
      <c r="N22" s="46" t="n">
        <v>5296</v>
      </c>
      <c r="O22" s="46" t="n">
        <v>401</v>
      </c>
      <c r="P22" s="46" t="n">
        <v>2327</v>
      </c>
      <c r="Q22" s="46" t="n">
        <v>5.4</v>
      </c>
      <c r="R22" s="46" t="n">
        <v>5.9</v>
      </c>
      <c r="S22" s="46" t="n">
        <v>0.8149999999999999</v>
      </c>
      <c r="T22" s="46" t="n">
        <v>310</v>
      </c>
      <c r="U22" s="46" t="inlineStr">
        <is>
          <t>SAMPLE_VERINT_2026-10.xlsx</t>
        </is>
      </c>
      <c r="V22" s="46" t="inlineStr">
        <is>
          <t>Sample row - delete before live use</t>
        </is>
      </c>
    </row>
    <row r="23">
      <c r="A23" s="45" t="n">
        <v>46296</v>
      </c>
      <c r="B23" s="46" t="n">
        <v>0.4375</v>
      </c>
      <c r="C23" s="46" t="n">
        <v>0.4583333333333333</v>
      </c>
      <c r="D23" s="46" t="inlineStr">
        <is>
          <t>10:30 AM - 11:00 AM</t>
        </is>
      </c>
      <c r="E23" s="46" t="inlineStr">
        <is>
          <t>Manila</t>
        </is>
      </c>
      <c r="F23" s="46" t="inlineStr">
        <is>
          <t>CS_Voice_Billing</t>
        </is>
      </c>
      <c r="G23" s="46" t="inlineStr">
        <is>
          <t>Voice</t>
        </is>
      </c>
      <c r="H23" s="46" t="n">
        <v>27</v>
      </c>
      <c r="I23" s="46" t="n">
        <v>24</v>
      </c>
      <c r="J23" s="46" t="n">
        <v>3</v>
      </c>
      <c r="K23" s="46" t="n">
        <v>1</v>
      </c>
      <c r="L23" s="46" t="n">
        <v>18</v>
      </c>
      <c r="M23" s="46" t="n">
        <v>328.3</v>
      </c>
      <c r="N23" s="46" t="n">
        <v>5200</v>
      </c>
      <c r="O23" s="46" t="n">
        <v>394</v>
      </c>
      <c r="P23" s="46" t="n">
        <v>2285</v>
      </c>
      <c r="Q23" s="46" t="n">
        <v>5.3</v>
      </c>
      <c r="R23" s="46" t="n">
        <v>5.5</v>
      </c>
      <c r="S23" s="46" t="n">
        <v>0.822</v>
      </c>
      <c r="T23" s="46" t="n">
        <v>180</v>
      </c>
      <c r="U23" s="46" t="inlineStr">
        <is>
          <t>SAMPLE_VERINT_2026-10.xlsx</t>
        </is>
      </c>
      <c r="V23" s="46" t="inlineStr">
        <is>
          <t>Sample row - delete before live use</t>
        </is>
      </c>
    </row>
    <row r="24">
      <c r="A24" s="45" t="n">
        <v>46296</v>
      </c>
      <c r="B24" s="46" t="n">
        <v>0.4583333333333333</v>
      </c>
      <c r="C24" s="46" t="n">
        <v>0.4791666666666667</v>
      </c>
      <c r="D24" s="46" t="inlineStr">
        <is>
          <t>11:00 AM - 11:30 AM</t>
        </is>
      </c>
      <c r="E24" s="46" t="inlineStr">
        <is>
          <t>Manila</t>
        </is>
      </c>
      <c r="F24" s="46" t="inlineStr">
        <is>
          <t>CS_Voice_Billing</t>
        </is>
      </c>
      <c r="G24" s="46" t="inlineStr">
        <is>
          <t>Voice</t>
        </is>
      </c>
      <c r="H24" s="46" t="n">
        <v>25</v>
      </c>
      <c r="I24" s="46" t="n">
        <v>23</v>
      </c>
      <c r="J24" s="46" t="n">
        <v>2</v>
      </c>
      <c r="K24" s="46" t="n">
        <v>1</v>
      </c>
      <c r="L24" s="46" t="n">
        <v>18</v>
      </c>
      <c r="M24" s="46" t="n">
        <v>347.3</v>
      </c>
      <c r="N24" s="46" t="n">
        <v>5272</v>
      </c>
      <c r="O24" s="46" t="n">
        <v>399</v>
      </c>
      <c r="P24" s="46" t="n">
        <v>2317</v>
      </c>
      <c r="Q24" s="46" t="n">
        <v>5.2</v>
      </c>
      <c r="R24" s="46" t="n">
        <v>5.4</v>
      </c>
      <c r="S24" s="46" t="n">
        <v>0.872</v>
      </c>
      <c r="T24" s="46" t="n">
        <v>600</v>
      </c>
      <c r="U24" s="46" t="inlineStr">
        <is>
          <t>SAMPLE_VERINT_2026-10.xlsx</t>
        </is>
      </c>
      <c r="V24" s="46" t="inlineStr">
        <is>
          <t>Sample row - delete before live use</t>
        </is>
      </c>
    </row>
    <row r="25">
      <c r="A25" s="45" t="n">
        <v>46296</v>
      </c>
      <c r="B25" s="46" t="n">
        <v>0.4791666666666667</v>
      </c>
      <c r="C25" s="46" t="n">
        <v>0.5</v>
      </c>
      <c r="D25" s="46" t="inlineStr">
        <is>
          <t>11:30 AM - 12:00 PM</t>
        </is>
      </c>
      <c r="E25" s="46" t="inlineStr">
        <is>
          <t>Manila</t>
        </is>
      </c>
      <c r="F25" s="46" t="inlineStr">
        <is>
          <t>CS_Voice_Billing</t>
        </is>
      </c>
      <c r="G25" s="46" t="inlineStr">
        <is>
          <t>Voice</t>
        </is>
      </c>
      <c r="H25" s="46" t="n">
        <v>24</v>
      </c>
      <c r="I25" s="46" t="n">
        <v>22</v>
      </c>
      <c r="J25" s="46" t="n">
        <v>2</v>
      </c>
      <c r="K25" s="46" t="n">
        <v>1</v>
      </c>
      <c r="L25" s="46" t="n">
        <v>12</v>
      </c>
      <c r="M25" s="46" t="n">
        <v>325.7</v>
      </c>
      <c r="N25" s="46" t="n">
        <v>4729</v>
      </c>
      <c r="O25" s="46" t="n">
        <v>358</v>
      </c>
      <c r="P25" s="46" t="n">
        <v>2078</v>
      </c>
      <c r="Q25" s="46" t="n">
        <v>4.7</v>
      </c>
      <c r="R25" s="46" t="n">
        <v>4.6</v>
      </c>
      <c r="S25" s="46" t="n">
        <v>0.867</v>
      </c>
      <c r="T25" s="46" t="n">
        <v>600</v>
      </c>
      <c r="U25" s="46" t="inlineStr">
        <is>
          <t>SAMPLE_VERINT_2026-10.xlsx</t>
        </is>
      </c>
      <c r="V25" s="46" t="inlineStr">
        <is>
          <t>Sample row - delete before live use</t>
        </is>
      </c>
    </row>
    <row r="26">
      <c r="A26" s="45" t="n">
        <v>46296</v>
      </c>
      <c r="B26" s="46" t="n">
        <v>0.5</v>
      </c>
      <c r="C26" s="46" t="n">
        <v>0.5208333333333334</v>
      </c>
      <c r="D26" s="46" t="inlineStr">
        <is>
          <t>12:00 PM - 12:30 PM</t>
        </is>
      </c>
      <c r="E26" s="46" t="inlineStr">
        <is>
          <t>Manila</t>
        </is>
      </c>
      <c r="F26" s="46" t="inlineStr">
        <is>
          <t>CS_Voice_Billing</t>
        </is>
      </c>
      <c r="G26" s="46" t="inlineStr">
        <is>
          <t>Voice</t>
        </is>
      </c>
      <c r="H26" s="46" t="n">
        <v>20</v>
      </c>
      <c r="I26" s="46" t="n">
        <v>18</v>
      </c>
      <c r="J26" s="46" t="n">
        <v>2</v>
      </c>
      <c r="K26" s="46" t="n">
        <v>1</v>
      </c>
      <c r="L26" s="46" t="n">
        <v>8</v>
      </c>
      <c r="M26" s="46" t="n">
        <v>400.2</v>
      </c>
      <c r="N26" s="46" t="n">
        <v>4754</v>
      </c>
      <c r="O26" s="46" t="n">
        <v>360</v>
      </c>
      <c r="P26" s="46" t="n">
        <v>2089</v>
      </c>
      <c r="Q26" s="46" t="n">
        <v>4.8</v>
      </c>
      <c r="R26" s="46" t="n">
        <v>4.8</v>
      </c>
      <c r="S26" s="46" t="n">
        <v>0.84</v>
      </c>
      <c r="T26" s="46" t="n">
        <v>180</v>
      </c>
      <c r="U26" s="46" t="inlineStr">
        <is>
          <t>SAMPLE_VERINT_2026-10.xlsx</t>
        </is>
      </c>
      <c r="V26" s="46" t="inlineStr">
        <is>
          <t>Sample row - delete before live use</t>
        </is>
      </c>
    </row>
    <row r="27">
      <c r="A27" s="45" t="n">
        <v>46296</v>
      </c>
      <c r="B27" s="46" t="n">
        <v>0.5208333333333334</v>
      </c>
      <c r="C27" s="46" t="n">
        <v>0.5416666666666666</v>
      </c>
      <c r="D27" s="46" t="inlineStr">
        <is>
          <t>12:30 PM - 1:00 PM</t>
        </is>
      </c>
      <c r="E27" s="46" t="inlineStr">
        <is>
          <t>Manila</t>
        </is>
      </c>
      <c r="F27" s="46" t="inlineStr">
        <is>
          <t>CS_Voice_Billing</t>
        </is>
      </c>
      <c r="G27" s="46" t="inlineStr">
        <is>
          <t>Voice</t>
        </is>
      </c>
      <c r="H27" s="46" t="n">
        <v>22</v>
      </c>
      <c r="I27" s="46" t="n">
        <v>19</v>
      </c>
      <c r="J27" s="46" t="n">
        <v>3</v>
      </c>
      <c r="K27" s="46" t="n">
        <v>1</v>
      </c>
      <c r="L27" s="46" t="n">
        <v>44</v>
      </c>
      <c r="M27" s="46" t="n">
        <v>396.3</v>
      </c>
      <c r="N27" s="46" t="n">
        <v>4969</v>
      </c>
      <c r="O27" s="46" t="n">
        <v>376</v>
      </c>
      <c r="P27" s="46" t="n">
        <v>2183</v>
      </c>
      <c r="Q27" s="46" t="n">
        <v>5.2</v>
      </c>
      <c r="R27" s="46" t="n">
        <v>5.9</v>
      </c>
      <c r="S27" s="46" t="n">
        <v>0.782</v>
      </c>
      <c r="T27" s="46" t="n">
        <v>780</v>
      </c>
      <c r="U27" s="46" t="inlineStr">
        <is>
          <t>SAMPLE_VERINT_2026-10.xlsx</t>
        </is>
      </c>
      <c r="V27" s="46" t="inlineStr">
        <is>
          <t>Sample row - delete before live use</t>
        </is>
      </c>
    </row>
    <row r="28">
      <c r="A28" s="45" t="n">
        <v>46296</v>
      </c>
      <c r="B28" s="46" t="n">
        <v>0.5416666666666666</v>
      </c>
      <c r="C28" s="46" t="n">
        <v>0.5625</v>
      </c>
      <c r="D28" s="46" t="inlineStr">
        <is>
          <t>1:00 PM - 1:30 PM</t>
        </is>
      </c>
      <c r="E28" s="46" t="inlineStr">
        <is>
          <t>Manila</t>
        </is>
      </c>
      <c r="F28" s="46" t="inlineStr">
        <is>
          <t>CS_Voice_Billing</t>
        </is>
      </c>
      <c r="G28" s="46" t="inlineStr">
        <is>
          <t>Voice</t>
        </is>
      </c>
      <c r="H28" s="46" t="n">
        <v>23</v>
      </c>
      <c r="I28" s="46" t="n">
        <v>21</v>
      </c>
      <c r="J28" s="46" t="n">
        <v>2</v>
      </c>
      <c r="K28" s="46" t="n">
        <v>1</v>
      </c>
      <c r="L28" s="46" t="n">
        <v>58</v>
      </c>
      <c r="M28" s="46" t="n">
        <v>415</v>
      </c>
      <c r="N28" s="46" t="n">
        <v>5751</v>
      </c>
      <c r="O28" s="46" t="n">
        <v>436</v>
      </c>
      <c r="P28" s="46" t="n">
        <v>2527</v>
      </c>
      <c r="Q28" s="46" t="n">
        <v>5.7</v>
      </c>
      <c r="R28" s="46" t="n">
        <v>5.5</v>
      </c>
      <c r="S28" s="46" t="n">
        <v>0.861</v>
      </c>
      <c r="T28" s="46" t="n">
        <v>780</v>
      </c>
      <c r="U28" s="46" t="inlineStr">
        <is>
          <t>SAMPLE_VERINT_2026-10.xlsx</t>
        </is>
      </c>
      <c r="V28" s="46" t="inlineStr">
        <is>
          <t>Sample row - delete before live use</t>
        </is>
      </c>
    </row>
    <row r="29">
      <c r="A29" s="45" t="n">
        <v>46296</v>
      </c>
      <c r="B29" s="46" t="n">
        <v>0.5625</v>
      </c>
      <c r="C29" s="46" t="n">
        <v>0.5833333333333334</v>
      </c>
      <c r="D29" s="46" t="inlineStr">
        <is>
          <t>1:30 PM - 2:00 PM</t>
        </is>
      </c>
      <c r="E29" s="46" t="inlineStr">
        <is>
          <t>Manila</t>
        </is>
      </c>
      <c r="F29" s="46" t="inlineStr">
        <is>
          <t>CS_Voice_Billing</t>
        </is>
      </c>
      <c r="G29" s="46" t="inlineStr">
        <is>
          <t>Voice</t>
        </is>
      </c>
      <c r="H29" s="46" t="n">
        <v>20</v>
      </c>
      <c r="I29" s="46" t="n">
        <v>18</v>
      </c>
      <c r="J29" s="46" t="n">
        <v>2</v>
      </c>
      <c r="K29" s="46" t="n">
        <v>1</v>
      </c>
      <c r="L29" s="46" t="n">
        <v>24</v>
      </c>
      <c r="M29" s="46" t="n">
        <v>395.1</v>
      </c>
      <c r="N29" s="46" t="n">
        <v>4694</v>
      </c>
      <c r="O29" s="46" t="n">
        <v>356</v>
      </c>
      <c r="P29" s="46" t="n">
        <v>2062</v>
      </c>
      <c r="Q29" s="46" t="n">
        <v>4.7</v>
      </c>
      <c r="R29" s="46" t="n">
        <v>4.8</v>
      </c>
      <c r="S29" s="46" t="n">
        <v>0.84</v>
      </c>
      <c r="T29" s="46" t="n">
        <v>120</v>
      </c>
      <c r="U29" s="46" t="inlineStr">
        <is>
          <t>SAMPLE_VERINT_2026-10.xlsx</t>
        </is>
      </c>
      <c r="V29" s="46" t="inlineStr">
        <is>
          <t>Sample row - delete before live use</t>
        </is>
      </c>
    </row>
    <row r="30">
      <c r="A30" s="45" t="n">
        <v>46296</v>
      </c>
      <c r="B30" s="46" t="n">
        <v>0.3333333333333333</v>
      </c>
      <c r="C30" s="46" t="n">
        <v>0.3541666666666667</v>
      </c>
      <c r="D30" s="46" t="inlineStr">
        <is>
          <t>8:00 AM - 8:30 AM</t>
        </is>
      </c>
      <c r="E30" s="46" t="inlineStr">
        <is>
          <t>Manila</t>
        </is>
      </c>
      <c r="F30" s="46" t="inlineStr">
        <is>
          <t>Tech_Support</t>
        </is>
      </c>
      <c r="G30" s="46" t="inlineStr">
        <is>
          <t>Voice</t>
        </is>
      </c>
      <c r="H30" s="46" t="n">
        <v>10</v>
      </c>
      <c r="I30" s="46" t="n">
        <v>9</v>
      </c>
      <c r="J30" s="46" t="n">
        <v>1</v>
      </c>
      <c r="K30" s="46" t="n">
        <v>0</v>
      </c>
      <c r="L30" s="46" t="n">
        <v>24</v>
      </c>
      <c r="M30" s="46" t="n">
        <v>332.4</v>
      </c>
      <c r="N30" s="46" t="n">
        <v>1974</v>
      </c>
      <c r="O30" s="46" t="n">
        <v>150</v>
      </c>
      <c r="P30" s="46" t="n">
        <v>868</v>
      </c>
      <c r="Q30" s="46" t="n">
        <v>2</v>
      </c>
      <c r="R30" s="46" t="n">
        <v>2.3</v>
      </c>
      <c r="S30" s="46" t="n">
        <v>0.84</v>
      </c>
      <c r="T30" s="46" t="n">
        <v>180</v>
      </c>
      <c r="U30" s="46" t="inlineStr">
        <is>
          <t>SAMPLE_VERINT_2026-10.xlsx</t>
        </is>
      </c>
      <c r="V30" s="46" t="inlineStr">
        <is>
          <t>Sample row - delete before live use</t>
        </is>
      </c>
    </row>
    <row r="31">
      <c r="A31" s="45" t="n">
        <v>46296</v>
      </c>
      <c r="B31" s="46" t="n">
        <v>0.3541666666666667</v>
      </c>
      <c r="C31" s="46" t="n">
        <v>0.375</v>
      </c>
      <c r="D31" s="46" t="inlineStr">
        <is>
          <t>8:30 AM - 9:00 AM</t>
        </is>
      </c>
      <c r="E31" s="46" t="inlineStr">
        <is>
          <t>Manila</t>
        </is>
      </c>
      <c r="F31" s="46" t="inlineStr">
        <is>
          <t>Tech_Support</t>
        </is>
      </c>
      <c r="G31" s="46" t="inlineStr">
        <is>
          <t>Voice</t>
        </is>
      </c>
      <c r="H31" s="46" t="n">
        <v>12</v>
      </c>
      <c r="I31" s="46" t="n">
        <v>11</v>
      </c>
      <c r="J31" s="46" t="n">
        <v>1</v>
      </c>
      <c r="K31" s="46" t="n">
        <v>0</v>
      </c>
      <c r="L31" s="46" t="n">
        <v>31</v>
      </c>
      <c r="M31" s="46" t="n">
        <v>317.4</v>
      </c>
      <c r="N31" s="46" t="n">
        <v>2304</v>
      </c>
      <c r="O31" s="46" t="n">
        <v>175</v>
      </c>
      <c r="P31" s="46" t="n">
        <v>1013</v>
      </c>
      <c r="Q31" s="46" t="n">
        <v>2.3</v>
      </c>
      <c r="R31" s="46" t="n">
        <v>2.4</v>
      </c>
      <c r="S31" s="46" t="n">
        <v>0.867</v>
      </c>
      <c r="T31" s="46" t="n">
        <v>120</v>
      </c>
      <c r="U31" s="46" t="inlineStr">
        <is>
          <t>SAMPLE_VERINT_2026-10.xlsx</t>
        </is>
      </c>
      <c r="V31" s="46" t="inlineStr">
        <is>
          <t>Sample row - delete before live use</t>
        </is>
      </c>
    </row>
    <row r="32">
      <c r="A32" s="45" t="n">
        <v>46296</v>
      </c>
      <c r="B32" s="46" t="n">
        <v>0.375</v>
      </c>
      <c r="C32" s="46" t="n">
        <v>0.3958333333333333</v>
      </c>
      <c r="D32" s="46" t="inlineStr">
        <is>
          <t>9:00 AM - 9:30 AM</t>
        </is>
      </c>
      <c r="E32" s="46" t="inlineStr">
        <is>
          <t>Manila</t>
        </is>
      </c>
      <c r="F32" s="46" t="inlineStr">
        <is>
          <t>Tech_Support</t>
        </is>
      </c>
      <c r="G32" s="46" t="inlineStr">
        <is>
          <t>Voice</t>
        </is>
      </c>
      <c r="H32" s="46" t="n">
        <v>19</v>
      </c>
      <c r="I32" s="46" t="n">
        <v>17</v>
      </c>
      <c r="J32" s="46" t="n">
        <v>2</v>
      </c>
      <c r="K32" s="46" t="n">
        <v>1</v>
      </c>
      <c r="L32" s="46" t="n">
        <v>24</v>
      </c>
      <c r="M32" s="46" t="n">
        <v>312</v>
      </c>
      <c r="N32" s="46" t="n">
        <v>3500</v>
      </c>
      <c r="O32" s="46" t="n">
        <v>265</v>
      </c>
      <c r="P32" s="46" t="n">
        <v>1538</v>
      </c>
      <c r="Q32" s="46" t="n">
        <v>3.6</v>
      </c>
      <c r="R32" s="46" t="n">
        <v>3.6</v>
      </c>
      <c r="S32" s="46" t="n">
        <v>0.832</v>
      </c>
      <c r="T32" s="46" t="n">
        <v>180</v>
      </c>
      <c r="U32" s="46" t="inlineStr">
        <is>
          <t>SAMPLE_VERINT_2026-10.xlsx</t>
        </is>
      </c>
      <c r="V32" s="46" t="inlineStr">
        <is>
          <t>Sample row - delete before live use</t>
        </is>
      </c>
    </row>
    <row r="33">
      <c r="A33" s="45" t="n">
        <v>46296</v>
      </c>
      <c r="B33" s="46" t="n">
        <v>0.3958333333333333</v>
      </c>
      <c r="C33" s="46" t="n">
        <v>0.4166666666666667</v>
      </c>
      <c r="D33" s="46" t="inlineStr">
        <is>
          <t>9:30 AM - 10:00 AM</t>
        </is>
      </c>
      <c r="E33" s="46" t="inlineStr">
        <is>
          <t>Manila</t>
        </is>
      </c>
      <c r="F33" s="46" t="inlineStr">
        <is>
          <t>Tech_Support</t>
        </is>
      </c>
      <c r="G33" s="46" t="inlineStr">
        <is>
          <t>Voice</t>
        </is>
      </c>
      <c r="H33" s="46" t="n">
        <v>18</v>
      </c>
      <c r="I33" s="46" t="n">
        <v>17</v>
      </c>
      <c r="J33" s="46" t="n">
        <v>1</v>
      </c>
      <c r="K33" s="46" t="n">
        <v>0</v>
      </c>
      <c r="L33" s="46" t="n">
        <v>8</v>
      </c>
      <c r="M33" s="46" t="n">
        <v>402.4</v>
      </c>
      <c r="N33" s="46" t="n">
        <v>4515</v>
      </c>
      <c r="O33" s="46" t="n">
        <v>342</v>
      </c>
      <c r="P33" s="46" t="n">
        <v>1984</v>
      </c>
      <c r="Q33" s="46" t="n">
        <v>4.3</v>
      </c>
      <c r="R33" s="46" t="n">
        <v>4.5</v>
      </c>
      <c r="S33" s="46" t="n">
        <v>0.911</v>
      </c>
      <c r="T33" s="46" t="n">
        <v>780</v>
      </c>
      <c r="U33" s="46" t="inlineStr">
        <is>
          <t>SAMPLE_VERINT_2026-10.xlsx</t>
        </is>
      </c>
      <c r="V33" s="46" t="inlineStr">
        <is>
          <t>Sample row - delete before live use</t>
        </is>
      </c>
    </row>
    <row r="34">
      <c r="A34" s="45" t="n">
        <v>46296</v>
      </c>
      <c r="B34" s="46" t="n">
        <v>0.4166666666666667</v>
      </c>
      <c r="C34" s="46" t="n">
        <v>0.4375</v>
      </c>
      <c r="D34" s="46" t="inlineStr">
        <is>
          <t>10:00 AM - 10:30 AM</t>
        </is>
      </c>
      <c r="E34" s="46" t="inlineStr">
        <is>
          <t>Manila</t>
        </is>
      </c>
      <c r="F34" s="46" t="inlineStr">
        <is>
          <t>Tech_Support</t>
        </is>
      </c>
      <c r="G34" s="46" t="inlineStr">
        <is>
          <t>Voice</t>
        </is>
      </c>
      <c r="H34" s="46" t="n">
        <v>18</v>
      </c>
      <c r="I34" s="46" t="n">
        <v>17</v>
      </c>
      <c r="J34" s="46" t="n">
        <v>1</v>
      </c>
      <c r="K34" s="46" t="n">
        <v>0</v>
      </c>
      <c r="L34" s="46" t="n">
        <v>12</v>
      </c>
      <c r="M34" s="46" t="n">
        <v>381.7</v>
      </c>
      <c r="N34" s="46" t="n">
        <v>4282</v>
      </c>
      <c r="O34" s="46" t="n">
        <v>324</v>
      </c>
      <c r="P34" s="46" t="n">
        <v>1882</v>
      </c>
      <c r="Q34" s="46" t="n">
        <v>4.1</v>
      </c>
      <c r="R34" s="46" t="n">
        <v>4.2</v>
      </c>
      <c r="S34" s="46" t="n">
        <v>0.911</v>
      </c>
      <c r="T34" s="46" t="n">
        <v>120</v>
      </c>
      <c r="U34" s="46" t="inlineStr">
        <is>
          <t>SAMPLE_VERINT_2026-10.xlsx</t>
        </is>
      </c>
      <c r="V34" s="46" t="inlineStr">
        <is>
          <t>Sample row - delete before live use</t>
        </is>
      </c>
    </row>
    <row r="35">
      <c r="A35" s="45" t="n">
        <v>46296</v>
      </c>
      <c r="B35" s="46" t="n">
        <v>0.4375</v>
      </c>
      <c r="C35" s="46" t="n">
        <v>0.4583333333333333</v>
      </c>
      <c r="D35" s="46" t="inlineStr">
        <is>
          <t>10:30 AM - 11:00 AM</t>
        </is>
      </c>
      <c r="E35" s="46" t="inlineStr">
        <is>
          <t>Manila</t>
        </is>
      </c>
      <c r="F35" s="46" t="inlineStr">
        <is>
          <t>Tech_Support</t>
        </is>
      </c>
      <c r="G35" s="46" t="inlineStr">
        <is>
          <t>Voice</t>
        </is>
      </c>
      <c r="H35" s="46" t="n">
        <v>18</v>
      </c>
      <c r="I35" s="46" t="n">
        <v>16</v>
      </c>
      <c r="J35" s="46" t="n">
        <v>2</v>
      </c>
      <c r="K35" s="46" t="n">
        <v>1</v>
      </c>
      <c r="L35" s="46" t="n">
        <v>31</v>
      </c>
      <c r="M35" s="46" t="n">
        <v>381.4</v>
      </c>
      <c r="N35" s="46" t="n">
        <v>4027</v>
      </c>
      <c r="O35" s="46" t="n">
        <v>305</v>
      </c>
      <c r="P35" s="46" t="n">
        <v>1770</v>
      </c>
      <c r="Q35" s="46" t="n">
        <v>4.1</v>
      </c>
      <c r="R35" s="46" t="n">
        <v>4.5</v>
      </c>
      <c r="S35" s="46" t="n">
        <v>0.822</v>
      </c>
      <c r="T35" s="46" t="n">
        <v>120</v>
      </c>
      <c r="U35" s="46" t="inlineStr">
        <is>
          <t>SAMPLE_VERINT_2026-10.xlsx</t>
        </is>
      </c>
      <c r="V35" s="46" t="inlineStr">
        <is>
          <t>Sample row - delete before live use</t>
        </is>
      </c>
    </row>
    <row r="36">
      <c r="A36" s="45" t="n">
        <v>46296</v>
      </c>
      <c r="B36" s="46" t="n">
        <v>0.4583333333333333</v>
      </c>
      <c r="C36" s="46" t="n">
        <v>0.4791666666666667</v>
      </c>
      <c r="D36" s="46" t="inlineStr">
        <is>
          <t>11:00 AM - 11:30 AM</t>
        </is>
      </c>
      <c r="E36" s="46" t="inlineStr">
        <is>
          <t>Manila</t>
        </is>
      </c>
      <c r="F36" s="46" t="inlineStr">
        <is>
          <t>Tech_Support</t>
        </is>
      </c>
      <c r="G36" s="46" t="inlineStr">
        <is>
          <t>Voice</t>
        </is>
      </c>
      <c r="H36" s="46" t="n">
        <v>15</v>
      </c>
      <c r="I36" s="46" t="n">
        <v>14</v>
      </c>
      <c r="J36" s="46" t="n">
        <v>1</v>
      </c>
      <c r="K36" s="46" t="n">
        <v>0</v>
      </c>
      <c r="L36" s="46" t="n">
        <v>8</v>
      </c>
      <c r="M36" s="46" t="n">
        <v>361.5</v>
      </c>
      <c r="N36" s="46" t="n">
        <v>3340</v>
      </c>
      <c r="O36" s="46" t="n">
        <v>253</v>
      </c>
      <c r="P36" s="46" t="n">
        <v>1468</v>
      </c>
      <c r="Q36" s="46" t="n">
        <v>3.3</v>
      </c>
      <c r="R36" s="46" t="n">
        <v>3.6</v>
      </c>
      <c r="S36" s="46" t="n">
        <v>0.893</v>
      </c>
      <c r="T36" s="46" t="n">
        <v>780</v>
      </c>
      <c r="U36" s="46" t="inlineStr">
        <is>
          <t>SAMPLE_VERINT_2026-10.xlsx</t>
        </is>
      </c>
      <c r="V36" s="46" t="inlineStr">
        <is>
          <t>Sample row - delete before live use</t>
        </is>
      </c>
    </row>
    <row r="37">
      <c r="A37" s="45" t="n">
        <v>46296</v>
      </c>
      <c r="B37" s="46" t="n">
        <v>0.4791666666666667</v>
      </c>
      <c r="C37" s="46" t="n">
        <v>0.5</v>
      </c>
      <c r="D37" s="46" t="inlineStr">
        <is>
          <t>11:30 AM - 12:00 PM</t>
        </is>
      </c>
      <c r="E37" s="46" t="inlineStr">
        <is>
          <t>Manila</t>
        </is>
      </c>
      <c r="F37" s="46" t="inlineStr">
        <is>
          <t>Tech_Support</t>
        </is>
      </c>
      <c r="G37" s="46" t="inlineStr">
        <is>
          <t>Voice</t>
        </is>
      </c>
      <c r="H37" s="46" t="n">
        <v>15</v>
      </c>
      <c r="I37" s="46" t="n">
        <v>14</v>
      </c>
      <c r="J37" s="46" t="n">
        <v>1</v>
      </c>
      <c r="K37" s="46" t="n">
        <v>0</v>
      </c>
      <c r="L37" s="46" t="n">
        <v>18</v>
      </c>
      <c r="M37" s="46" t="n">
        <v>446.8</v>
      </c>
      <c r="N37" s="46" t="n">
        <v>4128</v>
      </c>
      <c r="O37" s="46" t="n">
        <v>313</v>
      </c>
      <c r="P37" s="46" t="n">
        <v>1814</v>
      </c>
      <c r="Q37" s="46" t="n">
        <v>4</v>
      </c>
      <c r="R37" s="46" t="n">
        <v>4.4</v>
      </c>
      <c r="S37" s="46" t="n">
        <v>0.893</v>
      </c>
      <c r="T37" s="46" t="n">
        <v>420</v>
      </c>
      <c r="U37" s="46" t="inlineStr">
        <is>
          <t>SAMPLE_VERINT_2026-10.xlsx</t>
        </is>
      </c>
      <c r="V37" s="46" t="inlineStr">
        <is>
          <t>Sample row - delete before live use</t>
        </is>
      </c>
    </row>
    <row r="38">
      <c r="A38" s="45" t="n">
        <v>46296</v>
      </c>
      <c r="B38" s="46" t="n">
        <v>0.5</v>
      </c>
      <c r="C38" s="46" t="n">
        <v>0.5208333333333334</v>
      </c>
      <c r="D38" s="46" t="inlineStr">
        <is>
          <t>12:00 PM - 12:30 PM</t>
        </is>
      </c>
      <c r="E38" s="46" t="inlineStr">
        <is>
          <t>Manila</t>
        </is>
      </c>
      <c r="F38" s="46" t="inlineStr">
        <is>
          <t>Tech_Support</t>
        </is>
      </c>
      <c r="G38" s="46" t="inlineStr">
        <is>
          <t>Voice</t>
        </is>
      </c>
      <c r="H38" s="46" t="n">
        <v>14</v>
      </c>
      <c r="I38" s="46" t="n">
        <v>12</v>
      </c>
      <c r="J38" s="46" t="n">
        <v>2</v>
      </c>
      <c r="K38" s="46" t="n">
        <v>1</v>
      </c>
      <c r="L38" s="46" t="n">
        <v>58</v>
      </c>
      <c r="M38" s="46" t="n">
        <v>431.2</v>
      </c>
      <c r="N38" s="46" t="n">
        <v>3415</v>
      </c>
      <c r="O38" s="46" t="n">
        <v>259</v>
      </c>
      <c r="P38" s="46" t="n">
        <v>1501</v>
      </c>
      <c r="Q38" s="46" t="n">
        <v>3.6</v>
      </c>
      <c r="R38" s="46" t="n">
        <v>3.8</v>
      </c>
      <c r="S38" s="46" t="n">
        <v>0.771</v>
      </c>
      <c r="T38" s="46" t="n">
        <v>420</v>
      </c>
      <c r="U38" s="46" t="inlineStr">
        <is>
          <t>SAMPLE_VERINT_2026-10.xlsx</t>
        </is>
      </c>
      <c r="V38" s="46" t="inlineStr">
        <is>
          <t>Sample row - delete before live use</t>
        </is>
      </c>
    </row>
    <row r="39">
      <c r="A39" s="45" t="n">
        <v>46296</v>
      </c>
      <c r="B39" s="46" t="n">
        <v>0.5208333333333334</v>
      </c>
      <c r="C39" s="46" t="n">
        <v>0.5416666666666666</v>
      </c>
      <c r="D39" s="46" t="inlineStr">
        <is>
          <t>12:30 PM - 1:00 PM</t>
        </is>
      </c>
      <c r="E39" s="46" t="inlineStr">
        <is>
          <t>Manila</t>
        </is>
      </c>
      <c r="F39" s="46" t="inlineStr">
        <is>
          <t>Tech_Support</t>
        </is>
      </c>
      <c r="G39" s="46" t="inlineStr">
        <is>
          <t>Voice</t>
        </is>
      </c>
      <c r="H39" s="46" t="n">
        <v>15</v>
      </c>
      <c r="I39" s="46" t="n">
        <v>13</v>
      </c>
      <c r="J39" s="46" t="n">
        <v>2</v>
      </c>
      <c r="K39" s="46" t="n">
        <v>1</v>
      </c>
      <c r="L39" s="46" t="n">
        <v>58</v>
      </c>
      <c r="M39" s="46" t="n">
        <v>438</v>
      </c>
      <c r="N39" s="46" t="n">
        <v>3758</v>
      </c>
      <c r="O39" s="46" t="n">
        <v>285</v>
      </c>
      <c r="P39" s="46" t="n">
        <v>1651</v>
      </c>
      <c r="Q39" s="46" t="n">
        <v>3.9</v>
      </c>
      <c r="R39" s="46" t="n">
        <v>4.5</v>
      </c>
      <c r="S39" s="46" t="n">
        <v>0.787</v>
      </c>
      <c r="T39" s="46" t="n">
        <v>180</v>
      </c>
      <c r="U39" s="46" t="inlineStr">
        <is>
          <t>SAMPLE_VERINT_2026-10.xlsx</t>
        </is>
      </c>
      <c r="V39" s="46" t="inlineStr">
        <is>
          <t>Sample row - delete before live use</t>
        </is>
      </c>
    </row>
    <row r="40">
      <c r="A40" s="45" t="n">
        <v>46296</v>
      </c>
      <c r="B40" s="46" t="n">
        <v>0.5416666666666666</v>
      </c>
      <c r="C40" s="46" t="n">
        <v>0.5625</v>
      </c>
      <c r="D40" s="46" t="inlineStr">
        <is>
          <t>1:00 PM - 1:30 PM</t>
        </is>
      </c>
      <c r="E40" s="46" t="inlineStr">
        <is>
          <t>Manila</t>
        </is>
      </c>
      <c r="F40" s="46" t="inlineStr">
        <is>
          <t>Tech_Support</t>
        </is>
      </c>
      <c r="G40" s="46" t="inlineStr">
        <is>
          <t>Voice</t>
        </is>
      </c>
      <c r="H40" s="46" t="n">
        <v>17</v>
      </c>
      <c r="I40" s="46" t="n">
        <v>16</v>
      </c>
      <c r="J40" s="46" t="n">
        <v>1</v>
      </c>
      <c r="K40" s="46" t="n">
        <v>0</v>
      </c>
      <c r="L40" s="46" t="n">
        <v>31</v>
      </c>
      <c r="M40" s="46" t="n">
        <v>425.8</v>
      </c>
      <c r="N40" s="46" t="n">
        <v>4496</v>
      </c>
      <c r="O40" s="46" t="n">
        <v>341</v>
      </c>
      <c r="P40" s="46" t="n">
        <v>1976</v>
      </c>
      <c r="Q40" s="46" t="n">
        <v>4.3</v>
      </c>
      <c r="R40" s="46" t="n">
        <v>4.3</v>
      </c>
      <c r="S40" s="46" t="n">
        <v>0.906</v>
      </c>
      <c r="T40" s="46" t="n">
        <v>310</v>
      </c>
      <c r="U40" s="46" t="inlineStr">
        <is>
          <t>SAMPLE_VERINT_2026-10.xlsx</t>
        </is>
      </c>
      <c r="V40" s="46" t="inlineStr">
        <is>
          <t>Sample row - delete before live use</t>
        </is>
      </c>
    </row>
    <row r="41">
      <c r="A41" s="45" t="n">
        <v>46296</v>
      </c>
      <c r="B41" s="46" t="n">
        <v>0.5625</v>
      </c>
      <c r="C41" s="46" t="n">
        <v>0.5833333333333334</v>
      </c>
      <c r="D41" s="46" t="inlineStr">
        <is>
          <t>1:30 PM - 2:00 PM</t>
        </is>
      </c>
      <c r="E41" s="46" t="inlineStr">
        <is>
          <t>Manila</t>
        </is>
      </c>
      <c r="F41" s="46" t="inlineStr">
        <is>
          <t>Tech_Support</t>
        </is>
      </c>
      <c r="G41" s="46" t="inlineStr">
        <is>
          <t>Voice</t>
        </is>
      </c>
      <c r="H41" s="46" t="n">
        <v>12</v>
      </c>
      <c r="I41" s="46" t="n">
        <v>10</v>
      </c>
      <c r="J41" s="46" t="n">
        <v>2</v>
      </c>
      <c r="K41" s="46" t="n">
        <v>1</v>
      </c>
      <c r="L41" s="46" t="n">
        <v>18</v>
      </c>
      <c r="M41" s="46" t="n">
        <v>304.7</v>
      </c>
      <c r="N41" s="46" t="n">
        <v>2011</v>
      </c>
      <c r="O41" s="46" t="n">
        <v>152</v>
      </c>
      <c r="P41" s="46" t="n">
        <v>884</v>
      </c>
      <c r="Q41" s="46" t="n">
        <v>2.2</v>
      </c>
      <c r="R41" s="46" t="n">
        <v>2.2</v>
      </c>
      <c r="S41" s="46" t="n">
        <v>0.733</v>
      </c>
      <c r="T41" s="46" t="n">
        <v>180</v>
      </c>
      <c r="U41" s="46" t="inlineStr">
        <is>
          <t>SAMPLE_VERINT_2026-10.xlsx</t>
        </is>
      </c>
      <c r="V41" s="46" t="inlineStr">
        <is>
          <t>Sample row - delete before live use</t>
        </is>
      </c>
    </row>
    <row r="42">
      <c r="A42" s="45" t="n">
        <v>46296</v>
      </c>
      <c r="B42" s="46" t="n">
        <v>0.3333333333333333</v>
      </c>
      <c r="C42" s="46" t="n">
        <v>0.3541666666666667</v>
      </c>
      <c r="D42" s="46" t="inlineStr">
        <is>
          <t>8:00 AM - 8:30 AM</t>
        </is>
      </c>
      <c r="E42" s="46" t="inlineStr">
        <is>
          <t>Manila</t>
        </is>
      </c>
      <c r="F42" s="46" t="inlineStr">
        <is>
          <t>Retention</t>
        </is>
      </c>
      <c r="G42" s="46" t="inlineStr">
        <is>
          <t>Voice</t>
        </is>
      </c>
      <c r="H42" s="46" t="n">
        <v>7</v>
      </c>
      <c r="I42" s="46" t="n">
        <v>7</v>
      </c>
      <c r="J42" s="46" t="n">
        <v>0</v>
      </c>
      <c r="K42" s="46" t="n">
        <v>0</v>
      </c>
      <c r="L42" s="46" t="n">
        <v>18</v>
      </c>
      <c r="M42" s="46" t="n">
        <v>376</v>
      </c>
      <c r="N42" s="46" t="n">
        <v>1737</v>
      </c>
      <c r="O42" s="46" t="n">
        <v>132</v>
      </c>
      <c r="P42" s="46" t="n">
        <v>763</v>
      </c>
      <c r="Q42" s="46" t="n">
        <v>1.6</v>
      </c>
      <c r="R42" s="46" t="n">
        <v>1.8</v>
      </c>
      <c r="S42" s="46" t="n">
        <v>0.98</v>
      </c>
      <c r="T42" s="46" t="n">
        <v>240</v>
      </c>
      <c r="U42" s="46" t="inlineStr">
        <is>
          <t>SAMPLE_VERINT_2026-10.xlsx</t>
        </is>
      </c>
      <c r="V42" s="46" t="inlineStr">
        <is>
          <t>Sample row - delete before live use</t>
        </is>
      </c>
    </row>
    <row r="43">
      <c r="A43" s="45" t="n">
        <v>46296</v>
      </c>
      <c r="B43" s="46" t="n">
        <v>0.3541666666666667</v>
      </c>
      <c r="C43" s="46" t="n">
        <v>0.375</v>
      </c>
      <c r="D43" s="46" t="inlineStr">
        <is>
          <t>8:30 AM - 9:00 AM</t>
        </is>
      </c>
      <c r="E43" s="46" t="inlineStr">
        <is>
          <t>Manila</t>
        </is>
      </c>
      <c r="F43" s="46" t="inlineStr">
        <is>
          <t>Retention</t>
        </is>
      </c>
      <c r="G43" s="46" t="inlineStr">
        <is>
          <t>Voice</t>
        </is>
      </c>
      <c r="H43" s="46" t="n">
        <v>8</v>
      </c>
      <c r="I43" s="46" t="n">
        <v>7</v>
      </c>
      <c r="J43" s="46" t="n">
        <v>1</v>
      </c>
      <c r="K43" s="46" t="n">
        <v>0</v>
      </c>
      <c r="L43" s="46" t="n">
        <v>24</v>
      </c>
      <c r="M43" s="46" t="n">
        <v>379.9</v>
      </c>
      <c r="N43" s="46" t="n">
        <v>1755</v>
      </c>
      <c r="O43" s="46" t="n">
        <v>133</v>
      </c>
      <c r="P43" s="46" t="n">
        <v>771</v>
      </c>
      <c r="Q43" s="46" t="n">
        <v>1.8</v>
      </c>
      <c r="R43" s="46" t="n">
        <v>1.8</v>
      </c>
      <c r="S43" s="46" t="n">
        <v>0.8</v>
      </c>
      <c r="T43" s="46" t="n">
        <v>420</v>
      </c>
      <c r="U43" s="46" t="inlineStr">
        <is>
          <t>SAMPLE_VERINT_2026-10.xlsx</t>
        </is>
      </c>
      <c r="V43" s="46" t="inlineStr">
        <is>
          <t>Sample row - delete before live use</t>
        </is>
      </c>
    </row>
    <row r="44">
      <c r="A44" s="45" t="n">
        <v>46296</v>
      </c>
      <c r="B44" s="46" t="n">
        <v>0.375</v>
      </c>
      <c r="C44" s="46" t="n">
        <v>0.3958333333333333</v>
      </c>
      <c r="D44" s="46" t="inlineStr">
        <is>
          <t>9:00 AM - 9:30 AM</t>
        </is>
      </c>
      <c r="E44" s="46" t="inlineStr">
        <is>
          <t>Manila</t>
        </is>
      </c>
      <c r="F44" s="46" t="inlineStr">
        <is>
          <t>Retention</t>
        </is>
      </c>
      <c r="G44" s="46" t="inlineStr">
        <is>
          <t>Voice</t>
        </is>
      </c>
      <c r="H44" s="46" t="n">
        <v>13</v>
      </c>
      <c r="I44" s="46" t="n">
        <v>12</v>
      </c>
      <c r="J44" s="46" t="n">
        <v>1</v>
      </c>
      <c r="K44" s="46" t="n">
        <v>0</v>
      </c>
      <c r="L44" s="46" t="n">
        <v>18</v>
      </c>
      <c r="M44" s="46" t="n">
        <v>300.3</v>
      </c>
      <c r="N44" s="46" t="n">
        <v>2379</v>
      </c>
      <c r="O44" s="46" t="n">
        <v>180</v>
      </c>
      <c r="P44" s="46" t="n">
        <v>1045</v>
      </c>
      <c r="Q44" s="46" t="n">
        <v>2.3</v>
      </c>
      <c r="R44" s="46" t="n">
        <v>2.6</v>
      </c>
      <c r="S44" s="46" t="n">
        <v>0.877</v>
      </c>
      <c r="T44" s="46" t="n">
        <v>780</v>
      </c>
      <c r="U44" s="46" t="inlineStr">
        <is>
          <t>SAMPLE_VERINT_2026-10.xlsx</t>
        </is>
      </c>
      <c r="V44" s="46" t="inlineStr">
        <is>
          <t>Sample row - delete before live use</t>
        </is>
      </c>
    </row>
    <row r="45">
      <c r="A45" s="45" t="n">
        <v>46296</v>
      </c>
      <c r="B45" s="46" t="n">
        <v>0.3958333333333333</v>
      </c>
      <c r="C45" s="46" t="n">
        <v>0.4166666666666667</v>
      </c>
      <c r="D45" s="46" t="inlineStr">
        <is>
          <t>9:30 AM - 10:00 AM</t>
        </is>
      </c>
      <c r="E45" s="46" t="inlineStr">
        <is>
          <t>Manila</t>
        </is>
      </c>
      <c r="F45" s="46" t="inlineStr">
        <is>
          <t>Retention</t>
        </is>
      </c>
      <c r="G45" s="46" t="inlineStr">
        <is>
          <t>Voice</t>
        </is>
      </c>
      <c r="H45" s="46" t="n">
        <v>12</v>
      </c>
      <c r="I45" s="46" t="n">
        <v>11</v>
      </c>
      <c r="J45" s="46" t="n">
        <v>1</v>
      </c>
      <c r="K45" s="46" t="n">
        <v>0</v>
      </c>
      <c r="L45" s="46" t="n">
        <v>44</v>
      </c>
      <c r="M45" s="46" t="n">
        <v>320.4</v>
      </c>
      <c r="N45" s="46" t="n">
        <v>2326</v>
      </c>
      <c r="O45" s="46" t="n">
        <v>176</v>
      </c>
      <c r="P45" s="46" t="n">
        <v>1022</v>
      </c>
      <c r="Q45" s="46" t="n">
        <v>2.3</v>
      </c>
      <c r="R45" s="46" t="n">
        <v>2.4</v>
      </c>
      <c r="S45" s="46" t="n">
        <v>0.867</v>
      </c>
      <c r="T45" s="46" t="n">
        <v>780</v>
      </c>
      <c r="U45" s="46" t="inlineStr">
        <is>
          <t>SAMPLE_VERINT_2026-10.xlsx</t>
        </is>
      </c>
      <c r="V45" s="46" t="inlineStr">
        <is>
          <t>Sample row - delete before live use</t>
        </is>
      </c>
    </row>
    <row r="46">
      <c r="A46" s="45" t="n">
        <v>46296</v>
      </c>
      <c r="B46" s="46" t="n">
        <v>0.4166666666666667</v>
      </c>
      <c r="C46" s="46" t="n">
        <v>0.4375</v>
      </c>
      <c r="D46" s="46" t="inlineStr">
        <is>
          <t>10:00 AM - 10:30 AM</t>
        </is>
      </c>
      <c r="E46" s="46" t="inlineStr">
        <is>
          <t>Manila</t>
        </is>
      </c>
      <c r="F46" s="46" t="inlineStr">
        <is>
          <t>Retention</t>
        </is>
      </c>
      <c r="G46" s="46" t="inlineStr">
        <is>
          <t>Voice</t>
        </is>
      </c>
      <c r="H46" s="46" t="n">
        <v>11</v>
      </c>
      <c r="I46" s="46" t="n">
        <v>10</v>
      </c>
      <c r="J46" s="46" t="n">
        <v>1</v>
      </c>
      <c r="K46" s="46" t="n">
        <v>0</v>
      </c>
      <c r="L46" s="46" t="n">
        <v>8</v>
      </c>
      <c r="M46" s="46" t="n">
        <v>373.8</v>
      </c>
      <c r="N46" s="46" t="n">
        <v>2467</v>
      </c>
      <c r="O46" s="46" t="n">
        <v>187</v>
      </c>
      <c r="P46" s="46" t="n">
        <v>1084</v>
      </c>
      <c r="Q46" s="46" t="n">
        <v>2.5</v>
      </c>
      <c r="R46" s="46" t="n">
        <v>2.7</v>
      </c>
      <c r="S46" s="46" t="n">
        <v>0.855</v>
      </c>
      <c r="T46" s="46" t="n">
        <v>780</v>
      </c>
      <c r="U46" s="46" t="inlineStr">
        <is>
          <t>SAMPLE_VERINT_2026-10.xlsx</t>
        </is>
      </c>
      <c r="V46" s="46" t="inlineStr">
        <is>
          <t>Sample row - delete before live use</t>
        </is>
      </c>
    </row>
    <row r="47">
      <c r="A47" s="45" t="n">
        <v>46296</v>
      </c>
      <c r="B47" s="46" t="n">
        <v>0.4375</v>
      </c>
      <c r="C47" s="46" t="n">
        <v>0.4583333333333333</v>
      </c>
      <c r="D47" s="46" t="inlineStr">
        <is>
          <t>10:30 AM - 11:00 AM</t>
        </is>
      </c>
      <c r="E47" s="46" t="inlineStr">
        <is>
          <t>Manila</t>
        </is>
      </c>
      <c r="F47" s="46" t="inlineStr">
        <is>
          <t>Retention</t>
        </is>
      </c>
      <c r="G47" s="46" t="inlineStr">
        <is>
          <t>Voice</t>
        </is>
      </c>
      <c r="H47" s="46" t="n">
        <v>12</v>
      </c>
      <c r="I47" s="46" t="n">
        <v>11</v>
      </c>
      <c r="J47" s="46" t="n">
        <v>1</v>
      </c>
      <c r="K47" s="46" t="n">
        <v>0</v>
      </c>
      <c r="L47" s="46" t="n">
        <v>8</v>
      </c>
      <c r="M47" s="46" t="n">
        <v>378.7</v>
      </c>
      <c r="N47" s="46" t="n">
        <v>2750</v>
      </c>
      <c r="O47" s="46" t="n">
        <v>208</v>
      </c>
      <c r="P47" s="46" t="n">
        <v>1208</v>
      </c>
      <c r="Q47" s="46" t="n">
        <v>2.7</v>
      </c>
      <c r="R47" s="46" t="n">
        <v>3</v>
      </c>
      <c r="S47" s="46" t="n">
        <v>0.867</v>
      </c>
      <c r="T47" s="46" t="n">
        <v>600</v>
      </c>
      <c r="U47" s="46" t="inlineStr">
        <is>
          <t>SAMPLE_VERINT_2026-10.xlsx</t>
        </is>
      </c>
      <c r="V47" s="46" t="inlineStr">
        <is>
          <t>Sample row - delete before live use</t>
        </is>
      </c>
    </row>
    <row r="48">
      <c r="A48" s="45" t="n">
        <v>46296</v>
      </c>
      <c r="B48" s="46" t="n">
        <v>0.4583333333333333</v>
      </c>
      <c r="C48" s="46" t="n">
        <v>0.4791666666666667</v>
      </c>
      <c r="D48" s="46" t="inlineStr">
        <is>
          <t>11:00 AM - 11:30 AM</t>
        </is>
      </c>
      <c r="E48" s="46" t="inlineStr">
        <is>
          <t>Manila</t>
        </is>
      </c>
      <c r="F48" s="46" t="inlineStr">
        <is>
          <t>Retention</t>
        </is>
      </c>
      <c r="G48" s="46" t="inlineStr">
        <is>
          <t>Voice</t>
        </is>
      </c>
      <c r="H48" s="46" t="n">
        <v>10</v>
      </c>
      <c r="I48" s="46" t="n">
        <v>9</v>
      </c>
      <c r="J48" s="46" t="n">
        <v>1</v>
      </c>
      <c r="K48" s="46" t="n">
        <v>0</v>
      </c>
      <c r="L48" s="46" t="n">
        <v>24</v>
      </c>
      <c r="M48" s="46" t="n">
        <v>304.7</v>
      </c>
      <c r="N48" s="46" t="n">
        <v>1810</v>
      </c>
      <c r="O48" s="46" t="n">
        <v>137</v>
      </c>
      <c r="P48" s="46" t="n">
        <v>795</v>
      </c>
      <c r="Q48" s="46" t="n">
        <v>1.8</v>
      </c>
      <c r="R48" s="46" t="n">
        <v>1.9</v>
      </c>
      <c r="S48" s="46" t="n">
        <v>0.84</v>
      </c>
      <c r="T48" s="46" t="n">
        <v>780</v>
      </c>
      <c r="U48" s="46" t="inlineStr">
        <is>
          <t>SAMPLE_VERINT_2026-10.xlsx</t>
        </is>
      </c>
      <c r="V48" s="46" t="inlineStr">
        <is>
          <t>Sample row - delete before live use</t>
        </is>
      </c>
    </row>
    <row r="49">
      <c r="A49" s="45" t="n">
        <v>46296</v>
      </c>
      <c r="B49" s="46" t="n">
        <v>0.4791666666666667</v>
      </c>
      <c r="C49" s="46" t="n">
        <v>0.5</v>
      </c>
      <c r="D49" s="46" t="inlineStr">
        <is>
          <t>11:30 AM - 12:00 PM</t>
        </is>
      </c>
      <c r="E49" s="46" t="inlineStr">
        <is>
          <t>Manila</t>
        </is>
      </c>
      <c r="F49" s="46" t="inlineStr">
        <is>
          <t>Retention</t>
        </is>
      </c>
      <c r="G49" s="46" t="inlineStr">
        <is>
          <t>Voice</t>
        </is>
      </c>
      <c r="H49" s="46" t="n">
        <v>11</v>
      </c>
      <c r="I49" s="46" t="n">
        <v>10</v>
      </c>
      <c r="J49" s="46" t="n">
        <v>1</v>
      </c>
      <c r="K49" s="46" t="n">
        <v>0</v>
      </c>
      <c r="L49" s="46" t="n">
        <v>18</v>
      </c>
      <c r="M49" s="46" t="n">
        <v>401.3</v>
      </c>
      <c r="N49" s="46" t="n">
        <v>2649</v>
      </c>
      <c r="O49" s="46" t="n">
        <v>201</v>
      </c>
      <c r="P49" s="46" t="n">
        <v>1164</v>
      </c>
      <c r="Q49" s="46" t="n">
        <v>2.6</v>
      </c>
      <c r="R49" s="46" t="n">
        <v>2.7</v>
      </c>
      <c r="S49" s="46" t="n">
        <v>0.855</v>
      </c>
      <c r="T49" s="46" t="n">
        <v>180</v>
      </c>
      <c r="U49" s="46" t="inlineStr">
        <is>
          <t>SAMPLE_VERINT_2026-10.xlsx</t>
        </is>
      </c>
      <c r="V49" s="46" t="inlineStr">
        <is>
          <t>Sample row - delete before live use</t>
        </is>
      </c>
    </row>
    <row r="50">
      <c r="A50" s="45" t="n">
        <v>46296</v>
      </c>
      <c r="B50" s="46" t="n">
        <v>0.5</v>
      </c>
      <c r="C50" s="46" t="n">
        <v>0.5208333333333334</v>
      </c>
      <c r="D50" s="46" t="inlineStr">
        <is>
          <t>12:00 PM - 12:30 PM</t>
        </is>
      </c>
      <c r="E50" s="46" t="inlineStr">
        <is>
          <t>Manila</t>
        </is>
      </c>
      <c r="F50" s="46" t="inlineStr">
        <is>
          <t>Retention</t>
        </is>
      </c>
      <c r="G50" s="46" t="inlineStr">
        <is>
          <t>Voice</t>
        </is>
      </c>
      <c r="H50" s="46" t="n">
        <v>10</v>
      </c>
      <c r="I50" s="46" t="n">
        <v>9</v>
      </c>
      <c r="J50" s="46" t="n">
        <v>1</v>
      </c>
      <c r="K50" s="46" t="n">
        <v>0</v>
      </c>
      <c r="L50" s="46" t="n">
        <v>44</v>
      </c>
      <c r="M50" s="46" t="n">
        <v>302.4</v>
      </c>
      <c r="N50" s="46" t="n">
        <v>1796</v>
      </c>
      <c r="O50" s="46" t="n">
        <v>136</v>
      </c>
      <c r="P50" s="46" t="n">
        <v>789</v>
      </c>
      <c r="Q50" s="46" t="n">
        <v>1.8</v>
      </c>
      <c r="R50" s="46" t="n">
        <v>2.1</v>
      </c>
      <c r="S50" s="46" t="n">
        <v>0.84</v>
      </c>
      <c r="T50" s="46" t="n">
        <v>120</v>
      </c>
      <c r="U50" s="46" t="inlineStr">
        <is>
          <t>SAMPLE_VERINT_2026-10.xlsx</t>
        </is>
      </c>
      <c r="V50" s="46" t="inlineStr">
        <is>
          <t>Sample row - delete before live use</t>
        </is>
      </c>
    </row>
    <row r="51">
      <c r="A51" s="45" t="n">
        <v>46296</v>
      </c>
      <c r="B51" s="46" t="n">
        <v>0.5208333333333334</v>
      </c>
      <c r="C51" s="46" t="n">
        <v>0.5416666666666666</v>
      </c>
      <c r="D51" s="46" t="inlineStr">
        <is>
          <t>12:30 PM - 1:00 PM</t>
        </is>
      </c>
      <c r="E51" s="46" t="inlineStr">
        <is>
          <t>Manila</t>
        </is>
      </c>
      <c r="F51" s="46" t="inlineStr">
        <is>
          <t>Retention</t>
        </is>
      </c>
      <c r="G51" s="46" t="inlineStr">
        <is>
          <t>Voice</t>
        </is>
      </c>
      <c r="H51" s="46" t="n">
        <v>10</v>
      </c>
      <c r="I51" s="46" t="n">
        <v>9</v>
      </c>
      <c r="J51" s="46" t="n">
        <v>1</v>
      </c>
      <c r="K51" s="46" t="n">
        <v>0</v>
      </c>
      <c r="L51" s="46" t="n">
        <v>58</v>
      </c>
      <c r="M51" s="46" t="n">
        <v>373.7</v>
      </c>
      <c r="N51" s="46" t="n">
        <v>2220</v>
      </c>
      <c r="O51" s="46" t="n">
        <v>168</v>
      </c>
      <c r="P51" s="46" t="n">
        <v>975</v>
      </c>
      <c r="Q51" s="46" t="n">
        <v>2.2</v>
      </c>
      <c r="R51" s="46" t="n">
        <v>2.5</v>
      </c>
      <c r="S51" s="46" t="n">
        <v>0.84</v>
      </c>
      <c r="T51" s="46" t="n">
        <v>780</v>
      </c>
      <c r="U51" s="46" t="inlineStr">
        <is>
          <t>SAMPLE_VERINT_2026-10.xlsx</t>
        </is>
      </c>
      <c r="V51" s="46" t="inlineStr">
        <is>
          <t>Sample row - delete before live use</t>
        </is>
      </c>
    </row>
    <row r="52">
      <c r="A52" s="45" t="n">
        <v>46296</v>
      </c>
      <c r="B52" s="46" t="n">
        <v>0.5416666666666666</v>
      </c>
      <c r="C52" s="46" t="n">
        <v>0.5625</v>
      </c>
      <c r="D52" s="46" t="inlineStr">
        <is>
          <t>1:00 PM - 1:30 PM</t>
        </is>
      </c>
      <c r="E52" s="46" t="inlineStr">
        <is>
          <t>Manila</t>
        </is>
      </c>
      <c r="F52" s="46" t="inlineStr">
        <is>
          <t>Retention</t>
        </is>
      </c>
      <c r="G52" s="46" t="inlineStr">
        <is>
          <t>Voice</t>
        </is>
      </c>
      <c r="H52" s="46" t="n">
        <v>10</v>
      </c>
      <c r="I52" s="46" t="n">
        <v>9</v>
      </c>
      <c r="J52" s="46" t="n">
        <v>1</v>
      </c>
      <c r="K52" s="46" t="n">
        <v>0</v>
      </c>
      <c r="L52" s="46" t="n">
        <v>31</v>
      </c>
      <c r="M52" s="46" t="n">
        <v>349.8</v>
      </c>
      <c r="N52" s="46" t="n">
        <v>2078</v>
      </c>
      <c r="O52" s="46" t="n">
        <v>157</v>
      </c>
      <c r="P52" s="46" t="n">
        <v>913</v>
      </c>
      <c r="Q52" s="46" t="n">
        <v>2.1</v>
      </c>
      <c r="R52" s="46" t="n">
        <v>2.1</v>
      </c>
      <c r="S52" s="46" t="n">
        <v>0.84</v>
      </c>
      <c r="T52" s="46" t="n">
        <v>240</v>
      </c>
      <c r="U52" s="46" t="inlineStr">
        <is>
          <t>SAMPLE_VERINT_2026-10.xlsx</t>
        </is>
      </c>
      <c r="V52" s="46" t="inlineStr">
        <is>
          <t>Sample row - delete before live use</t>
        </is>
      </c>
    </row>
    <row r="53">
      <c r="A53" s="45" t="n">
        <v>46296</v>
      </c>
      <c r="B53" s="46" t="n">
        <v>0.5625</v>
      </c>
      <c r="C53" s="46" t="n">
        <v>0.5833333333333334</v>
      </c>
      <c r="D53" s="46" t="inlineStr">
        <is>
          <t>1:30 PM - 2:00 PM</t>
        </is>
      </c>
      <c r="E53" s="46" t="inlineStr">
        <is>
          <t>Manila</t>
        </is>
      </c>
      <c r="F53" s="46" t="inlineStr">
        <is>
          <t>Retention</t>
        </is>
      </c>
      <c r="G53" s="46" t="inlineStr">
        <is>
          <t>Voice</t>
        </is>
      </c>
      <c r="H53" s="46" t="n">
        <v>8</v>
      </c>
      <c r="I53" s="46" t="n">
        <v>7</v>
      </c>
      <c r="J53" s="46" t="n">
        <v>1</v>
      </c>
      <c r="K53" s="46" t="n">
        <v>0</v>
      </c>
      <c r="L53" s="46" t="n">
        <v>18</v>
      </c>
      <c r="M53" s="46" t="n">
        <v>322.3</v>
      </c>
      <c r="N53" s="46" t="n">
        <v>1489</v>
      </c>
      <c r="O53" s="46" t="n">
        <v>113</v>
      </c>
      <c r="P53" s="46" t="n">
        <v>654</v>
      </c>
      <c r="Q53" s="46" t="n">
        <v>1.5</v>
      </c>
      <c r="R53" s="46" t="n">
        <v>1.7</v>
      </c>
      <c r="S53" s="46" t="n">
        <v>0.8</v>
      </c>
      <c r="T53" s="46" t="n">
        <v>310</v>
      </c>
      <c r="U53" s="46" t="inlineStr">
        <is>
          <t>SAMPLE_VERINT_2026-10.xlsx</t>
        </is>
      </c>
      <c r="V53" s="46" t="inlineStr">
        <is>
          <t>Sample row - delete before live use</t>
        </is>
      </c>
    </row>
    <row r="54">
      <c r="A54" s="45" t="n">
        <v>46297</v>
      </c>
      <c r="B54" s="46" t="n">
        <v>0.3333333333333333</v>
      </c>
      <c r="C54" s="46" t="n">
        <v>0.3541666666666667</v>
      </c>
      <c r="D54" s="46" t="inlineStr">
        <is>
          <t>8:00 AM - 8:30 AM</t>
        </is>
      </c>
      <c r="E54" s="46" t="inlineStr">
        <is>
          <t>Manila</t>
        </is>
      </c>
      <c r="F54" s="46" t="inlineStr">
        <is>
          <t>CS_Voice_General</t>
        </is>
      </c>
      <c r="G54" s="46" t="inlineStr">
        <is>
          <t>Voice</t>
        </is>
      </c>
      <c r="H54" s="46" t="n">
        <v>24</v>
      </c>
      <c r="I54" s="46" t="n">
        <v>22</v>
      </c>
      <c r="J54" s="46" t="n">
        <v>2</v>
      </c>
      <c r="K54" s="46" t="n">
        <v>1</v>
      </c>
      <c r="L54" s="46" t="n">
        <v>31</v>
      </c>
      <c r="M54" s="46" t="n">
        <v>387.8</v>
      </c>
      <c r="N54" s="46" t="n">
        <v>5632</v>
      </c>
      <c r="O54" s="46" t="n">
        <v>427</v>
      </c>
      <c r="P54" s="46" t="n">
        <v>2474</v>
      </c>
      <c r="Q54" s="46" t="n">
        <v>5.6</v>
      </c>
      <c r="R54" s="46" t="n">
        <v>6.2</v>
      </c>
      <c r="S54" s="46" t="n">
        <v>0.867</v>
      </c>
      <c r="T54" s="46" t="n">
        <v>180</v>
      </c>
      <c r="U54" s="46" t="inlineStr">
        <is>
          <t>SAMPLE_VERINT_2026-10.xlsx</t>
        </is>
      </c>
      <c r="V54" s="46" t="inlineStr">
        <is>
          <t>Sample row - delete before live use</t>
        </is>
      </c>
    </row>
    <row r="55">
      <c r="A55" s="45" t="n">
        <v>46297</v>
      </c>
      <c r="B55" s="46" t="n">
        <v>0.3541666666666667</v>
      </c>
      <c r="C55" s="46" t="n">
        <v>0.375</v>
      </c>
      <c r="D55" s="46" t="inlineStr">
        <is>
          <t>8:30 AM - 9:00 AM</t>
        </is>
      </c>
      <c r="E55" s="46" t="inlineStr">
        <is>
          <t>Manila</t>
        </is>
      </c>
      <c r="F55" s="46" t="inlineStr">
        <is>
          <t>CS_Voice_General</t>
        </is>
      </c>
      <c r="G55" s="46" t="inlineStr">
        <is>
          <t>Voice</t>
        </is>
      </c>
      <c r="H55" s="46" t="n">
        <v>32</v>
      </c>
      <c r="I55" s="46" t="n">
        <v>29</v>
      </c>
      <c r="J55" s="46" t="n">
        <v>3</v>
      </c>
      <c r="K55" s="46" t="n">
        <v>1</v>
      </c>
      <c r="L55" s="46" t="n">
        <v>12</v>
      </c>
      <c r="M55" s="46" t="n">
        <v>303.2</v>
      </c>
      <c r="N55" s="46" t="n">
        <v>5803</v>
      </c>
      <c r="O55" s="46" t="n">
        <v>440</v>
      </c>
      <c r="P55" s="46" t="n">
        <v>2550</v>
      </c>
      <c r="Q55" s="46" t="n">
        <v>5.8</v>
      </c>
      <c r="R55" s="46" t="n">
        <v>6</v>
      </c>
      <c r="S55" s="46" t="n">
        <v>0.85</v>
      </c>
      <c r="T55" s="46" t="n">
        <v>420</v>
      </c>
      <c r="U55" s="46" t="inlineStr">
        <is>
          <t>SAMPLE_VERINT_2026-10.xlsx</t>
        </is>
      </c>
      <c r="V55" s="46" t="inlineStr">
        <is>
          <t>Sample row - delete before live use</t>
        </is>
      </c>
    </row>
    <row r="56">
      <c r="A56" s="45" t="n">
        <v>46297</v>
      </c>
      <c r="B56" s="46" t="n">
        <v>0.375</v>
      </c>
      <c r="C56" s="46" t="n">
        <v>0.3958333333333333</v>
      </c>
      <c r="D56" s="46" t="inlineStr">
        <is>
          <t>9:00 AM - 9:30 AM</t>
        </is>
      </c>
      <c r="E56" s="46" t="inlineStr">
        <is>
          <t>Manila</t>
        </is>
      </c>
      <c r="F56" s="46" t="inlineStr">
        <is>
          <t>CS_Voice_General</t>
        </is>
      </c>
      <c r="G56" s="46" t="inlineStr">
        <is>
          <t>Voice</t>
        </is>
      </c>
      <c r="H56" s="46" t="n">
        <v>36</v>
      </c>
      <c r="I56" s="46" t="n">
        <v>33</v>
      </c>
      <c r="J56" s="46" t="n">
        <v>3</v>
      </c>
      <c r="K56" s="46" t="n">
        <v>1</v>
      </c>
      <c r="L56" s="46" t="n">
        <v>44</v>
      </c>
      <c r="M56" s="46" t="n">
        <v>329.3</v>
      </c>
      <c r="N56" s="46" t="n">
        <v>7172</v>
      </c>
      <c r="O56" s="46" t="n">
        <v>543</v>
      </c>
      <c r="P56" s="46" t="n">
        <v>3151</v>
      </c>
      <c r="Q56" s="46" t="n">
        <v>7.1</v>
      </c>
      <c r="R56" s="46" t="n">
        <v>7.4</v>
      </c>
      <c r="S56" s="46" t="n">
        <v>0.867</v>
      </c>
      <c r="T56" s="46" t="n">
        <v>120</v>
      </c>
      <c r="U56" s="46" t="inlineStr">
        <is>
          <t>SAMPLE_VERINT_2026-10.xlsx</t>
        </is>
      </c>
      <c r="V56" s="46" t="inlineStr">
        <is>
          <t>Sample row - delete before live use</t>
        </is>
      </c>
    </row>
    <row r="57">
      <c r="A57" s="45" t="n">
        <v>46297</v>
      </c>
      <c r="B57" s="46" t="n">
        <v>0.3958333333333333</v>
      </c>
      <c r="C57" s="46" t="n">
        <v>0.4166666666666667</v>
      </c>
      <c r="D57" s="46" t="inlineStr">
        <is>
          <t>9:30 AM - 10:00 AM</t>
        </is>
      </c>
      <c r="E57" s="46" t="inlineStr">
        <is>
          <t>Manila</t>
        </is>
      </c>
      <c r="F57" s="46" t="inlineStr">
        <is>
          <t>CS_Voice_General</t>
        </is>
      </c>
      <c r="G57" s="46" t="inlineStr">
        <is>
          <t>Voice</t>
        </is>
      </c>
      <c r="H57" s="46" t="n">
        <v>42</v>
      </c>
      <c r="I57" s="46" t="n">
        <v>37</v>
      </c>
      <c r="J57" s="46" t="n">
        <v>5</v>
      </c>
      <c r="K57" s="46" t="n">
        <v>2</v>
      </c>
      <c r="L57" s="46" t="n">
        <v>58</v>
      </c>
      <c r="M57" s="46" t="n">
        <v>388.1</v>
      </c>
      <c r="N57" s="46" t="n">
        <v>9478</v>
      </c>
      <c r="O57" s="46" t="n">
        <v>718</v>
      </c>
      <c r="P57" s="46" t="n">
        <v>4165</v>
      </c>
      <c r="Q57" s="46" t="n">
        <v>9.800000000000001</v>
      </c>
      <c r="R57" s="46" t="n">
        <v>10.4</v>
      </c>
      <c r="S57" s="46" t="n">
        <v>0.8100000000000001</v>
      </c>
      <c r="T57" s="46" t="n">
        <v>780</v>
      </c>
      <c r="U57" s="46" t="inlineStr">
        <is>
          <t>SAMPLE_VERINT_2026-10.xlsx</t>
        </is>
      </c>
      <c r="V57" s="46" t="inlineStr">
        <is>
          <t>Sample row - delete before live use</t>
        </is>
      </c>
    </row>
    <row r="58">
      <c r="A58" s="45" t="n">
        <v>46297</v>
      </c>
      <c r="B58" s="46" t="n">
        <v>0.4166666666666667</v>
      </c>
      <c r="C58" s="46" t="n">
        <v>0.4375</v>
      </c>
      <c r="D58" s="46" t="inlineStr">
        <is>
          <t>10:00 AM - 10:30 AM</t>
        </is>
      </c>
      <c r="E58" s="46" t="inlineStr">
        <is>
          <t>Manila</t>
        </is>
      </c>
      <c r="F58" s="46" t="inlineStr">
        <is>
          <t>CS_Voice_General</t>
        </is>
      </c>
      <c r="G58" s="46" t="inlineStr">
        <is>
          <t>Voice</t>
        </is>
      </c>
      <c r="H58" s="46" t="n">
        <v>39</v>
      </c>
      <c r="I58" s="46" t="n">
        <v>35</v>
      </c>
      <c r="J58" s="46" t="n">
        <v>4</v>
      </c>
      <c r="K58" s="46" t="n">
        <v>1</v>
      </c>
      <c r="L58" s="46" t="n">
        <v>58</v>
      </c>
      <c r="M58" s="46" t="n">
        <v>342.2</v>
      </c>
      <c r="N58" s="46" t="n">
        <v>7906</v>
      </c>
      <c r="O58" s="46" t="n">
        <v>599</v>
      </c>
      <c r="P58" s="46" t="n">
        <v>3474</v>
      </c>
      <c r="Q58" s="46" t="n">
        <v>8</v>
      </c>
      <c r="R58" s="46" t="n">
        <v>8</v>
      </c>
      <c r="S58" s="46" t="n">
        <v>0.836</v>
      </c>
      <c r="T58" s="46" t="n">
        <v>120</v>
      </c>
      <c r="U58" s="46" t="inlineStr">
        <is>
          <t>SAMPLE_VERINT_2026-10.xlsx</t>
        </is>
      </c>
      <c r="V58" s="46" t="inlineStr">
        <is>
          <t>Sample row - delete before live use</t>
        </is>
      </c>
    </row>
    <row r="59">
      <c r="A59" s="45" t="n">
        <v>46297</v>
      </c>
      <c r="B59" s="46" t="n">
        <v>0.4375</v>
      </c>
      <c r="C59" s="46" t="n">
        <v>0.4583333333333333</v>
      </c>
      <c r="D59" s="46" t="inlineStr">
        <is>
          <t>10:30 AM - 11:00 AM</t>
        </is>
      </c>
      <c r="E59" s="46" t="inlineStr">
        <is>
          <t>Manila</t>
        </is>
      </c>
      <c r="F59" s="46" t="inlineStr">
        <is>
          <t>CS_Voice_General</t>
        </is>
      </c>
      <c r="G59" s="46" t="inlineStr">
        <is>
          <t>Voice</t>
        </is>
      </c>
      <c r="H59" s="46" t="n">
        <v>40</v>
      </c>
      <c r="I59" s="46" t="n">
        <v>36</v>
      </c>
      <c r="J59" s="46" t="n">
        <v>4</v>
      </c>
      <c r="K59" s="46" t="n">
        <v>1</v>
      </c>
      <c r="L59" s="46" t="n">
        <v>24</v>
      </c>
      <c r="M59" s="46" t="n">
        <v>429.2</v>
      </c>
      <c r="N59" s="46" t="n">
        <v>10198</v>
      </c>
      <c r="O59" s="46" t="n">
        <v>773</v>
      </c>
      <c r="P59" s="46" t="n">
        <v>4481</v>
      </c>
      <c r="Q59" s="46" t="n">
        <v>10.3</v>
      </c>
      <c r="R59" s="46" t="n">
        <v>11.7</v>
      </c>
      <c r="S59" s="46" t="n">
        <v>0.84</v>
      </c>
      <c r="T59" s="46" t="n">
        <v>240</v>
      </c>
      <c r="U59" s="46" t="inlineStr">
        <is>
          <t>SAMPLE_VERINT_2026-10.xlsx</t>
        </is>
      </c>
      <c r="V59" s="46" t="inlineStr">
        <is>
          <t>Sample row - delete before live use</t>
        </is>
      </c>
    </row>
    <row r="60">
      <c r="A60" s="45" t="n">
        <v>46297</v>
      </c>
      <c r="B60" s="46" t="n">
        <v>0.4583333333333333</v>
      </c>
      <c r="C60" s="46" t="n">
        <v>0.4791666666666667</v>
      </c>
      <c r="D60" s="46" t="inlineStr">
        <is>
          <t>11:00 AM - 11:30 AM</t>
        </is>
      </c>
      <c r="E60" s="46" t="inlineStr">
        <is>
          <t>Manila</t>
        </is>
      </c>
      <c r="F60" s="46" t="inlineStr">
        <is>
          <t>CS_Voice_General</t>
        </is>
      </c>
      <c r="G60" s="46" t="inlineStr">
        <is>
          <t>Voice</t>
        </is>
      </c>
      <c r="H60" s="46" t="n">
        <v>39</v>
      </c>
      <c r="I60" s="46" t="n">
        <v>35</v>
      </c>
      <c r="J60" s="46" t="n">
        <v>4</v>
      </c>
      <c r="K60" s="46" t="n">
        <v>1</v>
      </c>
      <c r="L60" s="46" t="n">
        <v>24</v>
      </c>
      <c r="M60" s="46" t="n">
        <v>387.1</v>
      </c>
      <c r="N60" s="46" t="n">
        <v>8941</v>
      </c>
      <c r="O60" s="46" t="n">
        <v>677</v>
      </c>
      <c r="P60" s="46" t="n">
        <v>3929</v>
      </c>
      <c r="Q60" s="46" t="n">
        <v>9.1</v>
      </c>
      <c r="R60" s="46" t="n">
        <v>9.9</v>
      </c>
      <c r="S60" s="46" t="n">
        <v>0.836</v>
      </c>
      <c r="T60" s="46" t="n">
        <v>420</v>
      </c>
      <c r="U60" s="46" t="inlineStr">
        <is>
          <t>SAMPLE_VERINT_2026-10.xlsx</t>
        </is>
      </c>
      <c r="V60" s="46" t="inlineStr">
        <is>
          <t>Sample row - delete before live use</t>
        </is>
      </c>
    </row>
    <row r="61">
      <c r="A61" s="45" t="n">
        <v>46297</v>
      </c>
      <c r="B61" s="46" t="n">
        <v>0.4791666666666667</v>
      </c>
      <c r="C61" s="46" t="n">
        <v>0.5</v>
      </c>
      <c r="D61" s="46" t="inlineStr">
        <is>
          <t>11:30 AM - 12:00 PM</t>
        </is>
      </c>
      <c r="E61" s="46" t="inlineStr">
        <is>
          <t>Manila</t>
        </is>
      </c>
      <c r="F61" s="46" t="inlineStr">
        <is>
          <t>CS_Voice_General</t>
        </is>
      </c>
      <c r="G61" s="46" t="inlineStr">
        <is>
          <t>Voice</t>
        </is>
      </c>
      <c r="H61" s="46" t="n">
        <v>36</v>
      </c>
      <c r="I61" s="46" t="n">
        <v>32</v>
      </c>
      <c r="J61" s="46" t="n">
        <v>4</v>
      </c>
      <c r="K61" s="46" t="n">
        <v>1</v>
      </c>
      <c r="L61" s="46" t="n">
        <v>18</v>
      </c>
      <c r="M61" s="46" t="n">
        <v>460.1</v>
      </c>
      <c r="N61" s="46" t="n">
        <v>9716</v>
      </c>
      <c r="O61" s="46" t="n">
        <v>736</v>
      </c>
      <c r="P61" s="46" t="n">
        <v>4269</v>
      </c>
      <c r="Q61" s="46" t="n">
        <v>9.9</v>
      </c>
      <c r="R61" s="46" t="n">
        <v>10.8</v>
      </c>
      <c r="S61" s="46" t="n">
        <v>0.822</v>
      </c>
      <c r="T61" s="46" t="n">
        <v>420</v>
      </c>
      <c r="U61" s="46" t="inlineStr">
        <is>
          <t>SAMPLE_VERINT_2026-10.xlsx</t>
        </is>
      </c>
      <c r="V61" s="46" t="inlineStr">
        <is>
          <t>Sample row - delete before live use</t>
        </is>
      </c>
    </row>
    <row r="62">
      <c r="A62" s="45" t="n">
        <v>46297</v>
      </c>
      <c r="B62" s="46" t="n">
        <v>0.5</v>
      </c>
      <c r="C62" s="46" t="n">
        <v>0.5208333333333334</v>
      </c>
      <c r="D62" s="46" t="inlineStr">
        <is>
          <t>12:00 PM - 12:30 PM</t>
        </is>
      </c>
      <c r="E62" s="46" t="inlineStr">
        <is>
          <t>Manila</t>
        </is>
      </c>
      <c r="F62" s="46" t="inlineStr">
        <is>
          <t>CS_Voice_General</t>
        </is>
      </c>
      <c r="G62" s="46" t="inlineStr">
        <is>
          <t>Voice</t>
        </is>
      </c>
      <c r="H62" s="46" t="n">
        <v>36</v>
      </c>
      <c r="I62" s="46" t="n">
        <v>31</v>
      </c>
      <c r="J62" s="46" t="n">
        <v>5</v>
      </c>
      <c r="K62" s="46" t="n">
        <v>2</v>
      </c>
      <c r="L62" s="46" t="n">
        <v>24</v>
      </c>
      <c r="M62" s="46" t="n">
        <v>376.1</v>
      </c>
      <c r="N62" s="46" t="n">
        <v>7695</v>
      </c>
      <c r="O62" s="46" t="n">
        <v>583</v>
      </c>
      <c r="P62" s="46" t="n">
        <v>3381</v>
      </c>
      <c r="Q62" s="46" t="n">
        <v>8.1</v>
      </c>
      <c r="R62" s="46" t="n">
        <v>8.4</v>
      </c>
      <c r="S62" s="46" t="n">
        <v>0.778</v>
      </c>
      <c r="T62" s="46" t="n">
        <v>310</v>
      </c>
      <c r="U62" s="46" t="inlineStr">
        <is>
          <t>SAMPLE_VERINT_2026-10.xlsx</t>
        </is>
      </c>
      <c r="V62" s="46" t="inlineStr">
        <is>
          <t>Sample row - delete before live use</t>
        </is>
      </c>
    </row>
    <row r="63">
      <c r="A63" s="45" t="n">
        <v>46297</v>
      </c>
      <c r="B63" s="46" t="n">
        <v>0.5208333333333334</v>
      </c>
      <c r="C63" s="46" t="n">
        <v>0.5416666666666666</v>
      </c>
      <c r="D63" s="46" t="inlineStr">
        <is>
          <t>12:30 PM - 1:00 PM</t>
        </is>
      </c>
      <c r="E63" s="46" t="inlineStr">
        <is>
          <t>Manila</t>
        </is>
      </c>
      <c r="F63" s="46" t="inlineStr">
        <is>
          <t>CS_Voice_General</t>
        </is>
      </c>
      <c r="G63" s="46" t="inlineStr">
        <is>
          <t>Voice</t>
        </is>
      </c>
      <c r="H63" s="46" t="n">
        <v>34</v>
      </c>
      <c r="I63" s="46" t="n">
        <v>31</v>
      </c>
      <c r="J63" s="46" t="n">
        <v>3</v>
      </c>
      <c r="K63" s="46" t="n">
        <v>1</v>
      </c>
      <c r="L63" s="46" t="n">
        <v>18</v>
      </c>
      <c r="M63" s="46" t="n">
        <v>372.8</v>
      </c>
      <c r="N63" s="46" t="n">
        <v>7628</v>
      </c>
      <c r="O63" s="46" t="n">
        <v>578</v>
      </c>
      <c r="P63" s="46" t="n">
        <v>3352</v>
      </c>
      <c r="Q63" s="46" t="n">
        <v>7.6</v>
      </c>
      <c r="R63" s="46" t="n">
        <v>7.5</v>
      </c>
      <c r="S63" s="46" t="n">
        <v>0.859</v>
      </c>
      <c r="T63" s="46" t="n">
        <v>780</v>
      </c>
      <c r="U63" s="46" t="inlineStr">
        <is>
          <t>SAMPLE_VERINT_2026-10.xlsx</t>
        </is>
      </c>
      <c r="V63" s="46" t="inlineStr">
        <is>
          <t>Sample row - delete before live use</t>
        </is>
      </c>
    </row>
    <row r="64">
      <c r="A64" s="45" t="n">
        <v>46297</v>
      </c>
      <c r="B64" s="46" t="n">
        <v>0.5416666666666666</v>
      </c>
      <c r="C64" s="46" t="n">
        <v>0.5625</v>
      </c>
      <c r="D64" s="46" t="inlineStr">
        <is>
          <t>1:00 PM - 1:30 PM</t>
        </is>
      </c>
      <c r="E64" s="46" t="inlineStr">
        <is>
          <t>Manila</t>
        </is>
      </c>
      <c r="F64" s="46" t="inlineStr">
        <is>
          <t>CS_Voice_General</t>
        </is>
      </c>
      <c r="G64" s="46" t="inlineStr">
        <is>
          <t>Voice</t>
        </is>
      </c>
      <c r="H64" s="46" t="n">
        <v>35</v>
      </c>
      <c r="I64" s="46" t="n">
        <v>32</v>
      </c>
      <c r="J64" s="46" t="n">
        <v>3</v>
      </c>
      <c r="K64" s="46" t="n">
        <v>1</v>
      </c>
      <c r="L64" s="46" t="n">
        <v>18</v>
      </c>
      <c r="M64" s="46" t="n">
        <v>459.7</v>
      </c>
      <c r="N64" s="46" t="n">
        <v>9709</v>
      </c>
      <c r="O64" s="46" t="n">
        <v>736</v>
      </c>
      <c r="P64" s="46" t="n">
        <v>4266</v>
      </c>
      <c r="Q64" s="46" t="n">
        <v>9.699999999999999</v>
      </c>
      <c r="R64" s="46" t="n">
        <v>10.5</v>
      </c>
      <c r="S64" s="46" t="n">
        <v>0.863</v>
      </c>
      <c r="T64" s="46" t="n">
        <v>180</v>
      </c>
      <c r="U64" s="46" t="inlineStr">
        <is>
          <t>SAMPLE_VERINT_2026-10.xlsx</t>
        </is>
      </c>
      <c r="V64" s="46" t="inlineStr">
        <is>
          <t>Sample row - delete before live use</t>
        </is>
      </c>
    </row>
    <row r="65">
      <c r="A65" s="45" t="n">
        <v>46297</v>
      </c>
      <c r="B65" s="46" t="n">
        <v>0.5625</v>
      </c>
      <c r="C65" s="46" t="n">
        <v>0.5833333333333334</v>
      </c>
      <c r="D65" s="46" t="inlineStr">
        <is>
          <t>1:30 PM - 2:00 PM</t>
        </is>
      </c>
      <c r="E65" s="46" t="inlineStr">
        <is>
          <t>Manila</t>
        </is>
      </c>
      <c r="F65" s="46" t="inlineStr">
        <is>
          <t>CS_Voice_General</t>
        </is>
      </c>
      <c r="G65" s="46" t="inlineStr">
        <is>
          <t>Voice</t>
        </is>
      </c>
      <c r="H65" s="46" t="n">
        <v>28</v>
      </c>
      <c r="I65" s="46" t="n">
        <v>24</v>
      </c>
      <c r="J65" s="46" t="n">
        <v>4</v>
      </c>
      <c r="K65" s="46" t="n">
        <v>1</v>
      </c>
      <c r="L65" s="46" t="n">
        <v>8</v>
      </c>
      <c r="M65" s="46" t="n">
        <v>379.5</v>
      </c>
      <c r="N65" s="46" t="n">
        <v>6012</v>
      </c>
      <c r="O65" s="46" t="n">
        <v>455</v>
      </c>
      <c r="P65" s="46" t="n">
        <v>2641</v>
      </c>
      <c r="Q65" s="46" t="n">
        <v>6.4</v>
      </c>
      <c r="R65" s="46" t="n">
        <v>7</v>
      </c>
      <c r="S65" s="46" t="n">
        <v>0.771</v>
      </c>
      <c r="T65" s="46" t="n">
        <v>310</v>
      </c>
      <c r="U65" s="46" t="inlineStr">
        <is>
          <t>SAMPLE_VERINT_2026-10.xlsx</t>
        </is>
      </c>
      <c r="V65" s="46" t="inlineStr">
        <is>
          <t>Sample row - delete before live use</t>
        </is>
      </c>
    </row>
    <row r="66">
      <c r="A66" s="45" t="n">
        <v>46297</v>
      </c>
      <c r="B66" s="46" t="n">
        <v>0.3333333333333333</v>
      </c>
      <c r="C66" s="46" t="n">
        <v>0.3541666666666667</v>
      </c>
      <c r="D66" s="46" t="inlineStr">
        <is>
          <t>8:00 AM - 8:30 AM</t>
        </is>
      </c>
      <c r="E66" s="46" t="inlineStr">
        <is>
          <t>Manila</t>
        </is>
      </c>
      <c r="F66" s="46" t="inlineStr">
        <is>
          <t>CS_Voice_Billing</t>
        </is>
      </c>
      <c r="G66" s="46" t="inlineStr">
        <is>
          <t>Voice</t>
        </is>
      </c>
      <c r="H66" s="46" t="n">
        <v>15</v>
      </c>
      <c r="I66" s="46" t="n">
        <v>13</v>
      </c>
      <c r="J66" s="46" t="n">
        <v>2</v>
      </c>
      <c r="K66" s="46" t="n">
        <v>1</v>
      </c>
      <c r="L66" s="46" t="n">
        <v>44</v>
      </c>
      <c r="M66" s="46" t="n">
        <v>413.5</v>
      </c>
      <c r="N66" s="46" t="n">
        <v>3548</v>
      </c>
      <c r="O66" s="46" t="n">
        <v>269</v>
      </c>
      <c r="P66" s="46" t="n">
        <v>1559</v>
      </c>
      <c r="Q66" s="46" t="n">
        <v>3.7</v>
      </c>
      <c r="R66" s="46" t="n">
        <v>3.7</v>
      </c>
      <c r="S66" s="46" t="n">
        <v>0.787</v>
      </c>
      <c r="T66" s="46" t="n">
        <v>310</v>
      </c>
      <c r="U66" s="46" t="inlineStr">
        <is>
          <t>SAMPLE_VERINT_2026-10.xlsx</t>
        </is>
      </c>
      <c r="V66" s="46" t="inlineStr">
        <is>
          <t>Sample row - delete before live use</t>
        </is>
      </c>
    </row>
    <row r="67">
      <c r="A67" s="45" t="n">
        <v>46297</v>
      </c>
      <c r="B67" s="46" t="n">
        <v>0.3541666666666667</v>
      </c>
      <c r="C67" s="46" t="n">
        <v>0.375</v>
      </c>
      <c r="D67" s="46" t="inlineStr">
        <is>
          <t>8:30 AM - 9:00 AM</t>
        </is>
      </c>
      <c r="E67" s="46" t="inlineStr">
        <is>
          <t>Manila</t>
        </is>
      </c>
      <c r="F67" s="46" t="inlineStr">
        <is>
          <t>CS_Voice_Billing</t>
        </is>
      </c>
      <c r="G67" s="46" t="inlineStr">
        <is>
          <t>Voice</t>
        </is>
      </c>
      <c r="H67" s="46" t="n">
        <v>21</v>
      </c>
      <c r="I67" s="46" t="n">
        <v>19</v>
      </c>
      <c r="J67" s="46" t="n">
        <v>2</v>
      </c>
      <c r="K67" s="46" t="n">
        <v>1</v>
      </c>
      <c r="L67" s="46" t="n">
        <v>8</v>
      </c>
      <c r="M67" s="46" t="n">
        <v>371.6</v>
      </c>
      <c r="N67" s="46" t="n">
        <v>4660</v>
      </c>
      <c r="O67" s="46" t="n">
        <v>353</v>
      </c>
      <c r="P67" s="46" t="n">
        <v>2048</v>
      </c>
      <c r="Q67" s="46" t="n">
        <v>4.7</v>
      </c>
      <c r="R67" s="46" t="n">
        <v>4.8</v>
      </c>
      <c r="S67" s="46" t="n">
        <v>0.848</v>
      </c>
      <c r="T67" s="46" t="n">
        <v>600</v>
      </c>
      <c r="U67" s="46" t="inlineStr">
        <is>
          <t>SAMPLE_VERINT_2026-10.xlsx</t>
        </is>
      </c>
      <c r="V67" s="46" t="inlineStr">
        <is>
          <t>Sample row - delete before live use</t>
        </is>
      </c>
    </row>
    <row r="68">
      <c r="A68" s="45" t="n">
        <v>46297</v>
      </c>
      <c r="B68" s="46" t="n">
        <v>0.375</v>
      </c>
      <c r="C68" s="46" t="n">
        <v>0.3958333333333333</v>
      </c>
      <c r="D68" s="46" t="inlineStr">
        <is>
          <t>9:00 AM - 9:30 AM</t>
        </is>
      </c>
      <c r="E68" s="46" t="inlineStr">
        <is>
          <t>Manila</t>
        </is>
      </c>
      <c r="F68" s="46" t="inlineStr">
        <is>
          <t>CS_Voice_Billing</t>
        </is>
      </c>
      <c r="G68" s="46" t="inlineStr">
        <is>
          <t>Voice</t>
        </is>
      </c>
      <c r="H68" s="46" t="n">
        <v>24</v>
      </c>
      <c r="I68" s="46" t="n">
        <v>21</v>
      </c>
      <c r="J68" s="46" t="n">
        <v>3</v>
      </c>
      <c r="K68" s="46" t="n">
        <v>1</v>
      </c>
      <c r="L68" s="46" t="n">
        <v>24</v>
      </c>
      <c r="M68" s="46" t="n">
        <v>378</v>
      </c>
      <c r="N68" s="46" t="n">
        <v>5239</v>
      </c>
      <c r="O68" s="46" t="n">
        <v>397</v>
      </c>
      <c r="P68" s="46" t="n">
        <v>2302</v>
      </c>
      <c r="Q68" s="46" t="n">
        <v>5.4</v>
      </c>
      <c r="R68" s="46" t="n">
        <v>5.9</v>
      </c>
      <c r="S68" s="46" t="n">
        <v>0.8</v>
      </c>
      <c r="T68" s="46" t="n">
        <v>240</v>
      </c>
      <c r="U68" s="46" t="inlineStr">
        <is>
          <t>SAMPLE_VERINT_2026-10.xlsx</t>
        </is>
      </c>
      <c r="V68" s="46" t="inlineStr">
        <is>
          <t>Sample row - delete before live use</t>
        </is>
      </c>
    </row>
    <row r="69">
      <c r="A69" s="45" t="n">
        <v>46297</v>
      </c>
      <c r="B69" s="46" t="n">
        <v>0.3958333333333333</v>
      </c>
      <c r="C69" s="46" t="n">
        <v>0.4166666666666667</v>
      </c>
      <c r="D69" s="46" t="inlineStr">
        <is>
          <t>9:30 AM - 10:00 AM</t>
        </is>
      </c>
      <c r="E69" s="46" t="inlineStr">
        <is>
          <t>Manila</t>
        </is>
      </c>
      <c r="F69" s="46" t="inlineStr">
        <is>
          <t>CS_Voice_Billing</t>
        </is>
      </c>
      <c r="G69" s="46" t="inlineStr">
        <is>
          <t>Voice</t>
        </is>
      </c>
      <c r="H69" s="46" t="n">
        <v>26</v>
      </c>
      <c r="I69" s="46" t="n">
        <v>23</v>
      </c>
      <c r="J69" s="46" t="n">
        <v>3</v>
      </c>
      <c r="K69" s="46" t="n">
        <v>1</v>
      </c>
      <c r="L69" s="46" t="n">
        <v>58</v>
      </c>
      <c r="M69" s="46" t="n">
        <v>463.3</v>
      </c>
      <c r="N69" s="46" t="n">
        <v>7033</v>
      </c>
      <c r="O69" s="46" t="n">
        <v>533</v>
      </c>
      <c r="P69" s="46" t="n">
        <v>3090</v>
      </c>
      <c r="Q69" s="46" t="n">
        <v>7.2</v>
      </c>
      <c r="R69" s="46" t="n">
        <v>7</v>
      </c>
      <c r="S69" s="46" t="n">
        <v>0.8149999999999999</v>
      </c>
      <c r="T69" s="46" t="n">
        <v>180</v>
      </c>
      <c r="U69" s="46" t="inlineStr">
        <is>
          <t>SAMPLE_VERINT_2026-10.xlsx</t>
        </is>
      </c>
      <c r="V69" s="46" t="inlineStr">
        <is>
          <t>Sample row - delete before live use</t>
        </is>
      </c>
    </row>
    <row r="70">
      <c r="A70" s="45" t="n">
        <v>46297</v>
      </c>
      <c r="B70" s="46" t="n">
        <v>0.4166666666666667</v>
      </c>
      <c r="C70" s="46" t="n">
        <v>0.4375</v>
      </c>
      <c r="D70" s="46" t="inlineStr">
        <is>
          <t>10:00 AM - 10:30 AM</t>
        </is>
      </c>
      <c r="E70" s="46" t="inlineStr">
        <is>
          <t>Manila</t>
        </is>
      </c>
      <c r="F70" s="46" t="inlineStr">
        <is>
          <t>CS_Voice_Billing</t>
        </is>
      </c>
      <c r="G70" s="46" t="inlineStr">
        <is>
          <t>Voice</t>
        </is>
      </c>
      <c r="H70" s="46" t="n">
        <v>28</v>
      </c>
      <c r="I70" s="46" t="n">
        <v>24</v>
      </c>
      <c r="J70" s="46" t="n">
        <v>4</v>
      </c>
      <c r="K70" s="46" t="n">
        <v>1</v>
      </c>
      <c r="L70" s="46" t="n">
        <v>58</v>
      </c>
      <c r="M70" s="46" t="n">
        <v>345.1</v>
      </c>
      <c r="N70" s="46" t="n">
        <v>5467</v>
      </c>
      <c r="O70" s="46" t="n">
        <v>414</v>
      </c>
      <c r="P70" s="46" t="n">
        <v>2402</v>
      </c>
      <c r="Q70" s="46" t="n">
        <v>5.8</v>
      </c>
      <c r="R70" s="46" t="n">
        <v>5.6</v>
      </c>
      <c r="S70" s="46" t="n">
        <v>0.771</v>
      </c>
      <c r="T70" s="46" t="n">
        <v>180</v>
      </c>
      <c r="U70" s="46" t="inlineStr">
        <is>
          <t>SAMPLE_VERINT_2026-10.xlsx</t>
        </is>
      </c>
      <c r="V70" s="46" t="inlineStr">
        <is>
          <t>Sample row - delete before live use</t>
        </is>
      </c>
    </row>
    <row r="71">
      <c r="A71" s="45" t="n">
        <v>46297</v>
      </c>
      <c r="B71" s="46" t="n">
        <v>0.4375</v>
      </c>
      <c r="C71" s="46" t="n">
        <v>0.4583333333333333</v>
      </c>
      <c r="D71" s="46" t="inlineStr">
        <is>
          <t>10:30 AM - 11:00 AM</t>
        </is>
      </c>
      <c r="E71" s="46" t="inlineStr">
        <is>
          <t>Manila</t>
        </is>
      </c>
      <c r="F71" s="46" t="inlineStr">
        <is>
          <t>CS_Voice_Billing</t>
        </is>
      </c>
      <c r="G71" s="46" t="inlineStr">
        <is>
          <t>Voice</t>
        </is>
      </c>
      <c r="H71" s="46" t="n">
        <v>24</v>
      </c>
      <c r="I71" s="46" t="n">
        <v>21</v>
      </c>
      <c r="J71" s="46" t="n">
        <v>3</v>
      </c>
      <c r="K71" s="46" t="n">
        <v>1</v>
      </c>
      <c r="L71" s="46" t="n">
        <v>58</v>
      </c>
      <c r="M71" s="46" t="n">
        <v>371.8</v>
      </c>
      <c r="N71" s="46" t="n">
        <v>5153</v>
      </c>
      <c r="O71" s="46" t="n">
        <v>390</v>
      </c>
      <c r="P71" s="46" t="n">
        <v>2264</v>
      </c>
      <c r="Q71" s="46" t="n">
        <v>5.4</v>
      </c>
      <c r="R71" s="46" t="n">
        <v>6.1</v>
      </c>
      <c r="S71" s="46" t="n">
        <v>0.8</v>
      </c>
      <c r="T71" s="46" t="n">
        <v>240</v>
      </c>
      <c r="U71" s="46" t="inlineStr">
        <is>
          <t>SAMPLE_VERINT_2026-10.xlsx</t>
        </is>
      </c>
      <c r="V71" s="46" t="inlineStr">
        <is>
          <t>Sample row - delete before live use</t>
        </is>
      </c>
    </row>
    <row r="72">
      <c r="A72" s="45" t="n">
        <v>46297</v>
      </c>
      <c r="B72" s="46" t="n">
        <v>0.4583333333333333</v>
      </c>
      <c r="C72" s="46" t="n">
        <v>0.4791666666666667</v>
      </c>
      <c r="D72" s="46" t="inlineStr">
        <is>
          <t>11:00 AM - 11:30 AM</t>
        </is>
      </c>
      <c r="E72" s="46" t="inlineStr">
        <is>
          <t>Manila</t>
        </is>
      </c>
      <c r="F72" s="46" t="inlineStr">
        <is>
          <t>CS_Voice_Billing</t>
        </is>
      </c>
      <c r="G72" s="46" t="inlineStr">
        <is>
          <t>Voice</t>
        </is>
      </c>
      <c r="H72" s="46" t="n">
        <v>23</v>
      </c>
      <c r="I72" s="46" t="n">
        <v>21</v>
      </c>
      <c r="J72" s="46" t="n">
        <v>2</v>
      </c>
      <c r="K72" s="46" t="n">
        <v>1</v>
      </c>
      <c r="L72" s="46" t="n">
        <v>18</v>
      </c>
      <c r="M72" s="46" t="n">
        <v>387.5</v>
      </c>
      <c r="N72" s="46" t="n">
        <v>5371</v>
      </c>
      <c r="O72" s="46" t="n">
        <v>407</v>
      </c>
      <c r="P72" s="46" t="n">
        <v>2360</v>
      </c>
      <c r="Q72" s="46" t="n">
        <v>5.3</v>
      </c>
      <c r="R72" s="46" t="n">
        <v>5.6</v>
      </c>
      <c r="S72" s="46" t="n">
        <v>0.861</v>
      </c>
      <c r="T72" s="46" t="n">
        <v>120</v>
      </c>
      <c r="U72" s="46" t="inlineStr">
        <is>
          <t>SAMPLE_VERINT_2026-10.xlsx</t>
        </is>
      </c>
      <c r="V72" s="46" t="inlineStr">
        <is>
          <t>Sample row - delete before live use</t>
        </is>
      </c>
    </row>
    <row r="73">
      <c r="A73" s="45" t="n">
        <v>46297</v>
      </c>
      <c r="B73" s="46" t="n">
        <v>0.4791666666666667</v>
      </c>
      <c r="C73" s="46" t="n">
        <v>0.5</v>
      </c>
      <c r="D73" s="46" t="inlineStr">
        <is>
          <t>11:30 AM - 12:00 PM</t>
        </is>
      </c>
      <c r="E73" s="46" t="inlineStr">
        <is>
          <t>Manila</t>
        </is>
      </c>
      <c r="F73" s="46" t="inlineStr">
        <is>
          <t>CS_Voice_Billing</t>
        </is>
      </c>
      <c r="G73" s="46" t="inlineStr">
        <is>
          <t>Voice</t>
        </is>
      </c>
      <c r="H73" s="46" t="n">
        <v>21</v>
      </c>
      <c r="I73" s="46" t="n">
        <v>19</v>
      </c>
      <c r="J73" s="46" t="n">
        <v>2</v>
      </c>
      <c r="K73" s="46" t="n">
        <v>1</v>
      </c>
      <c r="L73" s="46" t="n">
        <v>18</v>
      </c>
      <c r="M73" s="46" t="n">
        <v>331.2</v>
      </c>
      <c r="N73" s="46" t="n">
        <v>4153</v>
      </c>
      <c r="O73" s="46" t="n">
        <v>315</v>
      </c>
      <c r="P73" s="46" t="n">
        <v>1825</v>
      </c>
      <c r="Q73" s="46" t="n">
        <v>4.2</v>
      </c>
      <c r="R73" s="46" t="n">
        <v>4.7</v>
      </c>
      <c r="S73" s="46" t="n">
        <v>0.848</v>
      </c>
      <c r="T73" s="46" t="n">
        <v>120</v>
      </c>
      <c r="U73" s="46" t="inlineStr">
        <is>
          <t>SAMPLE_VERINT_2026-10.xlsx</t>
        </is>
      </c>
      <c r="V73" s="46" t="inlineStr">
        <is>
          <t>Sample row - delete before live use</t>
        </is>
      </c>
    </row>
    <row r="74">
      <c r="A74" s="45" t="n">
        <v>46297</v>
      </c>
      <c r="B74" s="46" t="n">
        <v>0.5</v>
      </c>
      <c r="C74" s="46" t="n">
        <v>0.5208333333333334</v>
      </c>
      <c r="D74" s="46" t="inlineStr">
        <is>
          <t>12:00 PM - 12:30 PM</t>
        </is>
      </c>
      <c r="E74" s="46" t="inlineStr">
        <is>
          <t>Manila</t>
        </is>
      </c>
      <c r="F74" s="46" t="inlineStr">
        <is>
          <t>CS_Voice_Billing</t>
        </is>
      </c>
      <c r="G74" s="46" t="inlineStr">
        <is>
          <t>Voice</t>
        </is>
      </c>
      <c r="H74" s="46" t="n">
        <v>21</v>
      </c>
      <c r="I74" s="46" t="n">
        <v>19</v>
      </c>
      <c r="J74" s="46" t="n">
        <v>2</v>
      </c>
      <c r="K74" s="46" t="n">
        <v>1</v>
      </c>
      <c r="L74" s="46" t="n">
        <v>8</v>
      </c>
      <c r="M74" s="46" t="n">
        <v>314.2</v>
      </c>
      <c r="N74" s="46" t="n">
        <v>3941</v>
      </c>
      <c r="O74" s="46" t="n">
        <v>299</v>
      </c>
      <c r="P74" s="46" t="n">
        <v>1731</v>
      </c>
      <c r="Q74" s="46" t="n">
        <v>4</v>
      </c>
      <c r="R74" s="46" t="n">
        <v>4.5</v>
      </c>
      <c r="S74" s="46" t="n">
        <v>0.848</v>
      </c>
      <c r="T74" s="46" t="n">
        <v>240</v>
      </c>
      <c r="U74" s="46" t="inlineStr">
        <is>
          <t>SAMPLE_VERINT_2026-10.xlsx</t>
        </is>
      </c>
      <c r="V74" s="46" t="inlineStr">
        <is>
          <t>Sample row - delete before live use</t>
        </is>
      </c>
    </row>
    <row r="75">
      <c r="A75" s="45" t="n">
        <v>46297</v>
      </c>
      <c r="B75" s="46" t="n">
        <v>0.5208333333333334</v>
      </c>
      <c r="C75" s="46" t="n">
        <v>0.5416666666666666</v>
      </c>
      <c r="D75" s="46" t="inlineStr">
        <is>
          <t>12:30 PM - 1:00 PM</t>
        </is>
      </c>
      <c r="E75" s="46" t="inlineStr">
        <is>
          <t>Manila</t>
        </is>
      </c>
      <c r="F75" s="46" t="inlineStr">
        <is>
          <t>CS_Voice_Billing</t>
        </is>
      </c>
      <c r="G75" s="46" t="inlineStr">
        <is>
          <t>Voice</t>
        </is>
      </c>
      <c r="H75" s="46" t="n">
        <v>24</v>
      </c>
      <c r="I75" s="46" t="n">
        <v>21</v>
      </c>
      <c r="J75" s="46" t="n">
        <v>3</v>
      </c>
      <c r="K75" s="46" t="n">
        <v>1</v>
      </c>
      <c r="L75" s="46" t="n">
        <v>18</v>
      </c>
      <c r="M75" s="46" t="n">
        <v>357.7</v>
      </c>
      <c r="N75" s="46" t="n">
        <v>4957</v>
      </c>
      <c r="O75" s="46" t="n">
        <v>376</v>
      </c>
      <c r="P75" s="46" t="n">
        <v>2178</v>
      </c>
      <c r="Q75" s="46" t="n">
        <v>5.2</v>
      </c>
      <c r="R75" s="46" t="n">
        <v>5.5</v>
      </c>
      <c r="S75" s="46" t="n">
        <v>0.8</v>
      </c>
      <c r="T75" s="46" t="n">
        <v>420</v>
      </c>
      <c r="U75" s="46" t="inlineStr">
        <is>
          <t>SAMPLE_VERINT_2026-10.xlsx</t>
        </is>
      </c>
      <c r="V75" s="46" t="inlineStr">
        <is>
          <t>Sample row - delete before live use</t>
        </is>
      </c>
    </row>
    <row r="76">
      <c r="A76" s="45" t="n">
        <v>46297</v>
      </c>
      <c r="B76" s="46" t="n">
        <v>0.5416666666666666</v>
      </c>
      <c r="C76" s="46" t="n">
        <v>0.5625</v>
      </c>
      <c r="D76" s="46" t="inlineStr">
        <is>
          <t>1:00 PM - 1:30 PM</t>
        </is>
      </c>
      <c r="E76" s="46" t="inlineStr">
        <is>
          <t>Manila</t>
        </is>
      </c>
      <c r="F76" s="46" t="inlineStr">
        <is>
          <t>CS_Voice_Billing</t>
        </is>
      </c>
      <c r="G76" s="46" t="inlineStr">
        <is>
          <t>Voice</t>
        </is>
      </c>
      <c r="H76" s="46" t="n">
        <v>22</v>
      </c>
      <c r="I76" s="46" t="n">
        <v>20</v>
      </c>
      <c r="J76" s="46" t="n">
        <v>2</v>
      </c>
      <c r="K76" s="46" t="n">
        <v>1</v>
      </c>
      <c r="L76" s="46" t="n">
        <v>12</v>
      </c>
      <c r="M76" s="46" t="n">
        <v>340.5</v>
      </c>
      <c r="N76" s="46" t="n">
        <v>4495</v>
      </c>
      <c r="O76" s="46" t="n">
        <v>341</v>
      </c>
      <c r="P76" s="46" t="n">
        <v>1975</v>
      </c>
      <c r="Q76" s="46" t="n">
        <v>4.5</v>
      </c>
      <c r="R76" s="46" t="n">
        <v>4.4</v>
      </c>
      <c r="S76" s="46" t="n">
        <v>0.855</v>
      </c>
      <c r="T76" s="46" t="n">
        <v>240</v>
      </c>
      <c r="U76" s="46" t="inlineStr">
        <is>
          <t>SAMPLE_VERINT_2026-10.xlsx</t>
        </is>
      </c>
      <c r="V76" s="46" t="inlineStr">
        <is>
          <t>Sample row - delete before live use</t>
        </is>
      </c>
    </row>
    <row r="77">
      <c r="A77" s="45" t="n">
        <v>46297</v>
      </c>
      <c r="B77" s="46" t="n">
        <v>0.5625</v>
      </c>
      <c r="C77" s="46" t="n">
        <v>0.5833333333333334</v>
      </c>
      <c r="D77" s="46" t="inlineStr">
        <is>
          <t>1:30 PM - 2:00 PM</t>
        </is>
      </c>
      <c r="E77" s="46" t="inlineStr">
        <is>
          <t>Manila</t>
        </is>
      </c>
      <c r="F77" s="46" t="inlineStr">
        <is>
          <t>CS_Voice_Billing</t>
        </is>
      </c>
      <c r="G77" s="46" t="inlineStr">
        <is>
          <t>Voice</t>
        </is>
      </c>
      <c r="H77" s="46" t="n">
        <v>17</v>
      </c>
      <c r="I77" s="46" t="n">
        <v>15</v>
      </c>
      <c r="J77" s="46" t="n">
        <v>2</v>
      </c>
      <c r="K77" s="46" t="n">
        <v>1</v>
      </c>
      <c r="L77" s="46" t="n">
        <v>58</v>
      </c>
      <c r="M77" s="46" t="n">
        <v>353</v>
      </c>
      <c r="N77" s="46" t="n">
        <v>3495</v>
      </c>
      <c r="O77" s="46" t="n">
        <v>265</v>
      </c>
      <c r="P77" s="46" t="n">
        <v>1536</v>
      </c>
      <c r="Q77" s="46" t="n">
        <v>3.6</v>
      </c>
      <c r="R77" s="46" t="n">
        <v>3.6</v>
      </c>
      <c r="S77" s="46" t="n">
        <v>0.8120000000000001</v>
      </c>
      <c r="T77" s="46" t="n">
        <v>180</v>
      </c>
      <c r="U77" s="46" t="inlineStr">
        <is>
          <t>SAMPLE_VERINT_2026-10.xlsx</t>
        </is>
      </c>
      <c r="V77" s="46" t="inlineStr">
        <is>
          <t>Sample row - delete before live use</t>
        </is>
      </c>
    </row>
    <row r="78">
      <c r="A78" s="45" t="n">
        <v>46297</v>
      </c>
      <c r="B78" s="46" t="n">
        <v>0.3333333333333333</v>
      </c>
      <c r="C78" s="46" t="n">
        <v>0.3541666666666667</v>
      </c>
      <c r="D78" s="46" t="inlineStr">
        <is>
          <t>8:00 AM - 8:30 AM</t>
        </is>
      </c>
      <c r="E78" s="46" t="inlineStr">
        <is>
          <t>Manila</t>
        </is>
      </c>
      <c r="F78" s="46" t="inlineStr">
        <is>
          <t>Tech_Support</t>
        </is>
      </c>
      <c r="G78" s="46" t="inlineStr">
        <is>
          <t>Voice</t>
        </is>
      </c>
      <c r="H78" s="46" t="n">
        <v>9</v>
      </c>
      <c r="I78" s="46" t="n">
        <v>8</v>
      </c>
      <c r="J78" s="46" t="n">
        <v>1</v>
      </c>
      <c r="K78" s="46" t="n">
        <v>0</v>
      </c>
      <c r="L78" s="46" t="n">
        <v>8</v>
      </c>
      <c r="M78" s="46" t="n">
        <v>330.2</v>
      </c>
      <c r="N78" s="46" t="n">
        <v>1744</v>
      </c>
      <c r="O78" s="46" t="n">
        <v>132</v>
      </c>
      <c r="P78" s="46" t="n">
        <v>766</v>
      </c>
      <c r="Q78" s="46" t="n">
        <v>1.8</v>
      </c>
      <c r="R78" s="46" t="n">
        <v>1.8</v>
      </c>
      <c r="S78" s="46" t="n">
        <v>0.822</v>
      </c>
      <c r="T78" s="46" t="n">
        <v>240</v>
      </c>
      <c r="U78" s="46" t="inlineStr">
        <is>
          <t>SAMPLE_VERINT_2026-10.xlsx</t>
        </is>
      </c>
      <c r="V78" s="46" t="inlineStr">
        <is>
          <t>Sample row - delete before live use</t>
        </is>
      </c>
    </row>
    <row r="79">
      <c r="A79" s="45" t="n">
        <v>46297</v>
      </c>
      <c r="B79" s="46" t="n">
        <v>0.3541666666666667</v>
      </c>
      <c r="C79" s="46" t="n">
        <v>0.375</v>
      </c>
      <c r="D79" s="46" t="inlineStr">
        <is>
          <t>8:30 AM - 9:00 AM</t>
        </is>
      </c>
      <c r="E79" s="46" t="inlineStr">
        <is>
          <t>Manila</t>
        </is>
      </c>
      <c r="F79" s="46" t="inlineStr">
        <is>
          <t>Tech_Support</t>
        </is>
      </c>
      <c r="G79" s="46" t="inlineStr">
        <is>
          <t>Voice</t>
        </is>
      </c>
      <c r="H79" s="46" t="n">
        <v>12</v>
      </c>
      <c r="I79" s="46" t="n">
        <v>10</v>
      </c>
      <c r="J79" s="46" t="n">
        <v>2</v>
      </c>
      <c r="K79" s="46" t="n">
        <v>1</v>
      </c>
      <c r="L79" s="46" t="n">
        <v>31</v>
      </c>
      <c r="M79" s="46" t="n">
        <v>386</v>
      </c>
      <c r="N79" s="46" t="n">
        <v>2547</v>
      </c>
      <c r="O79" s="46" t="n">
        <v>193</v>
      </c>
      <c r="P79" s="46" t="n">
        <v>1119</v>
      </c>
      <c r="Q79" s="46" t="n">
        <v>2.8</v>
      </c>
      <c r="R79" s="46" t="n">
        <v>3.2</v>
      </c>
      <c r="S79" s="46" t="n">
        <v>0.733</v>
      </c>
      <c r="T79" s="46" t="n">
        <v>310</v>
      </c>
      <c r="U79" s="46" t="inlineStr">
        <is>
          <t>SAMPLE_VERINT_2026-10.xlsx</t>
        </is>
      </c>
      <c r="V79" s="46" t="inlineStr">
        <is>
          <t>Sample row - delete before live use</t>
        </is>
      </c>
    </row>
    <row r="80">
      <c r="A80" s="45" t="n">
        <v>46297</v>
      </c>
      <c r="B80" s="46" t="n">
        <v>0.375</v>
      </c>
      <c r="C80" s="46" t="n">
        <v>0.3958333333333333</v>
      </c>
      <c r="D80" s="46" t="inlineStr">
        <is>
          <t>9:00 AM - 9:30 AM</t>
        </is>
      </c>
      <c r="E80" s="46" t="inlineStr">
        <is>
          <t>Manila</t>
        </is>
      </c>
      <c r="F80" s="46" t="inlineStr">
        <is>
          <t>Tech_Support</t>
        </is>
      </c>
      <c r="G80" s="46" t="inlineStr">
        <is>
          <t>Voice</t>
        </is>
      </c>
      <c r="H80" s="46" t="n">
        <v>16</v>
      </c>
      <c r="I80" s="46" t="n">
        <v>14</v>
      </c>
      <c r="J80" s="46" t="n">
        <v>2</v>
      </c>
      <c r="K80" s="46" t="n">
        <v>1</v>
      </c>
      <c r="L80" s="46" t="n">
        <v>44</v>
      </c>
      <c r="M80" s="46" t="n">
        <v>411.9</v>
      </c>
      <c r="N80" s="46" t="n">
        <v>3806</v>
      </c>
      <c r="O80" s="46" t="n">
        <v>288</v>
      </c>
      <c r="P80" s="46" t="n">
        <v>1672</v>
      </c>
      <c r="Q80" s="46" t="n">
        <v>4</v>
      </c>
      <c r="R80" s="46" t="n">
        <v>4.3</v>
      </c>
      <c r="S80" s="46" t="n">
        <v>0.8</v>
      </c>
      <c r="T80" s="46" t="n">
        <v>310</v>
      </c>
      <c r="U80" s="46" t="inlineStr">
        <is>
          <t>SAMPLE_VERINT_2026-10.xlsx</t>
        </is>
      </c>
      <c r="V80" s="46" t="inlineStr">
        <is>
          <t>Sample row - delete before live use</t>
        </is>
      </c>
    </row>
    <row r="81">
      <c r="A81" s="45" t="n">
        <v>46297</v>
      </c>
      <c r="B81" s="46" t="n">
        <v>0.3958333333333333</v>
      </c>
      <c r="C81" s="46" t="n">
        <v>0.4166666666666667</v>
      </c>
      <c r="D81" s="46" t="inlineStr">
        <is>
          <t>9:30 AM - 10:00 AM</t>
        </is>
      </c>
      <c r="E81" s="46" t="inlineStr">
        <is>
          <t>Manila</t>
        </is>
      </c>
      <c r="F81" s="46" t="inlineStr">
        <is>
          <t>Tech_Support</t>
        </is>
      </c>
      <c r="G81" s="46" t="inlineStr">
        <is>
          <t>Voice</t>
        </is>
      </c>
      <c r="H81" s="46" t="n">
        <v>18</v>
      </c>
      <c r="I81" s="46" t="n">
        <v>17</v>
      </c>
      <c r="J81" s="46" t="n">
        <v>1</v>
      </c>
      <c r="K81" s="46" t="n">
        <v>0</v>
      </c>
      <c r="L81" s="46" t="n">
        <v>12</v>
      </c>
      <c r="M81" s="46" t="n">
        <v>465</v>
      </c>
      <c r="N81" s="46" t="n">
        <v>5217</v>
      </c>
      <c r="O81" s="46" t="n">
        <v>395</v>
      </c>
      <c r="P81" s="46" t="n">
        <v>2292</v>
      </c>
      <c r="Q81" s="46" t="n">
        <v>5</v>
      </c>
      <c r="R81" s="46" t="n">
        <v>5.1</v>
      </c>
      <c r="S81" s="46" t="n">
        <v>0.911</v>
      </c>
      <c r="T81" s="46" t="n">
        <v>180</v>
      </c>
      <c r="U81" s="46" t="inlineStr">
        <is>
          <t>SAMPLE_VERINT_2026-10.xlsx</t>
        </is>
      </c>
      <c r="V81" s="46" t="inlineStr">
        <is>
          <t>Sample row - delete before live use</t>
        </is>
      </c>
    </row>
    <row r="82">
      <c r="A82" s="45" t="n">
        <v>46297</v>
      </c>
      <c r="B82" s="46" t="n">
        <v>0.4166666666666667</v>
      </c>
      <c r="C82" s="46" t="n">
        <v>0.4375</v>
      </c>
      <c r="D82" s="46" t="inlineStr">
        <is>
          <t>10:00 AM - 10:30 AM</t>
        </is>
      </c>
      <c r="E82" s="46" t="inlineStr">
        <is>
          <t>Manila</t>
        </is>
      </c>
      <c r="F82" s="46" t="inlineStr">
        <is>
          <t>Tech_Support</t>
        </is>
      </c>
      <c r="G82" s="46" t="inlineStr">
        <is>
          <t>Voice</t>
        </is>
      </c>
      <c r="H82" s="46" t="n">
        <v>17</v>
      </c>
      <c r="I82" s="46" t="n">
        <v>16</v>
      </c>
      <c r="J82" s="46" t="n">
        <v>1</v>
      </c>
      <c r="K82" s="46" t="n">
        <v>0</v>
      </c>
      <c r="L82" s="46" t="n">
        <v>24</v>
      </c>
      <c r="M82" s="46" t="n">
        <v>420.1</v>
      </c>
      <c r="N82" s="46" t="n">
        <v>4437</v>
      </c>
      <c r="O82" s="46" t="n">
        <v>336</v>
      </c>
      <c r="P82" s="46" t="n">
        <v>1949</v>
      </c>
      <c r="Q82" s="46" t="n">
        <v>4.3</v>
      </c>
      <c r="R82" s="46" t="n">
        <v>4.6</v>
      </c>
      <c r="S82" s="46" t="n">
        <v>0.906</v>
      </c>
      <c r="T82" s="46" t="n">
        <v>240</v>
      </c>
      <c r="U82" s="46" t="inlineStr">
        <is>
          <t>SAMPLE_VERINT_2026-10.xlsx</t>
        </is>
      </c>
      <c r="V82" s="46" t="inlineStr">
        <is>
          <t>Sample row - delete before live use</t>
        </is>
      </c>
    </row>
    <row r="83">
      <c r="A83" s="45" t="n">
        <v>46297</v>
      </c>
      <c r="B83" s="46" t="n">
        <v>0.4375</v>
      </c>
      <c r="C83" s="46" t="n">
        <v>0.4583333333333333</v>
      </c>
      <c r="D83" s="46" t="inlineStr">
        <is>
          <t>10:30 AM - 11:00 AM</t>
        </is>
      </c>
      <c r="E83" s="46" t="inlineStr">
        <is>
          <t>Manila</t>
        </is>
      </c>
      <c r="F83" s="46" t="inlineStr">
        <is>
          <t>Tech_Support</t>
        </is>
      </c>
      <c r="G83" s="46" t="inlineStr">
        <is>
          <t>Voice</t>
        </is>
      </c>
      <c r="H83" s="46" t="n">
        <v>19</v>
      </c>
      <c r="I83" s="46" t="n">
        <v>18</v>
      </c>
      <c r="J83" s="46" t="n">
        <v>1</v>
      </c>
      <c r="K83" s="46" t="n">
        <v>0</v>
      </c>
      <c r="L83" s="46" t="n">
        <v>18</v>
      </c>
      <c r="M83" s="46" t="n">
        <v>302.4</v>
      </c>
      <c r="N83" s="46" t="n">
        <v>3593</v>
      </c>
      <c r="O83" s="46" t="n">
        <v>272</v>
      </c>
      <c r="P83" s="46" t="n">
        <v>1579</v>
      </c>
      <c r="Q83" s="46" t="n">
        <v>3.4</v>
      </c>
      <c r="R83" s="46" t="n">
        <v>3.7</v>
      </c>
      <c r="S83" s="46" t="n">
        <v>0.916</v>
      </c>
      <c r="T83" s="46" t="n">
        <v>310</v>
      </c>
      <c r="U83" s="46" t="inlineStr">
        <is>
          <t>SAMPLE_VERINT_2026-10.xlsx</t>
        </is>
      </c>
      <c r="V83" s="46" t="inlineStr">
        <is>
          <t>Sample row - delete before live use</t>
        </is>
      </c>
    </row>
    <row r="84">
      <c r="A84" s="45" t="n">
        <v>46297</v>
      </c>
      <c r="B84" s="46" t="n">
        <v>0.4583333333333333</v>
      </c>
      <c r="C84" s="46" t="n">
        <v>0.4791666666666667</v>
      </c>
      <c r="D84" s="46" t="inlineStr">
        <is>
          <t>11:00 AM - 11:30 AM</t>
        </is>
      </c>
      <c r="E84" s="46" t="inlineStr">
        <is>
          <t>Manila</t>
        </is>
      </c>
      <c r="F84" s="46" t="inlineStr">
        <is>
          <t>Tech_Support</t>
        </is>
      </c>
      <c r="G84" s="46" t="inlineStr">
        <is>
          <t>Voice</t>
        </is>
      </c>
      <c r="H84" s="46" t="n">
        <v>15</v>
      </c>
      <c r="I84" s="46" t="n">
        <v>13</v>
      </c>
      <c r="J84" s="46" t="n">
        <v>2</v>
      </c>
      <c r="K84" s="46" t="n">
        <v>1</v>
      </c>
      <c r="L84" s="46" t="n">
        <v>44</v>
      </c>
      <c r="M84" s="46" t="n">
        <v>443</v>
      </c>
      <c r="N84" s="46" t="n">
        <v>3801</v>
      </c>
      <c r="O84" s="46" t="n">
        <v>288</v>
      </c>
      <c r="P84" s="46" t="n">
        <v>1670</v>
      </c>
      <c r="Q84" s="46" t="n">
        <v>4</v>
      </c>
      <c r="R84" s="46" t="n">
        <v>4.5</v>
      </c>
      <c r="S84" s="46" t="n">
        <v>0.787</v>
      </c>
      <c r="T84" s="46" t="n">
        <v>240</v>
      </c>
      <c r="U84" s="46" t="inlineStr">
        <is>
          <t>SAMPLE_VERINT_2026-10.xlsx</t>
        </is>
      </c>
      <c r="V84" s="46" t="inlineStr">
        <is>
          <t>Sample row - delete before live use</t>
        </is>
      </c>
    </row>
    <row r="85">
      <c r="A85" s="45" t="n">
        <v>46297</v>
      </c>
      <c r="B85" s="46" t="n">
        <v>0.4791666666666667</v>
      </c>
      <c r="C85" s="46" t="n">
        <v>0.5</v>
      </c>
      <c r="D85" s="46" t="inlineStr">
        <is>
          <t>11:30 AM - 12:00 PM</t>
        </is>
      </c>
      <c r="E85" s="46" t="inlineStr">
        <is>
          <t>Manila</t>
        </is>
      </c>
      <c r="F85" s="46" t="inlineStr">
        <is>
          <t>Tech_Support</t>
        </is>
      </c>
      <c r="G85" s="46" t="inlineStr">
        <is>
          <t>Voice</t>
        </is>
      </c>
      <c r="H85" s="46" t="n">
        <v>16</v>
      </c>
      <c r="I85" s="46" t="n">
        <v>15</v>
      </c>
      <c r="J85" s="46" t="n">
        <v>1</v>
      </c>
      <c r="K85" s="46" t="n">
        <v>0</v>
      </c>
      <c r="L85" s="46" t="n">
        <v>18</v>
      </c>
      <c r="M85" s="46" t="n">
        <v>307.7</v>
      </c>
      <c r="N85" s="46" t="n">
        <v>3046</v>
      </c>
      <c r="O85" s="46" t="n">
        <v>231</v>
      </c>
      <c r="P85" s="46" t="n">
        <v>1338</v>
      </c>
      <c r="Q85" s="46" t="n">
        <v>3</v>
      </c>
      <c r="R85" s="46" t="n">
        <v>3</v>
      </c>
      <c r="S85" s="46" t="n">
        <v>0.9</v>
      </c>
      <c r="T85" s="46" t="n">
        <v>310</v>
      </c>
      <c r="U85" s="46" t="inlineStr">
        <is>
          <t>SAMPLE_VERINT_2026-10.xlsx</t>
        </is>
      </c>
      <c r="V85" s="46" t="inlineStr">
        <is>
          <t>Sample row - delete before live use</t>
        </is>
      </c>
    </row>
    <row r="86">
      <c r="A86" s="45" t="n">
        <v>46297</v>
      </c>
      <c r="B86" s="46" t="n">
        <v>0.5</v>
      </c>
      <c r="C86" s="46" t="n">
        <v>0.5208333333333334</v>
      </c>
      <c r="D86" s="46" t="inlineStr">
        <is>
          <t>12:00 PM - 12:30 PM</t>
        </is>
      </c>
      <c r="E86" s="46" t="inlineStr">
        <is>
          <t>Manila</t>
        </is>
      </c>
      <c r="F86" s="46" t="inlineStr">
        <is>
          <t>Tech_Support</t>
        </is>
      </c>
      <c r="G86" s="46" t="inlineStr">
        <is>
          <t>Voice</t>
        </is>
      </c>
      <c r="H86" s="46" t="n">
        <v>13</v>
      </c>
      <c r="I86" s="46" t="n">
        <v>11</v>
      </c>
      <c r="J86" s="46" t="n">
        <v>2</v>
      </c>
      <c r="K86" s="46" t="n">
        <v>1</v>
      </c>
      <c r="L86" s="46" t="n">
        <v>18</v>
      </c>
      <c r="M86" s="46" t="n">
        <v>355.9</v>
      </c>
      <c r="N86" s="46" t="n">
        <v>2584</v>
      </c>
      <c r="O86" s="46" t="n">
        <v>196</v>
      </c>
      <c r="P86" s="46" t="n">
        <v>1135</v>
      </c>
      <c r="Q86" s="46" t="n">
        <v>2.8</v>
      </c>
      <c r="R86" s="46" t="n">
        <v>3.2</v>
      </c>
      <c r="S86" s="46" t="n">
        <v>0.754</v>
      </c>
      <c r="T86" s="46" t="n">
        <v>180</v>
      </c>
      <c r="U86" s="46" t="inlineStr">
        <is>
          <t>SAMPLE_VERINT_2026-10.xlsx</t>
        </is>
      </c>
      <c r="V86" s="46" t="inlineStr">
        <is>
          <t>Sample row - delete before live use</t>
        </is>
      </c>
    </row>
    <row r="87">
      <c r="A87" s="45" t="n">
        <v>46297</v>
      </c>
      <c r="B87" s="46" t="n">
        <v>0.5208333333333334</v>
      </c>
      <c r="C87" s="46" t="n">
        <v>0.5416666666666666</v>
      </c>
      <c r="D87" s="46" t="inlineStr">
        <is>
          <t>12:30 PM - 1:00 PM</t>
        </is>
      </c>
      <c r="E87" s="46" t="inlineStr">
        <is>
          <t>Manila</t>
        </is>
      </c>
      <c r="F87" s="46" t="inlineStr">
        <is>
          <t>Tech_Support</t>
        </is>
      </c>
      <c r="G87" s="46" t="inlineStr">
        <is>
          <t>Voice</t>
        </is>
      </c>
      <c r="H87" s="46" t="n">
        <v>14</v>
      </c>
      <c r="I87" s="46" t="n">
        <v>13</v>
      </c>
      <c r="J87" s="46" t="n">
        <v>1</v>
      </c>
      <c r="K87" s="46" t="n">
        <v>0</v>
      </c>
      <c r="L87" s="46" t="n">
        <v>18</v>
      </c>
      <c r="M87" s="46" t="n">
        <v>337</v>
      </c>
      <c r="N87" s="46" t="n">
        <v>2892</v>
      </c>
      <c r="O87" s="46" t="n">
        <v>219</v>
      </c>
      <c r="P87" s="46" t="n">
        <v>1271</v>
      </c>
      <c r="Q87" s="46" t="n">
        <v>2.8</v>
      </c>
      <c r="R87" s="46" t="n">
        <v>2.8</v>
      </c>
      <c r="S87" s="46" t="n">
        <v>0.886</v>
      </c>
      <c r="T87" s="46" t="n">
        <v>310</v>
      </c>
      <c r="U87" s="46" t="inlineStr">
        <is>
          <t>SAMPLE_VERINT_2026-10.xlsx</t>
        </is>
      </c>
      <c r="V87" s="46" t="inlineStr">
        <is>
          <t>Sample row - delete before live use</t>
        </is>
      </c>
    </row>
    <row r="88">
      <c r="A88" s="45" t="n">
        <v>46297</v>
      </c>
      <c r="B88" s="46" t="n">
        <v>0.5416666666666666</v>
      </c>
      <c r="C88" s="46" t="n">
        <v>0.5625</v>
      </c>
      <c r="D88" s="46" t="inlineStr">
        <is>
          <t>1:00 PM - 1:30 PM</t>
        </is>
      </c>
      <c r="E88" s="46" t="inlineStr">
        <is>
          <t>Manila</t>
        </is>
      </c>
      <c r="F88" s="46" t="inlineStr">
        <is>
          <t>Tech_Support</t>
        </is>
      </c>
      <c r="G88" s="46" t="inlineStr">
        <is>
          <t>Voice</t>
        </is>
      </c>
      <c r="H88" s="46" t="n">
        <v>15</v>
      </c>
      <c r="I88" s="46" t="n">
        <v>13</v>
      </c>
      <c r="J88" s="46" t="n">
        <v>2</v>
      </c>
      <c r="K88" s="46" t="n">
        <v>1</v>
      </c>
      <c r="L88" s="46" t="n">
        <v>58</v>
      </c>
      <c r="M88" s="46" t="n">
        <v>411.5</v>
      </c>
      <c r="N88" s="46" t="n">
        <v>3531</v>
      </c>
      <c r="O88" s="46" t="n">
        <v>267</v>
      </c>
      <c r="P88" s="46" t="n">
        <v>1551</v>
      </c>
      <c r="Q88" s="46" t="n">
        <v>3.7</v>
      </c>
      <c r="R88" s="46" t="n">
        <v>3.7</v>
      </c>
      <c r="S88" s="46" t="n">
        <v>0.787</v>
      </c>
      <c r="T88" s="46" t="n">
        <v>120</v>
      </c>
      <c r="U88" s="46" t="inlineStr">
        <is>
          <t>SAMPLE_VERINT_2026-10.xlsx</t>
        </is>
      </c>
      <c r="V88" s="46" t="inlineStr">
        <is>
          <t>Sample row - delete before live use</t>
        </is>
      </c>
    </row>
    <row r="89">
      <c r="A89" s="45" t="n">
        <v>46297</v>
      </c>
      <c r="B89" s="46" t="n">
        <v>0.5625</v>
      </c>
      <c r="C89" s="46" t="n">
        <v>0.5833333333333334</v>
      </c>
      <c r="D89" s="46" t="inlineStr">
        <is>
          <t>1:30 PM - 2:00 PM</t>
        </is>
      </c>
      <c r="E89" s="46" t="inlineStr">
        <is>
          <t>Manila</t>
        </is>
      </c>
      <c r="F89" s="46" t="inlineStr">
        <is>
          <t>Tech_Support</t>
        </is>
      </c>
      <c r="G89" s="46" t="inlineStr">
        <is>
          <t>Voice</t>
        </is>
      </c>
      <c r="H89" s="46" t="n">
        <v>12</v>
      </c>
      <c r="I89" s="46" t="n">
        <v>11</v>
      </c>
      <c r="J89" s="46" t="n">
        <v>1</v>
      </c>
      <c r="K89" s="46" t="n">
        <v>0</v>
      </c>
      <c r="L89" s="46" t="n">
        <v>24</v>
      </c>
      <c r="M89" s="46" t="n">
        <v>324.5</v>
      </c>
      <c r="N89" s="46" t="n">
        <v>2356</v>
      </c>
      <c r="O89" s="46" t="n">
        <v>178</v>
      </c>
      <c r="P89" s="46" t="n">
        <v>1035</v>
      </c>
      <c r="Q89" s="46" t="n">
        <v>2.3</v>
      </c>
      <c r="R89" s="46" t="n">
        <v>2.5</v>
      </c>
      <c r="S89" s="46" t="n">
        <v>0.867</v>
      </c>
      <c r="T89" s="46" t="n">
        <v>120</v>
      </c>
      <c r="U89" s="46" t="inlineStr">
        <is>
          <t>SAMPLE_VERINT_2026-10.xlsx</t>
        </is>
      </c>
      <c r="V89" s="46" t="inlineStr">
        <is>
          <t>Sample row - delete before live use</t>
        </is>
      </c>
    </row>
    <row r="90">
      <c r="A90" s="45" t="n">
        <v>46297</v>
      </c>
      <c r="B90" s="46" t="n">
        <v>0.3333333333333333</v>
      </c>
      <c r="C90" s="46" t="n">
        <v>0.3541666666666667</v>
      </c>
      <c r="D90" s="46" t="inlineStr">
        <is>
          <t>8:00 AM - 8:30 AM</t>
        </is>
      </c>
      <c r="E90" s="46" t="inlineStr">
        <is>
          <t>Manila</t>
        </is>
      </c>
      <c r="F90" s="46" t="inlineStr">
        <is>
          <t>Retention</t>
        </is>
      </c>
      <c r="G90" s="46" t="inlineStr">
        <is>
          <t>Voice</t>
        </is>
      </c>
      <c r="H90" s="46" t="n">
        <v>6</v>
      </c>
      <c r="I90" s="46" t="n">
        <v>5</v>
      </c>
      <c r="J90" s="46" t="n">
        <v>1</v>
      </c>
      <c r="K90" s="46" t="n">
        <v>0</v>
      </c>
      <c r="L90" s="46" t="n">
        <v>58</v>
      </c>
      <c r="M90" s="46" t="n">
        <v>314.4</v>
      </c>
      <c r="N90" s="46" t="n">
        <v>1037</v>
      </c>
      <c r="O90" s="46" t="n">
        <v>79</v>
      </c>
      <c r="P90" s="46" t="n">
        <v>456</v>
      </c>
      <c r="Q90" s="46" t="n">
        <v>1.1</v>
      </c>
      <c r="R90" s="46" t="n">
        <v>1.3</v>
      </c>
      <c r="S90" s="46" t="n">
        <v>0.733</v>
      </c>
      <c r="T90" s="46" t="n">
        <v>780</v>
      </c>
      <c r="U90" s="46" t="inlineStr">
        <is>
          <t>SAMPLE_VERINT_2026-10.xlsx</t>
        </is>
      </c>
      <c r="V90" s="46" t="inlineStr">
        <is>
          <t>Sample row - delete before live use</t>
        </is>
      </c>
    </row>
    <row r="91">
      <c r="A91" s="45" t="n">
        <v>46297</v>
      </c>
      <c r="B91" s="46" t="n">
        <v>0.3541666666666667</v>
      </c>
      <c r="C91" s="46" t="n">
        <v>0.375</v>
      </c>
      <c r="D91" s="46" t="inlineStr">
        <is>
          <t>8:30 AM - 9:00 AM</t>
        </is>
      </c>
      <c r="E91" s="46" t="inlineStr">
        <is>
          <t>Manila</t>
        </is>
      </c>
      <c r="F91" s="46" t="inlineStr">
        <is>
          <t>Retention</t>
        </is>
      </c>
      <c r="G91" s="46" t="inlineStr">
        <is>
          <t>Voice</t>
        </is>
      </c>
      <c r="H91" s="46" t="n">
        <v>8</v>
      </c>
      <c r="I91" s="46" t="n">
        <v>7</v>
      </c>
      <c r="J91" s="46" t="n">
        <v>1</v>
      </c>
      <c r="K91" s="46" t="n">
        <v>0</v>
      </c>
      <c r="L91" s="46" t="n">
        <v>58</v>
      </c>
      <c r="M91" s="46" t="n">
        <v>433.3</v>
      </c>
      <c r="N91" s="46" t="n">
        <v>2002</v>
      </c>
      <c r="O91" s="46" t="n">
        <v>152</v>
      </c>
      <c r="P91" s="46" t="n">
        <v>880</v>
      </c>
      <c r="Q91" s="46" t="n">
        <v>2.1</v>
      </c>
      <c r="R91" s="46" t="n">
        <v>2.2</v>
      </c>
      <c r="S91" s="46" t="n">
        <v>0.8</v>
      </c>
      <c r="T91" s="46" t="n">
        <v>240</v>
      </c>
      <c r="U91" s="46" t="inlineStr">
        <is>
          <t>SAMPLE_VERINT_2026-10.xlsx</t>
        </is>
      </c>
      <c r="V91" s="46" t="inlineStr">
        <is>
          <t>Sample row - delete before live use</t>
        </is>
      </c>
    </row>
    <row r="92">
      <c r="A92" s="45" t="n">
        <v>46297</v>
      </c>
      <c r="B92" s="46" t="n">
        <v>0.375</v>
      </c>
      <c r="C92" s="46" t="n">
        <v>0.3958333333333333</v>
      </c>
      <c r="D92" s="46" t="inlineStr">
        <is>
          <t>9:00 AM - 9:30 AM</t>
        </is>
      </c>
      <c r="E92" s="46" t="inlineStr">
        <is>
          <t>Manila</t>
        </is>
      </c>
      <c r="F92" s="46" t="inlineStr">
        <is>
          <t>Retention</t>
        </is>
      </c>
      <c r="G92" s="46" t="inlineStr">
        <is>
          <t>Voice</t>
        </is>
      </c>
      <c r="H92" s="46" t="n">
        <v>12</v>
      </c>
      <c r="I92" s="46" t="n">
        <v>11</v>
      </c>
      <c r="J92" s="46" t="n">
        <v>1</v>
      </c>
      <c r="K92" s="46" t="n">
        <v>0</v>
      </c>
      <c r="L92" s="46" t="n">
        <v>12</v>
      </c>
      <c r="M92" s="46" t="n">
        <v>348.3</v>
      </c>
      <c r="N92" s="46" t="n">
        <v>2529</v>
      </c>
      <c r="O92" s="46" t="n">
        <v>192</v>
      </c>
      <c r="P92" s="46" t="n">
        <v>1111</v>
      </c>
      <c r="Q92" s="46" t="n">
        <v>2.5</v>
      </c>
      <c r="R92" s="46" t="n">
        <v>2.7</v>
      </c>
      <c r="S92" s="46" t="n">
        <v>0.867</v>
      </c>
      <c r="T92" s="46" t="n">
        <v>120</v>
      </c>
      <c r="U92" s="46" t="inlineStr">
        <is>
          <t>SAMPLE_VERINT_2026-10.xlsx</t>
        </is>
      </c>
      <c r="V92" s="46" t="inlineStr">
        <is>
          <t>Sample row - delete before live use</t>
        </is>
      </c>
    </row>
    <row r="93">
      <c r="A93" s="45" t="n">
        <v>46297</v>
      </c>
      <c r="B93" s="46" t="n">
        <v>0.3958333333333333</v>
      </c>
      <c r="C93" s="46" t="n">
        <v>0.4166666666666667</v>
      </c>
      <c r="D93" s="46" t="inlineStr">
        <is>
          <t>9:30 AM - 10:00 AM</t>
        </is>
      </c>
      <c r="E93" s="46" t="inlineStr">
        <is>
          <t>Manila</t>
        </is>
      </c>
      <c r="F93" s="46" t="inlineStr">
        <is>
          <t>Retention</t>
        </is>
      </c>
      <c r="G93" s="46" t="inlineStr">
        <is>
          <t>Voice</t>
        </is>
      </c>
      <c r="H93" s="46" t="n">
        <v>13</v>
      </c>
      <c r="I93" s="46" t="n">
        <v>12</v>
      </c>
      <c r="J93" s="46" t="n">
        <v>1</v>
      </c>
      <c r="K93" s="46" t="n">
        <v>0</v>
      </c>
      <c r="L93" s="46" t="n">
        <v>44</v>
      </c>
      <c r="M93" s="46" t="n">
        <v>387.2</v>
      </c>
      <c r="N93" s="46" t="n">
        <v>3067</v>
      </c>
      <c r="O93" s="46" t="n">
        <v>232</v>
      </c>
      <c r="P93" s="46" t="n">
        <v>1347</v>
      </c>
      <c r="Q93" s="46" t="n">
        <v>3</v>
      </c>
      <c r="R93" s="46" t="n">
        <v>3.1</v>
      </c>
      <c r="S93" s="46" t="n">
        <v>0.877</v>
      </c>
      <c r="T93" s="46" t="n">
        <v>780</v>
      </c>
      <c r="U93" s="46" t="inlineStr">
        <is>
          <t>SAMPLE_VERINT_2026-10.xlsx</t>
        </is>
      </c>
      <c r="V93" s="46" t="inlineStr">
        <is>
          <t>Sample row - delete before live use</t>
        </is>
      </c>
    </row>
    <row r="94">
      <c r="A94" s="45" t="n">
        <v>46297</v>
      </c>
      <c r="B94" s="46" t="n">
        <v>0.4166666666666667</v>
      </c>
      <c r="C94" s="46" t="n">
        <v>0.4375</v>
      </c>
      <c r="D94" s="46" t="inlineStr">
        <is>
          <t>10:00 AM - 10:30 AM</t>
        </is>
      </c>
      <c r="E94" s="46" t="inlineStr">
        <is>
          <t>Manila</t>
        </is>
      </c>
      <c r="F94" s="46" t="inlineStr">
        <is>
          <t>Retention</t>
        </is>
      </c>
      <c r="G94" s="46" t="inlineStr">
        <is>
          <t>Voice</t>
        </is>
      </c>
      <c r="H94" s="46" t="n">
        <v>12</v>
      </c>
      <c r="I94" s="46" t="n">
        <v>11</v>
      </c>
      <c r="J94" s="46" t="n">
        <v>1</v>
      </c>
      <c r="K94" s="46" t="n">
        <v>0</v>
      </c>
      <c r="L94" s="46" t="n">
        <v>58</v>
      </c>
      <c r="M94" s="46" t="n">
        <v>428</v>
      </c>
      <c r="N94" s="46" t="n">
        <v>3107</v>
      </c>
      <c r="O94" s="46" t="n">
        <v>235</v>
      </c>
      <c r="P94" s="46" t="n">
        <v>1365</v>
      </c>
      <c r="Q94" s="46" t="n">
        <v>3.1</v>
      </c>
      <c r="R94" s="46" t="n">
        <v>3.3</v>
      </c>
      <c r="S94" s="46" t="n">
        <v>0.867</v>
      </c>
      <c r="T94" s="46" t="n">
        <v>780</v>
      </c>
      <c r="U94" s="46" t="inlineStr">
        <is>
          <t>SAMPLE_VERINT_2026-10.xlsx</t>
        </is>
      </c>
      <c r="V94" s="46" t="inlineStr">
        <is>
          <t>Sample row - delete before live use</t>
        </is>
      </c>
    </row>
    <row r="95">
      <c r="A95" s="45" t="n">
        <v>46297</v>
      </c>
      <c r="B95" s="46" t="n">
        <v>0.4375</v>
      </c>
      <c r="C95" s="46" t="n">
        <v>0.4583333333333333</v>
      </c>
      <c r="D95" s="46" t="inlineStr">
        <is>
          <t>10:30 AM - 11:00 AM</t>
        </is>
      </c>
      <c r="E95" s="46" t="inlineStr">
        <is>
          <t>Manila</t>
        </is>
      </c>
      <c r="F95" s="46" t="inlineStr">
        <is>
          <t>Retention</t>
        </is>
      </c>
      <c r="G95" s="46" t="inlineStr">
        <is>
          <t>Voice</t>
        </is>
      </c>
      <c r="H95" s="46" t="n">
        <v>10</v>
      </c>
      <c r="I95" s="46" t="n">
        <v>9</v>
      </c>
      <c r="J95" s="46" t="n">
        <v>1</v>
      </c>
      <c r="K95" s="46" t="n">
        <v>0</v>
      </c>
      <c r="L95" s="46" t="n">
        <v>44</v>
      </c>
      <c r="M95" s="46" t="n">
        <v>435.7</v>
      </c>
      <c r="N95" s="46" t="n">
        <v>2588</v>
      </c>
      <c r="O95" s="46" t="n">
        <v>196</v>
      </c>
      <c r="P95" s="46" t="n">
        <v>1137</v>
      </c>
      <c r="Q95" s="46" t="n">
        <v>2.6</v>
      </c>
      <c r="R95" s="46" t="n">
        <v>2.8</v>
      </c>
      <c r="S95" s="46" t="n">
        <v>0.84</v>
      </c>
      <c r="T95" s="46" t="n">
        <v>600</v>
      </c>
      <c r="U95" s="46" t="inlineStr">
        <is>
          <t>SAMPLE_VERINT_2026-10.xlsx</t>
        </is>
      </c>
      <c r="V95" s="46" t="inlineStr">
        <is>
          <t>Sample row - delete before live use</t>
        </is>
      </c>
    </row>
    <row r="96">
      <c r="A96" s="45" t="n">
        <v>46297</v>
      </c>
      <c r="B96" s="46" t="n">
        <v>0.4583333333333333</v>
      </c>
      <c r="C96" s="46" t="n">
        <v>0.4791666666666667</v>
      </c>
      <c r="D96" s="46" t="inlineStr">
        <is>
          <t>11:00 AM - 11:30 AM</t>
        </is>
      </c>
      <c r="E96" s="46" t="inlineStr">
        <is>
          <t>Manila</t>
        </is>
      </c>
      <c r="F96" s="46" t="inlineStr">
        <is>
          <t>Retention</t>
        </is>
      </c>
      <c r="G96" s="46" t="inlineStr">
        <is>
          <t>Voice</t>
        </is>
      </c>
      <c r="H96" s="46" t="n">
        <v>10</v>
      </c>
      <c r="I96" s="46" t="n">
        <v>9</v>
      </c>
      <c r="J96" s="46" t="n">
        <v>1</v>
      </c>
      <c r="K96" s="46" t="n">
        <v>0</v>
      </c>
      <c r="L96" s="46" t="n">
        <v>8</v>
      </c>
      <c r="M96" s="46" t="n">
        <v>322.6</v>
      </c>
      <c r="N96" s="46" t="n">
        <v>1916</v>
      </c>
      <c r="O96" s="46" t="n">
        <v>145</v>
      </c>
      <c r="P96" s="46" t="n">
        <v>842</v>
      </c>
      <c r="Q96" s="46" t="n">
        <v>1.9</v>
      </c>
      <c r="R96" s="46" t="n">
        <v>1.9</v>
      </c>
      <c r="S96" s="46" t="n">
        <v>0.84</v>
      </c>
      <c r="T96" s="46" t="n">
        <v>310</v>
      </c>
      <c r="U96" s="46" t="inlineStr">
        <is>
          <t>SAMPLE_VERINT_2026-10.xlsx</t>
        </is>
      </c>
      <c r="V96" s="46" t="inlineStr">
        <is>
          <t>Sample row - delete before live use</t>
        </is>
      </c>
    </row>
    <row r="97">
      <c r="A97" s="45" t="n">
        <v>46297</v>
      </c>
      <c r="B97" s="46" t="n">
        <v>0.4791666666666667</v>
      </c>
      <c r="C97" s="46" t="n">
        <v>0.5</v>
      </c>
      <c r="D97" s="46" t="inlineStr">
        <is>
          <t>11:30 AM - 12:00 PM</t>
        </is>
      </c>
      <c r="E97" s="46" t="inlineStr">
        <is>
          <t>Manila</t>
        </is>
      </c>
      <c r="F97" s="46" t="inlineStr">
        <is>
          <t>Retention</t>
        </is>
      </c>
      <c r="G97" s="46" t="inlineStr">
        <is>
          <t>Voice</t>
        </is>
      </c>
      <c r="H97" s="46" t="n">
        <v>11</v>
      </c>
      <c r="I97" s="46" t="n">
        <v>10</v>
      </c>
      <c r="J97" s="46" t="n">
        <v>1</v>
      </c>
      <c r="K97" s="46" t="n">
        <v>0</v>
      </c>
      <c r="L97" s="46" t="n">
        <v>44</v>
      </c>
      <c r="M97" s="46" t="n">
        <v>406.7</v>
      </c>
      <c r="N97" s="46" t="n">
        <v>2684</v>
      </c>
      <c r="O97" s="46" t="n">
        <v>203</v>
      </c>
      <c r="P97" s="46" t="n">
        <v>1179</v>
      </c>
      <c r="Q97" s="46" t="n">
        <v>2.7</v>
      </c>
      <c r="R97" s="46" t="n">
        <v>2.9</v>
      </c>
      <c r="S97" s="46" t="n">
        <v>0.855</v>
      </c>
      <c r="T97" s="46" t="n">
        <v>180</v>
      </c>
      <c r="U97" s="46" t="inlineStr">
        <is>
          <t>SAMPLE_VERINT_2026-10.xlsx</t>
        </is>
      </c>
      <c r="V97" s="46" t="inlineStr">
        <is>
          <t>Sample row - delete before live use</t>
        </is>
      </c>
    </row>
    <row r="98">
      <c r="A98" s="45" t="n">
        <v>46297</v>
      </c>
      <c r="B98" s="46" t="n">
        <v>0.5</v>
      </c>
      <c r="C98" s="46" t="n">
        <v>0.5208333333333334</v>
      </c>
      <c r="D98" s="46" t="inlineStr">
        <is>
          <t>12:00 PM - 12:30 PM</t>
        </is>
      </c>
      <c r="E98" s="46" t="inlineStr">
        <is>
          <t>Manila</t>
        </is>
      </c>
      <c r="F98" s="46" t="inlineStr">
        <is>
          <t>Retention</t>
        </is>
      </c>
      <c r="G98" s="46" t="inlineStr">
        <is>
          <t>Voice</t>
        </is>
      </c>
      <c r="H98" s="46" t="n">
        <v>10</v>
      </c>
      <c r="I98" s="46" t="n">
        <v>9</v>
      </c>
      <c r="J98" s="46" t="n">
        <v>1</v>
      </c>
      <c r="K98" s="46" t="n">
        <v>0</v>
      </c>
      <c r="L98" s="46" t="n">
        <v>31</v>
      </c>
      <c r="M98" s="46" t="n">
        <v>435.6</v>
      </c>
      <c r="N98" s="46" t="n">
        <v>2588</v>
      </c>
      <c r="O98" s="46" t="n">
        <v>196</v>
      </c>
      <c r="P98" s="46" t="n">
        <v>1137</v>
      </c>
      <c r="Q98" s="46" t="n">
        <v>2.6</v>
      </c>
      <c r="R98" s="46" t="n">
        <v>2.9</v>
      </c>
      <c r="S98" s="46" t="n">
        <v>0.84</v>
      </c>
      <c r="T98" s="46" t="n">
        <v>420</v>
      </c>
      <c r="U98" s="46" t="inlineStr">
        <is>
          <t>SAMPLE_VERINT_2026-10.xlsx</t>
        </is>
      </c>
      <c r="V98" s="46" t="inlineStr">
        <is>
          <t>Sample row - delete before live use</t>
        </is>
      </c>
    </row>
    <row r="99">
      <c r="A99" s="45" t="n">
        <v>46297</v>
      </c>
      <c r="B99" s="46" t="n">
        <v>0.5208333333333334</v>
      </c>
      <c r="C99" s="46" t="n">
        <v>0.5416666666666666</v>
      </c>
      <c r="D99" s="46" t="inlineStr">
        <is>
          <t>12:30 PM - 1:00 PM</t>
        </is>
      </c>
      <c r="E99" s="46" t="inlineStr">
        <is>
          <t>Manila</t>
        </is>
      </c>
      <c r="F99" s="46" t="inlineStr">
        <is>
          <t>Retention</t>
        </is>
      </c>
      <c r="G99" s="46" t="inlineStr">
        <is>
          <t>Voice</t>
        </is>
      </c>
      <c r="H99" s="46" t="n">
        <v>9</v>
      </c>
      <c r="I99" s="46" t="n">
        <v>8</v>
      </c>
      <c r="J99" s="46" t="n">
        <v>1</v>
      </c>
      <c r="K99" s="46" t="n">
        <v>0</v>
      </c>
      <c r="L99" s="46" t="n">
        <v>58</v>
      </c>
      <c r="M99" s="46" t="n">
        <v>426.8</v>
      </c>
      <c r="N99" s="46" t="n">
        <v>2253</v>
      </c>
      <c r="O99" s="46" t="n">
        <v>171</v>
      </c>
      <c r="P99" s="46" t="n">
        <v>990</v>
      </c>
      <c r="Q99" s="46" t="n">
        <v>2.3</v>
      </c>
      <c r="R99" s="46" t="n">
        <v>2.4</v>
      </c>
      <c r="S99" s="46" t="n">
        <v>0.822</v>
      </c>
      <c r="T99" s="46" t="n">
        <v>120</v>
      </c>
      <c r="U99" s="46" t="inlineStr">
        <is>
          <t>SAMPLE_VERINT_2026-10.xlsx</t>
        </is>
      </c>
      <c r="V99" s="46" t="inlineStr">
        <is>
          <t>Sample row - delete before live use</t>
        </is>
      </c>
    </row>
    <row r="100">
      <c r="A100" s="45" t="n">
        <v>46297</v>
      </c>
      <c r="B100" s="46" t="n">
        <v>0.5416666666666666</v>
      </c>
      <c r="C100" s="46" t="n">
        <v>0.5625</v>
      </c>
      <c r="D100" s="46" t="inlineStr">
        <is>
          <t>1:00 PM - 1:30 PM</t>
        </is>
      </c>
      <c r="E100" s="46" t="inlineStr">
        <is>
          <t>Manila</t>
        </is>
      </c>
      <c r="F100" s="46" t="inlineStr">
        <is>
          <t>Retention</t>
        </is>
      </c>
      <c r="G100" s="46" t="inlineStr">
        <is>
          <t>Voice</t>
        </is>
      </c>
      <c r="H100" s="46" t="n">
        <v>12</v>
      </c>
      <c r="I100" s="46" t="n">
        <v>10</v>
      </c>
      <c r="J100" s="46" t="n">
        <v>2</v>
      </c>
      <c r="K100" s="46" t="n">
        <v>1</v>
      </c>
      <c r="L100" s="46" t="n">
        <v>44</v>
      </c>
      <c r="M100" s="46" t="n">
        <v>428.6</v>
      </c>
      <c r="N100" s="46" t="n">
        <v>2829</v>
      </c>
      <c r="O100" s="46" t="n">
        <v>214</v>
      </c>
      <c r="P100" s="46" t="n">
        <v>1243</v>
      </c>
      <c r="Q100" s="46" t="n">
        <v>3.1</v>
      </c>
      <c r="R100" s="46" t="n">
        <v>3.1</v>
      </c>
      <c r="S100" s="46" t="n">
        <v>0.733</v>
      </c>
      <c r="T100" s="46" t="n">
        <v>310</v>
      </c>
      <c r="U100" s="46" t="inlineStr">
        <is>
          <t>SAMPLE_VERINT_2026-10.xlsx</t>
        </is>
      </c>
      <c r="V100" s="46" t="inlineStr">
        <is>
          <t>Sample row - delete before live use</t>
        </is>
      </c>
    </row>
    <row r="101">
      <c r="A101" s="45" t="n">
        <v>46297</v>
      </c>
      <c r="B101" s="46" t="n">
        <v>0.5625</v>
      </c>
      <c r="C101" s="46" t="n">
        <v>0.5833333333333334</v>
      </c>
      <c r="D101" s="46" t="inlineStr">
        <is>
          <t>1:30 PM - 2:00 PM</t>
        </is>
      </c>
      <c r="E101" s="46" t="inlineStr">
        <is>
          <t>Manila</t>
        </is>
      </c>
      <c r="F101" s="46" t="inlineStr">
        <is>
          <t>Retention</t>
        </is>
      </c>
      <c r="G101" s="46" t="inlineStr">
        <is>
          <t>Voice</t>
        </is>
      </c>
      <c r="H101" s="46" t="n">
        <v>8</v>
      </c>
      <c r="I101" s="46" t="n">
        <v>7</v>
      </c>
      <c r="J101" s="46" t="n">
        <v>1</v>
      </c>
      <c r="K101" s="46" t="n">
        <v>0</v>
      </c>
      <c r="L101" s="46" t="n">
        <v>58</v>
      </c>
      <c r="M101" s="46" t="n">
        <v>381.4</v>
      </c>
      <c r="N101" s="46" t="n">
        <v>1762</v>
      </c>
      <c r="O101" s="46" t="n">
        <v>134</v>
      </c>
      <c r="P101" s="46" t="n">
        <v>774</v>
      </c>
      <c r="Q101" s="46" t="n">
        <v>1.8</v>
      </c>
      <c r="R101" s="46" t="n">
        <v>2</v>
      </c>
      <c r="S101" s="46" t="n">
        <v>0.8</v>
      </c>
      <c r="T101" s="46" t="n">
        <v>120</v>
      </c>
      <c r="U101" s="46" t="inlineStr">
        <is>
          <t>SAMPLE_VERINT_2026-10.xlsx</t>
        </is>
      </c>
      <c r="V101" s="46" t="inlineStr">
        <is>
          <t>Sample row - delete before live use</t>
        </is>
      </c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</sheetData>
  <autoFilter ref="A5:V10005"/>
  <mergeCells count="4">
    <mergeCell ref="A2:V2"/>
    <mergeCell ref="J3:V3"/>
    <mergeCell ref="A1:V1"/>
    <mergeCell ref="C3:H3"/>
  </mergeCells>
  <dataValidations count="3">
    <dataValidation sqref="E6:E10005" showDropDown="0" showInputMessage="0" showErrorMessage="1" allowBlank="1" errorTitle="Unknown site" error="This site is not in Lists!A. Continue only if the value is intentional." type="list" errorStyle="warning">
      <formula1>LIST_SITES</formula1>
    </dataValidation>
    <dataValidation sqref="F6:F10005" showDropDown="0" showInputMessage="0" showErrorMessage="1" allowBlank="1" errorTitle="Unknown queue / skill" error="This queue is not in Lists!B. Continue only if the value is intentional." type="list" errorStyle="warning">
      <formula1>LIST_QUEUES</formula1>
    </dataValidation>
    <dataValidation sqref="G6:G10005" showDropDown="0" showInputMessage="0" showErrorMessage="1" allowBlank="1" errorTitle="Unknown channel" error="This channel is not in Lists!C. Continue only if the value is intentional." type="list" errorStyle="warning">
      <formula1>LIST_CHANNELS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5621"/>
    <outlinePr summaryBelow="1" summaryRight="1"/>
    <pageSetUpPr/>
  </sheetPr>
  <dimension ref="A1:V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32" min="1" max="1"/>
    <col width="11" customWidth="1" style="33" min="2" max="2"/>
    <col width="11" customWidth="1" style="33" min="3" max="3"/>
    <col width="19" customWidth="1" style="34" min="4" max="4"/>
    <col width="14" customWidth="1" style="34" min="5" max="5"/>
    <col width="22" customWidth="1" style="34" min="6" max="6"/>
    <col width="12" customWidth="1" style="34" min="7" max="7"/>
    <col width="10" customWidth="1" style="35" min="8" max="8"/>
    <col width="10" customWidth="1" style="35" min="9" max="9"/>
    <col width="11" customWidth="1" style="35" min="10" max="10"/>
    <col width="15" customWidth="1" style="35" min="11" max="11"/>
    <col width="10" customWidth="1" style="36" min="12" max="12"/>
    <col width="10" customWidth="1" style="36" min="13" max="13"/>
    <col width="11" customWidth="1" style="35" min="14" max="14"/>
    <col width="11" customWidth="1" style="35" min="15" max="15"/>
    <col width="11" customWidth="1" style="35" min="16" max="16"/>
    <col width="15" customWidth="1" style="36" min="17" max="17"/>
    <col width="16" customWidth="1" style="36" min="18" max="18"/>
    <col width="14" customWidth="1" style="37" min="19" max="19"/>
    <col width="13" customWidth="1" style="35" min="20" max="20"/>
    <col width="26" customWidth="1" style="34" min="21" max="21"/>
    <col width="26" customWidth="1" style="34" min="22" max="22"/>
  </cols>
  <sheetData>
    <row r="1" ht="30" customHeight="1">
      <c r="A1" s="1" t="inlineStr">
        <is>
          <t>IEX RAW DATA</t>
        </is>
      </c>
    </row>
    <row r="2" ht="18" customHeight="1">
      <c r="A2" s="2" t="inlineStr">
        <is>
          <t>Paste the raw interval export below the header row. Do not edit column order, insert formulas or merge cells - all calculations happen on Calc_Data.</t>
        </is>
      </c>
    </row>
    <row r="3">
      <c r="A3" s="38" t="inlineStr">
        <is>
          <t>Source</t>
        </is>
      </c>
      <c r="B3" s="39" t="inlineStr">
        <is>
          <t>IEX</t>
        </is>
      </c>
      <c r="C3" s="24" t="inlineStr">
        <is>
          <t>Rows 6-10,005 available  |  Paste as values  |  Date = date, Interval = hh:mm</t>
        </is>
      </c>
      <c r="J3" s="40" t="inlineStr">
        <is>
          <t>Sample rows are included - clear rows 6:101 before live use</t>
        </is>
      </c>
    </row>
    <row r="5" ht="34" customHeight="1">
      <c r="A5" s="41" t="inlineStr">
        <is>
          <t>Date</t>
        </is>
      </c>
      <c r="B5" s="41" t="inlineStr">
        <is>
          <t>Interval Start</t>
        </is>
      </c>
      <c r="C5" s="41" t="inlineStr">
        <is>
          <t>Interval End</t>
        </is>
      </c>
      <c r="D5" s="41" t="inlineStr">
        <is>
          <t>Interval</t>
        </is>
      </c>
      <c r="E5" s="41" t="inlineStr">
        <is>
          <t>Site</t>
        </is>
      </c>
      <c r="F5" s="41" t="inlineStr">
        <is>
          <t>Queue / Skill</t>
        </is>
      </c>
      <c r="G5" s="41" t="inlineStr">
        <is>
          <t>Channel</t>
        </is>
      </c>
      <c r="H5" s="18" t="inlineStr">
        <is>
          <t>Offered</t>
        </is>
      </c>
      <c r="I5" s="18" t="inlineStr">
        <is>
          <t>Handled</t>
        </is>
      </c>
      <c r="J5" s="18" t="inlineStr">
        <is>
          <t>Abandoned</t>
        </is>
      </c>
      <c r="K5" s="18" t="inlineStr">
        <is>
          <t>Short Abandoned</t>
        </is>
      </c>
      <c r="L5" s="42" t="inlineStr">
        <is>
          <t>ASA (sec)</t>
        </is>
      </c>
      <c r="M5" s="42" t="inlineStr">
        <is>
          <t>AHT (sec)</t>
        </is>
      </c>
      <c r="N5" s="42" t="inlineStr">
        <is>
          <t>Talk (sec)</t>
        </is>
      </c>
      <c r="O5" s="42" t="inlineStr">
        <is>
          <t>Hold (sec)</t>
        </is>
      </c>
      <c r="P5" s="42" t="inlineStr">
        <is>
          <t>ACW (sec)</t>
        </is>
      </c>
      <c r="Q5" s="43" t="inlineStr">
        <is>
          <t>Staffed (agents)</t>
        </is>
      </c>
      <c r="R5" s="43" t="inlineStr">
        <is>
          <t>Required (agents)</t>
        </is>
      </c>
      <c r="S5" s="42" t="inlineStr">
        <is>
          <t>Service Level %</t>
        </is>
      </c>
      <c r="T5" s="42" t="inlineStr">
        <is>
          <t>Max Wait (sec)</t>
        </is>
      </c>
      <c r="U5" s="44" t="inlineStr">
        <is>
          <t>Source File</t>
        </is>
      </c>
      <c r="V5" s="44" t="inlineStr">
        <is>
          <t>Notes</t>
        </is>
      </c>
    </row>
    <row r="6">
      <c r="A6" s="45" t="n">
        <v>46296</v>
      </c>
      <c r="B6" s="46" t="n">
        <v>0.3333333333333333</v>
      </c>
      <c r="C6" s="46" t="n">
        <v>0.3541666666666667</v>
      </c>
      <c r="D6" s="46" t="inlineStr">
        <is>
          <t>8:00 AM - 8:30 AM</t>
        </is>
      </c>
      <c r="E6" s="46" t="inlineStr">
        <is>
          <t>Manila</t>
        </is>
      </c>
      <c r="F6" s="46" t="inlineStr">
        <is>
          <t>CS_Voice_General</t>
        </is>
      </c>
      <c r="G6" s="46" t="inlineStr">
        <is>
          <t>Voice</t>
        </is>
      </c>
      <c r="H6" s="46" t="n">
        <v>22</v>
      </c>
      <c r="I6" s="46" t="n">
        <v>19</v>
      </c>
      <c r="J6" s="46" t="n">
        <v>3</v>
      </c>
      <c r="K6" s="46" t="n">
        <v>1</v>
      </c>
      <c r="L6" s="46" t="n">
        <v>31</v>
      </c>
      <c r="M6" s="46" t="n">
        <v>410.7</v>
      </c>
      <c r="N6" s="46" t="n">
        <v>5150</v>
      </c>
      <c r="O6" s="46" t="n">
        <v>390</v>
      </c>
      <c r="P6" s="46" t="n">
        <v>2263</v>
      </c>
      <c r="Q6" s="46" t="n">
        <v>5.4</v>
      </c>
      <c r="R6" s="46" t="n">
        <v>5.2</v>
      </c>
      <c r="S6" s="46" t="n">
        <v>0.782</v>
      </c>
      <c r="T6" s="46" t="n">
        <v>120</v>
      </c>
      <c r="U6" s="46" t="inlineStr">
        <is>
          <t>SAMPLE_IEX_2026-10.xlsx</t>
        </is>
      </c>
      <c r="V6" s="46" t="inlineStr">
        <is>
          <t>Sample row - delete before live use</t>
        </is>
      </c>
    </row>
    <row r="7">
      <c r="A7" s="45" t="n">
        <v>46296</v>
      </c>
      <c r="B7" s="46" t="n">
        <v>0.3541666666666667</v>
      </c>
      <c r="C7" s="46" t="n">
        <v>0.375</v>
      </c>
      <c r="D7" s="46" t="inlineStr">
        <is>
          <t>8:30 AM - 9:00 AM</t>
        </is>
      </c>
      <c r="E7" s="46" t="inlineStr">
        <is>
          <t>Manila</t>
        </is>
      </c>
      <c r="F7" s="46" t="inlineStr">
        <is>
          <t>CS_Voice_General</t>
        </is>
      </c>
      <c r="G7" s="46" t="inlineStr">
        <is>
          <t>Voice</t>
        </is>
      </c>
      <c r="H7" s="46" t="n">
        <v>31</v>
      </c>
      <c r="I7" s="46" t="n">
        <v>27</v>
      </c>
      <c r="J7" s="46" t="n">
        <v>4</v>
      </c>
      <c r="K7" s="46" t="n">
        <v>1</v>
      </c>
      <c r="L7" s="46" t="n">
        <v>24</v>
      </c>
      <c r="M7" s="46" t="n">
        <v>386.3</v>
      </c>
      <c r="N7" s="46" t="n">
        <v>6883</v>
      </c>
      <c r="O7" s="46" t="n">
        <v>521</v>
      </c>
      <c r="P7" s="46" t="n">
        <v>3024</v>
      </c>
      <c r="Q7" s="46" t="n">
        <v>7.2</v>
      </c>
      <c r="R7" s="46" t="n">
        <v>6.9</v>
      </c>
      <c r="S7" s="46" t="n">
        <v>0.794</v>
      </c>
      <c r="T7" s="46" t="n">
        <v>310</v>
      </c>
      <c r="U7" s="46" t="inlineStr">
        <is>
          <t>SAMPLE_IEX_2026-10.xlsx</t>
        </is>
      </c>
      <c r="V7" s="46" t="inlineStr">
        <is>
          <t>Sample row - delete before live use</t>
        </is>
      </c>
    </row>
    <row r="8">
      <c r="A8" s="45" t="n">
        <v>46296</v>
      </c>
      <c r="B8" s="46" t="n">
        <v>0.375</v>
      </c>
      <c r="C8" s="46" t="n">
        <v>0.3958333333333333</v>
      </c>
      <c r="D8" s="46" t="inlineStr">
        <is>
          <t>9:00 AM - 9:30 AM</t>
        </is>
      </c>
      <c r="E8" s="46" t="inlineStr">
        <is>
          <t>Manila</t>
        </is>
      </c>
      <c r="F8" s="46" t="inlineStr">
        <is>
          <t>CS_Voice_General</t>
        </is>
      </c>
      <c r="G8" s="46" t="inlineStr">
        <is>
          <t>Voice</t>
        </is>
      </c>
      <c r="H8" s="46" t="n">
        <v>36</v>
      </c>
      <c r="I8" s="46" t="n">
        <v>31</v>
      </c>
      <c r="J8" s="46" t="n">
        <v>5</v>
      </c>
      <c r="K8" s="46" t="n">
        <v>2</v>
      </c>
      <c r="L8" s="46" t="n">
        <v>8</v>
      </c>
      <c r="M8" s="46" t="n">
        <v>372.2</v>
      </c>
      <c r="N8" s="46" t="n">
        <v>7615</v>
      </c>
      <c r="O8" s="46" t="n">
        <v>577</v>
      </c>
      <c r="P8" s="46" t="n">
        <v>3346</v>
      </c>
      <c r="Q8" s="46" t="n">
        <v>8</v>
      </c>
      <c r="R8" s="46" t="n">
        <v>8.9</v>
      </c>
      <c r="S8" s="46" t="n">
        <v>0.778</v>
      </c>
      <c r="T8" s="46" t="n">
        <v>180</v>
      </c>
      <c r="U8" s="46" t="inlineStr">
        <is>
          <t>SAMPLE_IEX_2026-10.xlsx</t>
        </is>
      </c>
      <c r="V8" s="46" t="inlineStr">
        <is>
          <t>Sample row - delete before live use</t>
        </is>
      </c>
    </row>
    <row r="9">
      <c r="A9" s="45" t="n">
        <v>46296</v>
      </c>
      <c r="B9" s="46" t="n">
        <v>0.3958333333333333</v>
      </c>
      <c r="C9" s="46" t="n">
        <v>0.4166666666666667</v>
      </c>
      <c r="D9" s="46" t="inlineStr">
        <is>
          <t>9:30 AM - 10:00 AM</t>
        </is>
      </c>
      <c r="E9" s="46" t="inlineStr">
        <is>
          <t>Manila</t>
        </is>
      </c>
      <c r="F9" s="46" t="inlineStr">
        <is>
          <t>CS_Voice_General</t>
        </is>
      </c>
      <c r="G9" s="46" t="inlineStr">
        <is>
          <t>Voice</t>
        </is>
      </c>
      <c r="H9" s="46" t="n">
        <v>43</v>
      </c>
      <c r="I9" s="46" t="n">
        <v>39</v>
      </c>
      <c r="J9" s="46" t="n">
        <v>4</v>
      </c>
      <c r="K9" s="46" t="n">
        <v>1</v>
      </c>
      <c r="L9" s="46" t="n">
        <v>8</v>
      </c>
      <c r="M9" s="46" t="n">
        <v>310.5</v>
      </c>
      <c r="N9" s="46" t="n">
        <v>7993</v>
      </c>
      <c r="O9" s="46" t="n">
        <v>606</v>
      </c>
      <c r="P9" s="46" t="n">
        <v>3512</v>
      </c>
      <c r="Q9" s="46" t="n">
        <v>8</v>
      </c>
      <c r="R9" s="46" t="n">
        <v>8.5</v>
      </c>
      <c r="S9" s="46" t="n">
        <v>0.851</v>
      </c>
      <c r="T9" s="46" t="n">
        <v>180</v>
      </c>
      <c r="U9" s="46" t="inlineStr">
        <is>
          <t>SAMPLE_IEX_2026-10.xlsx</t>
        </is>
      </c>
      <c r="V9" s="46" t="inlineStr">
        <is>
          <t>Sample row - delete before live use</t>
        </is>
      </c>
    </row>
    <row r="10">
      <c r="A10" s="45" t="n">
        <v>46296</v>
      </c>
      <c r="B10" s="46" t="n">
        <v>0.4166666666666667</v>
      </c>
      <c r="C10" s="46" t="n">
        <v>0.4375</v>
      </c>
      <c r="D10" s="46" t="inlineStr">
        <is>
          <t>10:00 AM - 10:30 AM</t>
        </is>
      </c>
      <c r="E10" s="46" t="inlineStr">
        <is>
          <t>Manila</t>
        </is>
      </c>
      <c r="F10" s="46" t="inlineStr">
        <is>
          <t>CS_Voice_General</t>
        </is>
      </c>
      <c r="G10" s="46" t="inlineStr">
        <is>
          <t>Voice</t>
        </is>
      </c>
      <c r="H10" s="46" t="n">
        <v>38</v>
      </c>
      <c r="I10" s="46" t="n">
        <v>35</v>
      </c>
      <c r="J10" s="46" t="n">
        <v>3</v>
      </c>
      <c r="K10" s="46" t="n">
        <v>1</v>
      </c>
      <c r="L10" s="46" t="n">
        <v>8</v>
      </c>
      <c r="M10" s="46" t="n">
        <v>349.2</v>
      </c>
      <c r="N10" s="46" t="n">
        <v>8067</v>
      </c>
      <c r="O10" s="46" t="n">
        <v>611</v>
      </c>
      <c r="P10" s="46" t="n">
        <v>3545</v>
      </c>
      <c r="Q10" s="46" t="n">
        <v>8</v>
      </c>
      <c r="R10" s="46" t="n">
        <v>7.8</v>
      </c>
      <c r="S10" s="46" t="n">
        <v>0.874</v>
      </c>
      <c r="T10" s="46" t="n">
        <v>420</v>
      </c>
      <c r="U10" s="46" t="inlineStr">
        <is>
          <t>SAMPLE_IEX_2026-10.xlsx</t>
        </is>
      </c>
      <c r="V10" s="46" t="inlineStr">
        <is>
          <t>Sample row - delete before live use</t>
        </is>
      </c>
    </row>
    <row r="11">
      <c r="A11" s="45" t="n">
        <v>46296</v>
      </c>
      <c r="B11" s="46" t="n">
        <v>0.4375</v>
      </c>
      <c r="C11" s="46" t="n">
        <v>0.4583333333333333</v>
      </c>
      <c r="D11" s="46" t="inlineStr">
        <is>
          <t>10:30 AM - 11:00 AM</t>
        </is>
      </c>
      <c r="E11" s="46" t="inlineStr">
        <is>
          <t>Manila</t>
        </is>
      </c>
      <c r="F11" s="46" t="inlineStr">
        <is>
          <t>CS_Voice_General</t>
        </is>
      </c>
      <c r="G11" s="46" t="inlineStr">
        <is>
          <t>Voice</t>
        </is>
      </c>
      <c r="H11" s="46" t="n">
        <v>38</v>
      </c>
      <c r="I11" s="46" t="n">
        <v>35</v>
      </c>
      <c r="J11" s="46" t="n">
        <v>3</v>
      </c>
      <c r="K11" s="46" t="n">
        <v>1</v>
      </c>
      <c r="L11" s="46" t="n">
        <v>44</v>
      </c>
      <c r="M11" s="46" t="n">
        <v>330.7</v>
      </c>
      <c r="N11" s="46" t="n">
        <v>7640</v>
      </c>
      <c r="O11" s="46" t="n">
        <v>579</v>
      </c>
      <c r="P11" s="46" t="n">
        <v>3357</v>
      </c>
      <c r="Q11" s="46" t="n">
        <v>7.5</v>
      </c>
      <c r="R11" s="46" t="n">
        <v>8</v>
      </c>
      <c r="S11" s="46" t="n">
        <v>0.874</v>
      </c>
      <c r="T11" s="46" t="n">
        <v>180</v>
      </c>
      <c r="U11" s="46" t="inlineStr">
        <is>
          <t>SAMPLE_IEX_2026-10.xlsx</t>
        </is>
      </c>
      <c r="V11" s="46" t="inlineStr">
        <is>
          <t>Sample row - delete before live use</t>
        </is>
      </c>
    </row>
    <row r="12">
      <c r="A12" s="45" t="n">
        <v>46296</v>
      </c>
      <c r="B12" s="46" t="n">
        <v>0.4583333333333333</v>
      </c>
      <c r="C12" s="46" t="n">
        <v>0.4791666666666667</v>
      </c>
      <c r="D12" s="46" t="inlineStr">
        <is>
          <t>11:00 AM - 11:30 AM</t>
        </is>
      </c>
      <c r="E12" s="46" t="inlineStr">
        <is>
          <t>Manila</t>
        </is>
      </c>
      <c r="F12" s="46" t="inlineStr">
        <is>
          <t>CS_Voice_General</t>
        </is>
      </c>
      <c r="G12" s="46" t="inlineStr">
        <is>
          <t>Voice</t>
        </is>
      </c>
      <c r="H12" s="46" t="n">
        <v>37</v>
      </c>
      <c r="I12" s="46" t="n">
        <v>33</v>
      </c>
      <c r="J12" s="46" t="n">
        <v>4</v>
      </c>
      <c r="K12" s="46" t="n">
        <v>1</v>
      </c>
      <c r="L12" s="46" t="n">
        <v>12</v>
      </c>
      <c r="M12" s="46" t="n">
        <v>310.7</v>
      </c>
      <c r="N12" s="46" t="n">
        <v>6766</v>
      </c>
      <c r="O12" s="46" t="n">
        <v>513</v>
      </c>
      <c r="P12" s="46" t="n">
        <v>2973</v>
      </c>
      <c r="Q12" s="46" t="n">
        <v>6.9</v>
      </c>
      <c r="R12" s="46" t="n">
        <v>6.6</v>
      </c>
      <c r="S12" s="46" t="n">
        <v>0.827</v>
      </c>
      <c r="T12" s="46" t="n">
        <v>310</v>
      </c>
      <c r="U12" s="46" t="inlineStr">
        <is>
          <t>SAMPLE_IEX_2026-10.xlsx</t>
        </is>
      </c>
      <c r="V12" s="46" t="inlineStr">
        <is>
          <t>Sample row - delete before live use</t>
        </is>
      </c>
    </row>
    <row r="13">
      <c r="A13" s="45" t="n">
        <v>46296</v>
      </c>
      <c r="B13" s="46" t="n">
        <v>0.4791666666666667</v>
      </c>
      <c r="C13" s="46" t="n">
        <v>0.5</v>
      </c>
      <c r="D13" s="46" t="inlineStr">
        <is>
          <t>11:30 AM - 12:00 PM</t>
        </is>
      </c>
      <c r="E13" s="46" t="inlineStr">
        <is>
          <t>Manila</t>
        </is>
      </c>
      <c r="F13" s="46" t="inlineStr">
        <is>
          <t>CS_Voice_General</t>
        </is>
      </c>
      <c r="G13" s="46" t="inlineStr">
        <is>
          <t>Voice</t>
        </is>
      </c>
      <c r="H13" s="46" t="n">
        <v>37</v>
      </c>
      <c r="I13" s="46" t="n">
        <v>33</v>
      </c>
      <c r="J13" s="46" t="n">
        <v>4</v>
      </c>
      <c r="K13" s="46" t="n">
        <v>1</v>
      </c>
      <c r="L13" s="46" t="n">
        <v>24</v>
      </c>
      <c r="M13" s="46" t="n">
        <v>353.4</v>
      </c>
      <c r="N13" s="46" t="n">
        <v>7697</v>
      </c>
      <c r="O13" s="46" t="n">
        <v>583</v>
      </c>
      <c r="P13" s="46" t="n">
        <v>3382</v>
      </c>
      <c r="Q13" s="46" t="n">
        <v>7.8</v>
      </c>
      <c r="R13" s="46" t="n">
        <v>8.300000000000001</v>
      </c>
      <c r="S13" s="46" t="n">
        <v>0.827</v>
      </c>
      <c r="T13" s="46" t="n">
        <v>240</v>
      </c>
      <c r="U13" s="46" t="inlineStr">
        <is>
          <t>SAMPLE_IEX_2026-10.xlsx</t>
        </is>
      </c>
      <c r="V13" s="46" t="inlineStr">
        <is>
          <t>Sample row - delete before live use</t>
        </is>
      </c>
    </row>
    <row r="14">
      <c r="A14" s="45" t="n">
        <v>46296</v>
      </c>
      <c r="B14" s="46" t="n">
        <v>0.5</v>
      </c>
      <c r="C14" s="46" t="n">
        <v>0.5208333333333334</v>
      </c>
      <c r="D14" s="46" t="inlineStr">
        <is>
          <t>12:00 PM - 12:30 PM</t>
        </is>
      </c>
      <c r="E14" s="46" t="inlineStr">
        <is>
          <t>Manila</t>
        </is>
      </c>
      <c r="F14" s="46" t="inlineStr">
        <is>
          <t>CS_Voice_General</t>
        </is>
      </c>
      <c r="G14" s="46" t="inlineStr">
        <is>
          <t>Voice</t>
        </is>
      </c>
      <c r="H14" s="46" t="n">
        <v>32</v>
      </c>
      <c r="I14" s="46" t="n">
        <v>29</v>
      </c>
      <c r="J14" s="46" t="n">
        <v>3</v>
      </c>
      <c r="K14" s="46" t="n">
        <v>1</v>
      </c>
      <c r="L14" s="46" t="n">
        <v>31</v>
      </c>
      <c r="M14" s="46" t="n">
        <v>418.8</v>
      </c>
      <c r="N14" s="46" t="n">
        <v>8016</v>
      </c>
      <c r="O14" s="46" t="n">
        <v>607</v>
      </c>
      <c r="P14" s="46" t="n">
        <v>3522</v>
      </c>
      <c r="Q14" s="46" t="n">
        <v>8</v>
      </c>
      <c r="R14" s="46" t="n">
        <v>8</v>
      </c>
      <c r="S14" s="46" t="n">
        <v>0.85</v>
      </c>
      <c r="T14" s="46" t="n">
        <v>240</v>
      </c>
      <c r="U14" s="46" t="inlineStr">
        <is>
          <t>SAMPLE_IEX_2026-10.xlsx</t>
        </is>
      </c>
      <c r="V14" s="46" t="inlineStr">
        <is>
          <t>Sample row - delete before live use</t>
        </is>
      </c>
    </row>
    <row r="15">
      <c r="A15" s="45" t="n">
        <v>46296</v>
      </c>
      <c r="B15" s="46" t="n">
        <v>0.5208333333333334</v>
      </c>
      <c r="C15" s="46" t="n">
        <v>0.5416666666666666</v>
      </c>
      <c r="D15" s="46" t="inlineStr">
        <is>
          <t>12:30 PM - 1:00 PM</t>
        </is>
      </c>
      <c r="E15" s="46" t="inlineStr">
        <is>
          <t>Manila</t>
        </is>
      </c>
      <c r="F15" s="46" t="inlineStr">
        <is>
          <t>CS_Voice_General</t>
        </is>
      </c>
      <c r="G15" s="46" t="inlineStr">
        <is>
          <t>Voice</t>
        </is>
      </c>
      <c r="H15" s="46" t="n">
        <v>36</v>
      </c>
      <c r="I15" s="46" t="n">
        <v>33</v>
      </c>
      <c r="J15" s="46" t="n">
        <v>3</v>
      </c>
      <c r="K15" s="46" t="n">
        <v>1</v>
      </c>
      <c r="L15" s="46" t="n">
        <v>8</v>
      </c>
      <c r="M15" s="46" t="n">
        <v>424</v>
      </c>
      <c r="N15" s="46" t="n">
        <v>9235</v>
      </c>
      <c r="O15" s="46" t="n">
        <v>700</v>
      </c>
      <c r="P15" s="46" t="n">
        <v>4058</v>
      </c>
      <c r="Q15" s="46" t="n">
        <v>9.199999999999999</v>
      </c>
      <c r="R15" s="46" t="n">
        <v>9.300000000000001</v>
      </c>
      <c r="S15" s="46" t="n">
        <v>0.867</v>
      </c>
      <c r="T15" s="46" t="n">
        <v>120</v>
      </c>
      <c r="U15" s="46" t="inlineStr">
        <is>
          <t>SAMPLE_IEX_2026-10.xlsx</t>
        </is>
      </c>
      <c r="V15" s="46" t="inlineStr">
        <is>
          <t>Sample row - delete before live use</t>
        </is>
      </c>
    </row>
    <row r="16">
      <c r="A16" s="45" t="n">
        <v>46296</v>
      </c>
      <c r="B16" s="46" t="n">
        <v>0.5416666666666666</v>
      </c>
      <c r="C16" s="46" t="n">
        <v>0.5625</v>
      </c>
      <c r="D16" s="46" t="inlineStr">
        <is>
          <t>1:00 PM - 1:30 PM</t>
        </is>
      </c>
      <c r="E16" s="46" t="inlineStr">
        <is>
          <t>Manila</t>
        </is>
      </c>
      <c r="F16" s="46" t="inlineStr">
        <is>
          <t>CS_Voice_General</t>
        </is>
      </c>
      <c r="G16" s="46" t="inlineStr">
        <is>
          <t>Voice</t>
        </is>
      </c>
      <c r="H16" s="46" t="n">
        <v>38</v>
      </c>
      <c r="I16" s="46" t="n">
        <v>33</v>
      </c>
      <c r="J16" s="46" t="n">
        <v>5</v>
      </c>
      <c r="K16" s="46" t="n">
        <v>2</v>
      </c>
      <c r="L16" s="46" t="n">
        <v>24</v>
      </c>
      <c r="M16" s="46" t="n">
        <v>358.1</v>
      </c>
      <c r="N16" s="46" t="n">
        <v>7800</v>
      </c>
      <c r="O16" s="46" t="n">
        <v>591</v>
      </c>
      <c r="P16" s="46" t="n">
        <v>3427</v>
      </c>
      <c r="Q16" s="46" t="n">
        <v>8.199999999999999</v>
      </c>
      <c r="R16" s="46" t="n">
        <v>9.300000000000001</v>
      </c>
      <c r="S16" s="46" t="n">
        <v>0.789</v>
      </c>
      <c r="T16" s="46" t="n">
        <v>120</v>
      </c>
      <c r="U16" s="46" t="inlineStr">
        <is>
          <t>SAMPLE_IEX_2026-10.xlsx</t>
        </is>
      </c>
      <c r="V16" s="46" t="inlineStr">
        <is>
          <t>Sample row - delete before live use</t>
        </is>
      </c>
    </row>
    <row r="17">
      <c r="A17" s="45" t="n">
        <v>46296</v>
      </c>
      <c r="B17" s="46" t="n">
        <v>0.5625</v>
      </c>
      <c r="C17" s="46" t="n">
        <v>0.5833333333333334</v>
      </c>
      <c r="D17" s="46" t="inlineStr">
        <is>
          <t>1:30 PM - 2:00 PM</t>
        </is>
      </c>
      <c r="E17" s="46" t="inlineStr">
        <is>
          <t>Manila</t>
        </is>
      </c>
      <c r="F17" s="46" t="inlineStr">
        <is>
          <t>CS_Voice_General</t>
        </is>
      </c>
      <c r="G17" s="46" t="inlineStr">
        <is>
          <t>Voice</t>
        </is>
      </c>
      <c r="H17" s="46" t="n">
        <v>32</v>
      </c>
      <c r="I17" s="46" t="n">
        <v>27</v>
      </c>
      <c r="J17" s="46" t="n">
        <v>5</v>
      </c>
      <c r="K17" s="46" t="n">
        <v>2</v>
      </c>
      <c r="L17" s="46" t="n">
        <v>58</v>
      </c>
      <c r="M17" s="46" t="n">
        <v>394.9</v>
      </c>
      <c r="N17" s="46" t="n">
        <v>7037</v>
      </c>
      <c r="O17" s="46" t="n">
        <v>533</v>
      </c>
      <c r="P17" s="46" t="n">
        <v>3092</v>
      </c>
      <c r="Q17" s="46" t="n">
        <v>7.6</v>
      </c>
      <c r="R17" s="46" t="n">
        <v>8.4</v>
      </c>
      <c r="S17" s="46" t="n">
        <v>0.75</v>
      </c>
      <c r="T17" s="46" t="n">
        <v>240</v>
      </c>
      <c r="U17" s="46" t="inlineStr">
        <is>
          <t>SAMPLE_IEX_2026-10.xlsx</t>
        </is>
      </c>
      <c r="V17" s="46" t="inlineStr">
        <is>
          <t>Sample row - delete before live use</t>
        </is>
      </c>
    </row>
    <row r="18">
      <c r="A18" s="45" t="n">
        <v>46296</v>
      </c>
      <c r="B18" s="46" t="n">
        <v>0.3333333333333333</v>
      </c>
      <c r="C18" s="46" t="n">
        <v>0.3541666666666667</v>
      </c>
      <c r="D18" s="46" t="inlineStr">
        <is>
          <t>8:00 AM - 8:30 AM</t>
        </is>
      </c>
      <c r="E18" s="46" t="inlineStr">
        <is>
          <t>Manila</t>
        </is>
      </c>
      <c r="F18" s="46" t="inlineStr">
        <is>
          <t>CS_Voice_Billing</t>
        </is>
      </c>
      <c r="G18" s="46" t="inlineStr">
        <is>
          <t>Voice</t>
        </is>
      </c>
      <c r="H18" s="46" t="n">
        <v>14</v>
      </c>
      <c r="I18" s="46" t="n">
        <v>12</v>
      </c>
      <c r="J18" s="46" t="n">
        <v>2</v>
      </c>
      <c r="K18" s="46" t="n">
        <v>1</v>
      </c>
      <c r="L18" s="46" t="n">
        <v>8</v>
      </c>
      <c r="M18" s="46" t="n">
        <v>384.4</v>
      </c>
      <c r="N18" s="46" t="n">
        <v>3045</v>
      </c>
      <c r="O18" s="46" t="n">
        <v>231</v>
      </c>
      <c r="P18" s="46" t="n">
        <v>1338</v>
      </c>
      <c r="Q18" s="46" t="n">
        <v>3.2</v>
      </c>
      <c r="R18" s="46" t="n">
        <v>3.6</v>
      </c>
      <c r="S18" s="46" t="n">
        <v>0.771</v>
      </c>
      <c r="T18" s="46" t="n">
        <v>780</v>
      </c>
      <c r="U18" s="46" t="inlineStr">
        <is>
          <t>SAMPLE_IEX_2026-10.xlsx</t>
        </is>
      </c>
      <c r="V18" s="46" t="inlineStr">
        <is>
          <t>Sample row - delete before live use</t>
        </is>
      </c>
    </row>
    <row r="19">
      <c r="A19" s="45" t="n">
        <v>46296</v>
      </c>
      <c r="B19" s="46" t="n">
        <v>0.3541666666666667</v>
      </c>
      <c r="C19" s="46" t="n">
        <v>0.375</v>
      </c>
      <c r="D19" s="46" t="inlineStr">
        <is>
          <t>8:30 AM - 9:00 AM</t>
        </is>
      </c>
      <c r="E19" s="46" t="inlineStr">
        <is>
          <t>Manila</t>
        </is>
      </c>
      <c r="F19" s="46" t="inlineStr">
        <is>
          <t>CS_Voice_Billing</t>
        </is>
      </c>
      <c r="G19" s="46" t="inlineStr">
        <is>
          <t>Voice</t>
        </is>
      </c>
      <c r="H19" s="46" t="n">
        <v>18</v>
      </c>
      <c r="I19" s="46" t="n">
        <v>16</v>
      </c>
      <c r="J19" s="46" t="n">
        <v>2</v>
      </c>
      <c r="K19" s="46" t="n">
        <v>1</v>
      </c>
      <c r="L19" s="46" t="n">
        <v>44</v>
      </c>
      <c r="M19" s="46" t="n">
        <v>418.5</v>
      </c>
      <c r="N19" s="46" t="n">
        <v>4419</v>
      </c>
      <c r="O19" s="46" t="n">
        <v>335</v>
      </c>
      <c r="P19" s="46" t="n">
        <v>1942</v>
      </c>
      <c r="Q19" s="46" t="n">
        <v>4.5</v>
      </c>
      <c r="R19" s="46" t="n">
        <v>4.3</v>
      </c>
      <c r="S19" s="46" t="n">
        <v>0.822</v>
      </c>
      <c r="T19" s="46" t="n">
        <v>600</v>
      </c>
      <c r="U19" s="46" t="inlineStr">
        <is>
          <t>SAMPLE_IEX_2026-10.xlsx</t>
        </is>
      </c>
      <c r="V19" s="46" t="inlineStr">
        <is>
          <t>Sample row - delete before live use</t>
        </is>
      </c>
    </row>
    <row r="20">
      <c r="A20" s="45" t="n">
        <v>46296</v>
      </c>
      <c r="B20" s="46" t="n">
        <v>0.375</v>
      </c>
      <c r="C20" s="46" t="n">
        <v>0.3958333333333333</v>
      </c>
      <c r="D20" s="46" t="inlineStr">
        <is>
          <t>9:00 AM - 9:30 AM</t>
        </is>
      </c>
      <c r="E20" s="46" t="inlineStr">
        <is>
          <t>Manila</t>
        </is>
      </c>
      <c r="F20" s="46" t="inlineStr">
        <is>
          <t>CS_Voice_Billing</t>
        </is>
      </c>
      <c r="G20" s="46" t="inlineStr">
        <is>
          <t>Voice</t>
        </is>
      </c>
      <c r="H20" s="46" t="n">
        <v>24</v>
      </c>
      <c r="I20" s="46" t="n">
        <v>22</v>
      </c>
      <c r="J20" s="46" t="n">
        <v>2</v>
      </c>
      <c r="K20" s="46" t="n">
        <v>1</v>
      </c>
      <c r="L20" s="46" t="n">
        <v>44</v>
      </c>
      <c r="M20" s="46" t="n">
        <v>415.8</v>
      </c>
      <c r="N20" s="46" t="n">
        <v>6038</v>
      </c>
      <c r="O20" s="46" t="n">
        <v>457</v>
      </c>
      <c r="P20" s="46" t="n">
        <v>2653</v>
      </c>
      <c r="Q20" s="46" t="n">
        <v>6</v>
      </c>
      <c r="R20" s="46" t="n">
        <v>6.2</v>
      </c>
      <c r="S20" s="46" t="n">
        <v>0.867</v>
      </c>
      <c r="T20" s="46" t="n">
        <v>310</v>
      </c>
      <c r="U20" s="46" t="inlineStr">
        <is>
          <t>SAMPLE_IEX_2026-10.xlsx</t>
        </is>
      </c>
      <c r="V20" s="46" t="inlineStr">
        <is>
          <t>Sample row - delete before live use</t>
        </is>
      </c>
    </row>
    <row r="21">
      <c r="A21" s="45" t="n">
        <v>46296</v>
      </c>
      <c r="B21" s="46" t="n">
        <v>0.3958333333333333</v>
      </c>
      <c r="C21" s="46" t="n">
        <v>0.4166666666666667</v>
      </c>
      <c r="D21" s="46" t="inlineStr">
        <is>
          <t>9:30 AM - 10:00 AM</t>
        </is>
      </c>
      <c r="E21" s="46" t="inlineStr">
        <is>
          <t>Manila</t>
        </is>
      </c>
      <c r="F21" s="46" t="inlineStr">
        <is>
          <t>CS_Voice_Billing</t>
        </is>
      </c>
      <c r="G21" s="46" t="inlineStr">
        <is>
          <t>Voice</t>
        </is>
      </c>
      <c r="H21" s="46" t="n">
        <v>28</v>
      </c>
      <c r="I21" s="46" t="n">
        <v>25</v>
      </c>
      <c r="J21" s="46" t="n">
        <v>3</v>
      </c>
      <c r="K21" s="46" t="n">
        <v>1</v>
      </c>
      <c r="L21" s="46" t="n">
        <v>31</v>
      </c>
      <c r="M21" s="46" t="n">
        <v>459.9</v>
      </c>
      <c r="N21" s="46" t="n">
        <v>7589</v>
      </c>
      <c r="O21" s="46" t="n">
        <v>575</v>
      </c>
      <c r="P21" s="46" t="n">
        <v>3334</v>
      </c>
      <c r="Q21" s="46" t="n">
        <v>7.7</v>
      </c>
      <c r="R21" s="46" t="n">
        <v>7.9</v>
      </c>
      <c r="S21" s="46" t="n">
        <v>0.829</v>
      </c>
      <c r="T21" s="46" t="n">
        <v>120</v>
      </c>
      <c r="U21" s="46" t="inlineStr">
        <is>
          <t>SAMPLE_IEX_2026-10.xlsx</t>
        </is>
      </c>
      <c r="V21" s="46" t="inlineStr">
        <is>
          <t>Sample row - delete before live use</t>
        </is>
      </c>
    </row>
    <row r="22">
      <c r="A22" s="45" t="n">
        <v>46296</v>
      </c>
      <c r="B22" s="46" t="n">
        <v>0.4166666666666667</v>
      </c>
      <c r="C22" s="46" t="n">
        <v>0.4375</v>
      </c>
      <c r="D22" s="46" t="inlineStr">
        <is>
          <t>10:00 AM - 10:30 AM</t>
        </is>
      </c>
      <c r="E22" s="46" t="inlineStr">
        <is>
          <t>Manila</t>
        </is>
      </c>
      <c r="F22" s="46" t="inlineStr">
        <is>
          <t>CS_Voice_Billing</t>
        </is>
      </c>
      <c r="G22" s="46" t="inlineStr">
        <is>
          <t>Voice</t>
        </is>
      </c>
      <c r="H22" s="46" t="n">
        <v>26</v>
      </c>
      <c r="I22" s="46" t="n">
        <v>23</v>
      </c>
      <c r="J22" s="46" t="n">
        <v>3</v>
      </c>
      <c r="K22" s="46" t="n">
        <v>1</v>
      </c>
      <c r="L22" s="46" t="n">
        <v>24</v>
      </c>
      <c r="M22" s="46" t="n">
        <v>348.9</v>
      </c>
      <c r="N22" s="46" t="n">
        <v>5296</v>
      </c>
      <c r="O22" s="46" t="n">
        <v>401</v>
      </c>
      <c r="P22" s="46" t="n">
        <v>2327</v>
      </c>
      <c r="Q22" s="46" t="n">
        <v>5.4</v>
      </c>
      <c r="R22" s="46" t="n">
        <v>5.9</v>
      </c>
      <c r="S22" s="46" t="n">
        <v>0.8149999999999999</v>
      </c>
      <c r="T22" s="46" t="n">
        <v>310</v>
      </c>
      <c r="U22" s="46" t="inlineStr">
        <is>
          <t>SAMPLE_IEX_2026-10.xlsx</t>
        </is>
      </c>
      <c r="V22" s="46" t="inlineStr">
        <is>
          <t>Sample row - delete before live use</t>
        </is>
      </c>
    </row>
    <row r="23">
      <c r="A23" s="45" t="n">
        <v>46296</v>
      </c>
      <c r="B23" s="46" t="n">
        <v>0.4375</v>
      </c>
      <c r="C23" s="46" t="n">
        <v>0.4583333333333333</v>
      </c>
      <c r="D23" s="46" t="inlineStr">
        <is>
          <t>10:30 AM - 11:00 AM</t>
        </is>
      </c>
      <c r="E23" s="46" t="inlineStr">
        <is>
          <t>Manila</t>
        </is>
      </c>
      <c r="F23" s="46" t="inlineStr">
        <is>
          <t>CS_Voice_Billing</t>
        </is>
      </c>
      <c r="G23" s="46" t="inlineStr">
        <is>
          <t>Voice</t>
        </is>
      </c>
      <c r="H23" s="46" t="n">
        <v>27</v>
      </c>
      <c r="I23" s="46" t="n">
        <v>24</v>
      </c>
      <c r="J23" s="46" t="n">
        <v>3</v>
      </c>
      <c r="K23" s="46" t="n">
        <v>1</v>
      </c>
      <c r="L23" s="46" t="n">
        <v>18</v>
      </c>
      <c r="M23" s="46" t="n">
        <v>328.3</v>
      </c>
      <c r="N23" s="46" t="n">
        <v>5200</v>
      </c>
      <c r="O23" s="46" t="n">
        <v>394</v>
      </c>
      <c r="P23" s="46" t="n">
        <v>2285</v>
      </c>
      <c r="Q23" s="46" t="n">
        <v>5.3</v>
      </c>
      <c r="R23" s="46" t="n">
        <v>5.5</v>
      </c>
      <c r="S23" s="46" t="n">
        <v>0.822</v>
      </c>
      <c r="T23" s="46" t="n">
        <v>180</v>
      </c>
      <c r="U23" s="46" t="inlineStr">
        <is>
          <t>SAMPLE_IEX_2026-10.xlsx</t>
        </is>
      </c>
      <c r="V23" s="46" t="inlineStr">
        <is>
          <t>Sample row - delete before live use</t>
        </is>
      </c>
    </row>
    <row r="24">
      <c r="A24" s="45" t="n">
        <v>46296</v>
      </c>
      <c r="B24" s="46" t="n">
        <v>0.4583333333333333</v>
      </c>
      <c r="C24" s="46" t="n">
        <v>0.4791666666666667</v>
      </c>
      <c r="D24" s="46" t="inlineStr">
        <is>
          <t>11:00 AM - 11:30 AM</t>
        </is>
      </c>
      <c r="E24" s="46" t="inlineStr">
        <is>
          <t>Manila</t>
        </is>
      </c>
      <c r="F24" s="46" t="inlineStr">
        <is>
          <t>CS_Voice_Billing</t>
        </is>
      </c>
      <c r="G24" s="46" t="inlineStr">
        <is>
          <t>Voice</t>
        </is>
      </c>
      <c r="H24" s="46" t="n">
        <v>25</v>
      </c>
      <c r="I24" s="46" t="n">
        <v>23</v>
      </c>
      <c r="J24" s="46" t="n">
        <v>2</v>
      </c>
      <c r="K24" s="46" t="n">
        <v>1</v>
      </c>
      <c r="L24" s="46" t="n">
        <v>18</v>
      </c>
      <c r="M24" s="46" t="n">
        <v>347.3</v>
      </c>
      <c r="N24" s="46" t="n">
        <v>5272</v>
      </c>
      <c r="O24" s="46" t="n">
        <v>399</v>
      </c>
      <c r="P24" s="46" t="n">
        <v>2317</v>
      </c>
      <c r="Q24" s="46" t="n">
        <v>5.2</v>
      </c>
      <c r="R24" s="46" t="n">
        <v>5.4</v>
      </c>
      <c r="S24" s="46" t="n">
        <v>0.872</v>
      </c>
      <c r="T24" s="46" t="n">
        <v>600</v>
      </c>
      <c r="U24" s="46" t="inlineStr">
        <is>
          <t>SAMPLE_IEX_2026-10.xlsx</t>
        </is>
      </c>
      <c r="V24" s="46" t="inlineStr">
        <is>
          <t>Sample row - delete before live use</t>
        </is>
      </c>
    </row>
    <row r="25">
      <c r="A25" s="45" t="n">
        <v>46296</v>
      </c>
      <c r="B25" s="46" t="n">
        <v>0.4791666666666667</v>
      </c>
      <c r="C25" s="46" t="n">
        <v>0.5</v>
      </c>
      <c r="D25" s="46" t="inlineStr">
        <is>
          <t>11:30 AM - 12:00 PM</t>
        </is>
      </c>
      <c r="E25" s="46" t="inlineStr">
        <is>
          <t>Manila</t>
        </is>
      </c>
      <c r="F25" s="46" t="inlineStr">
        <is>
          <t>CS_Voice_Billing</t>
        </is>
      </c>
      <c r="G25" s="46" t="inlineStr">
        <is>
          <t>Voice</t>
        </is>
      </c>
      <c r="H25" s="46" t="n">
        <v>24</v>
      </c>
      <c r="I25" s="46" t="n">
        <v>22</v>
      </c>
      <c r="J25" s="46" t="n">
        <v>2</v>
      </c>
      <c r="K25" s="46" t="n">
        <v>1</v>
      </c>
      <c r="L25" s="46" t="n">
        <v>12</v>
      </c>
      <c r="M25" s="46" t="n">
        <v>325.7</v>
      </c>
      <c r="N25" s="46" t="n">
        <v>4729</v>
      </c>
      <c r="O25" s="46" t="n">
        <v>358</v>
      </c>
      <c r="P25" s="46" t="n">
        <v>2078</v>
      </c>
      <c r="Q25" s="46" t="n">
        <v>4.7</v>
      </c>
      <c r="R25" s="46" t="n">
        <v>4.6</v>
      </c>
      <c r="S25" s="46" t="n">
        <v>0.867</v>
      </c>
      <c r="T25" s="46" t="n">
        <v>600</v>
      </c>
      <c r="U25" s="46" t="inlineStr">
        <is>
          <t>SAMPLE_IEX_2026-10.xlsx</t>
        </is>
      </c>
      <c r="V25" s="46" t="inlineStr">
        <is>
          <t>Sample row - delete before live use</t>
        </is>
      </c>
    </row>
    <row r="26">
      <c r="A26" s="45" t="n">
        <v>46296</v>
      </c>
      <c r="B26" s="46" t="n">
        <v>0.5</v>
      </c>
      <c r="C26" s="46" t="n">
        <v>0.5208333333333334</v>
      </c>
      <c r="D26" s="46" t="inlineStr">
        <is>
          <t>12:00 PM - 12:30 PM</t>
        </is>
      </c>
      <c r="E26" s="46" t="inlineStr">
        <is>
          <t>Manila</t>
        </is>
      </c>
      <c r="F26" s="46" t="inlineStr">
        <is>
          <t>CS_Voice_Billing</t>
        </is>
      </c>
      <c r="G26" s="46" t="inlineStr">
        <is>
          <t>Voice</t>
        </is>
      </c>
      <c r="H26" s="46" t="n">
        <v>29</v>
      </c>
      <c r="I26" s="46" t="n">
        <v>18</v>
      </c>
      <c r="J26" s="46" t="n">
        <v>11</v>
      </c>
      <c r="K26" s="46" t="n">
        <v>1</v>
      </c>
      <c r="L26" s="46" t="n">
        <v>8</v>
      </c>
      <c r="M26" s="46" t="n">
        <v>400.2</v>
      </c>
      <c r="N26" s="46" t="n">
        <v>4754</v>
      </c>
      <c r="O26" s="46" t="n">
        <v>360</v>
      </c>
      <c r="P26" s="46" t="n">
        <v>2089</v>
      </c>
      <c r="Q26" s="46" t="n">
        <v>4.8</v>
      </c>
      <c r="R26" s="46" t="n">
        <v>4.8</v>
      </c>
      <c r="S26" s="46" t="n">
        <v>0.84</v>
      </c>
      <c r="T26" s="46" t="n">
        <v>180</v>
      </c>
      <c r="U26" s="46" t="inlineStr">
        <is>
          <t>SAMPLE_IEX_2026-10.xlsx</t>
        </is>
      </c>
      <c r="V26" s="46" t="inlineStr">
        <is>
          <t>Sample row - delete before live use</t>
        </is>
      </c>
    </row>
    <row r="27">
      <c r="A27" s="45" t="n">
        <v>46296</v>
      </c>
      <c r="B27" s="46" t="n">
        <v>0.5208333333333334</v>
      </c>
      <c r="C27" s="46" t="n">
        <v>0.5416666666666666</v>
      </c>
      <c r="D27" s="46" t="inlineStr">
        <is>
          <t>12:30 PM - 1:00 PM</t>
        </is>
      </c>
      <c r="E27" s="46" t="inlineStr">
        <is>
          <t>Manila</t>
        </is>
      </c>
      <c r="F27" s="46" t="inlineStr">
        <is>
          <t>CS_Voice_Billing</t>
        </is>
      </c>
      <c r="G27" s="46" t="inlineStr">
        <is>
          <t>Voice</t>
        </is>
      </c>
      <c r="H27" s="46" t="n">
        <v>22</v>
      </c>
      <c r="I27" s="46" t="n">
        <v>19</v>
      </c>
      <c r="J27" s="46" t="n">
        <v>3</v>
      </c>
      <c r="K27" s="46" t="n">
        <v>1</v>
      </c>
      <c r="L27" s="46" t="n">
        <v>44</v>
      </c>
      <c r="M27" s="46" t="n">
        <v>396.3</v>
      </c>
      <c r="N27" s="46" t="n">
        <v>4969</v>
      </c>
      <c r="O27" s="46" t="n">
        <v>376</v>
      </c>
      <c r="P27" s="46" t="n">
        <v>2183</v>
      </c>
      <c r="Q27" s="46" t="n">
        <v>5.2</v>
      </c>
      <c r="R27" s="46" t="n">
        <v>5.9</v>
      </c>
      <c r="S27" s="46" t="n">
        <v>0.782</v>
      </c>
      <c r="T27" s="46" t="n">
        <v>780</v>
      </c>
      <c r="U27" s="46" t="inlineStr">
        <is>
          <t>SAMPLE_IEX_2026-10.xlsx</t>
        </is>
      </c>
      <c r="V27" s="46" t="inlineStr">
        <is>
          <t>Sample row - delete before live use</t>
        </is>
      </c>
    </row>
    <row r="28">
      <c r="A28" s="45" t="n">
        <v>46296</v>
      </c>
      <c r="B28" s="46" t="n">
        <v>0.5416666666666666</v>
      </c>
      <c r="C28" s="46" t="n">
        <v>0.5625</v>
      </c>
      <c r="D28" s="46" t="inlineStr">
        <is>
          <t>1:00 PM - 1:30 PM</t>
        </is>
      </c>
      <c r="E28" s="46" t="inlineStr">
        <is>
          <t>Manila</t>
        </is>
      </c>
      <c r="F28" s="46" t="inlineStr">
        <is>
          <t>CS_Voice_Billing</t>
        </is>
      </c>
      <c r="G28" s="46" t="inlineStr">
        <is>
          <t>Voice</t>
        </is>
      </c>
      <c r="H28" s="46" t="n">
        <v>23</v>
      </c>
      <c r="I28" s="46" t="n">
        <v>21</v>
      </c>
      <c r="J28" s="46" t="n">
        <v>2</v>
      </c>
      <c r="K28" s="46" t="n">
        <v>1</v>
      </c>
      <c r="L28" s="46" t="n">
        <v>58</v>
      </c>
      <c r="M28" s="46" t="n">
        <v>415</v>
      </c>
      <c r="N28" s="46" t="n">
        <v>5751</v>
      </c>
      <c r="O28" s="46" t="n">
        <v>436</v>
      </c>
      <c r="P28" s="46" t="n">
        <v>2527</v>
      </c>
      <c r="Q28" s="46" t="n">
        <v>5.7</v>
      </c>
      <c r="R28" s="46" t="n">
        <v>5.5</v>
      </c>
      <c r="S28" s="46" t="n">
        <v>0.861</v>
      </c>
      <c r="T28" s="46" t="n">
        <v>780</v>
      </c>
      <c r="U28" s="46" t="inlineStr">
        <is>
          <t>SAMPLE_IEX_2026-10.xlsx</t>
        </is>
      </c>
      <c r="V28" s="46" t="inlineStr">
        <is>
          <t>Sample row - delete before live use</t>
        </is>
      </c>
    </row>
    <row r="29">
      <c r="A29" s="45" t="n">
        <v>46296</v>
      </c>
      <c r="B29" s="46" t="n">
        <v>0.5625</v>
      </c>
      <c r="C29" s="46" t="n">
        <v>0.5833333333333334</v>
      </c>
      <c r="D29" s="46" t="inlineStr">
        <is>
          <t>1:30 PM - 2:00 PM</t>
        </is>
      </c>
      <c r="E29" s="46" t="inlineStr">
        <is>
          <t>Manila</t>
        </is>
      </c>
      <c r="F29" s="46" t="inlineStr">
        <is>
          <t>CS_Voice_Billing</t>
        </is>
      </c>
      <c r="G29" s="46" t="inlineStr">
        <is>
          <t>Voice</t>
        </is>
      </c>
      <c r="H29" s="46" t="n">
        <v>20</v>
      </c>
      <c r="I29" s="46" t="n">
        <v>18</v>
      </c>
      <c r="J29" s="46" t="n">
        <v>2</v>
      </c>
      <c r="K29" s="46" t="n">
        <v>1</v>
      </c>
      <c r="L29" s="46" t="n">
        <v>24</v>
      </c>
      <c r="M29" s="46" t="n">
        <v>395.1</v>
      </c>
      <c r="N29" s="46" t="n">
        <v>4694</v>
      </c>
      <c r="O29" s="46" t="n">
        <v>356</v>
      </c>
      <c r="P29" s="46" t="n">
        <v>2062</v>
      </c>
      <c r="Q29" s="46" t="n">
        <v>4.7</v>
      </c>
      <c r="R29" s="46" t="n">
        <v>4.8</v>
      </c>
      <c r="S29" s="46" t="n">
        <v>0.84</v>
      </c>
      <c r="T29" s="46" t="n">
        <v>120</v>
      </c>
      <c r="U29" s="46" t="inlineStr">
        <is>
          <t>SAMPLE_IEX_2026-10.xlsx</t>
        </is>
      </c>
      <c r="V29" s="46" t="inlineStr">
        <is>
          <t>Sample row - delete before live use</t>
        </is>
      </c>
    </row>
    <row r="30">
      <c r="A30" s="45" t="n">
        <v>46296</v>
      </c>
      <c r="B30" s="46" t="n">
        <v>0.3333333333333333</v>
      </c>
      <c r="C30" s="46" t="n">
        <v>0.3541666666666667</v>
      </c>
      <c r="D30" s="46" t="inlineStr">
        <is>
          <t>8:00 AM - 8:30 AM</t>
        </is>
      </c>
      <c r="E30" s="46" t="inlineStr">
        <is>
          <t>Manila</t>
        </is>
      </c>
      <c r="F30" s="46" t="inlineStr">
        <is>
          <t>Tech_Support</t>
        </is>
      </c>
      <c r="G30" s="46" t="inlineStr">
        <is>
          <t>Voice</t>
        </is>
      </c>
      <c r="H30" s="46" t="n">
        <v>10</v>
      </c>
      <c r="I30" s="46" t="n">
        <v>9</v>
      </c>
      <c r="J30" s="46" t="n">
        <v>1</v>
      </c>
      <c r="K30" s="46" t="n">
        <v>0</v>
      </c>
      <c r="L30" s="46" t="n">
        <v>24</v>
      </c>
      <c r="M30" s="46" t="n">
        <v>332.4</v>
      </c>
      <c r="N30" s="46" t="n">
        <v>1974</v>
      </c>
      <c r="O30" s="46" t="n">
        <v>150</v>
      </c>
      <c r="P30" s="46" t="n">
        <v>868</v>
      </c>
      <c r="Q30" s="46" t="n">
        <v>2</v>
      </c>
      <c r="R30" s="46" t="n">
        <v>2.3</v>
      </c>
      <c r="S30" s="46" t="n">
        <v>0.84</v>
      </c>
      <c r="T30" s="46" t="n">
        <v>180</v>
      </c>
      <c r="U30" s="46" t="inlineStr">
        <is>
          <t>SAMPLE_IEX_2026-10.xlsx</t>
        </is>
      </c>
      <c r="V30" s="46" t="inlineStr">
        <is>
          <t>Sample row - delete before live use</t>
        </is>
      </c>
    </row>
    <row r="31">
      <c r="A31" s="45" t="n">
        <v>46296</v>
      </c>
      <c r="B31" s="46" t="n">
        <v>0.3541666666666667</v>
      </c>
      <c r="C31" s="46" t="n">
        <v>0.375</v>
      </c>
      <c r="D31" s="46" t="inlineStr">
        <is>
          <t>8:30 AM - 9:00 AM</t>
        </is>
      </c>
      <c r="E31" s="46" t="inlineStr">
        <is>
          <t>Manila</t>
        </is>
      </c>
      <c r="F31" s="46" t="inlineStr">
        <is>
          <t>Tech_Support</t>
        </is>
      </c>
      <c r="G31" s="46" t="inlineStr">
        <is>
          <t>Voice</t>
        </is>
      </c>
      <c r="H31" s="46" t="n">
        <v>12</v>
      </c>
      <c r="I31" s="46" t="n">
        <v>11</v>
      </c>
      <c r="J31" s="46" t="n">
        <v>1</v>
      </c>
      <c r="K31" s="46" t="n">
        <v>0</v>
      </c>
      <c r="L31" s="46" t="n">
        <v>31</v>
      </c>
      <c r="M31" s="46" t="n">
        <v>317.4</v>
      </c>
      <c r="N31" s="46" t="n">
        <v>2304</v>
      </c>
      <c r="O31" s="46" t="n">
        <v>175</v>
      </c>
      <c r="P31" s="46" t="n">
        <v>1013</v>
      </c>
      <c r="Q31" s="46" t="n">
        <v>2.3</v>
      </c>
      <c r="R31" s="46" t="n">
        <v>2.4</v>
      </c>
      <c r="S31" s="46" t="n">
        <v>0.867</v>
      </c>
      <c r="T31" s="46" t="n">
        <v>120</v>
      </c>
      <c r="U31" s="46" t="inlineStr">
        <is>
          <t>SAMPLE_IEX_2026-10.xlsx</t>
        </is>
      </c>
      <c r="V31" s="46" t="inlineStr">
        <is>
          <t>Sample row - delete before live use</t>
        </is>
      </c>
    </row>
    <row r="32">
      <c r="A32" s="45" t="n">
        <v>46296</v>
      </c>
      <c r="B32" s="46" t="n">
        <v>0.375</v>
      </c>
      <c r="C32" s="46" t="n">
        <v>0.3958333333333333</v>
      </c>
      <c r="D32" s="46" t="inlineStr">
        <is>
          <t>9:00 AM - 9:30 AM</t>
        </is>
      </c>
      <c r="E32" s="46" t="inlineStr">
        <is>
          <t>Manila</t>
        </is>
      </c>
      <c r="F32" s="46" t="inlineStr">
        <is>
          <t>Tech_Support</t>
        </is>
      </c>
      <c r="G32" s="46" t="inlineStr">
        <is>
          <t>Voice</t>
        </is>
      </c>
      <c r="H32" s="46" t="n">
        <v>19</v>
      </c>
      <c r="I32" s="46" t="n">
        <v>17</v>
      </c>
      <c r="J32" s="46" t="n">
        <v>2</v>
      </c>
      <c r="K32" s="46" t="n">
        <v>1</v>
      </c>
      <c r="L32" s="46" t="n">
        <v>24</v>
      </c>
      <c r="M32" s="46" t="n">
        <v>312</v>
      </c>
      <c r="N32" s="46" t="n">
        <v>3500</v>
      </c>
      <c r="O32" s="46" t="n">
        <v>265</v>
      </c>
      <c r="P32" s="46" t="n">
        <v>1538</v>
      </c>
      <c r="Q32" s="46" t="n">
        <v>3.6</v>
      </c>
      <c r="R32" s="46" t="n">
        <v>3.6</v>
      </c>
      <c r="S32" s="46" t="n">
        <v>0.832</v>
      </c>
      <c r="T32" s="46" t="n">
        <v>180</v>
      </c>
      <c r="U32" s="46" t="inlineStr">
        <is>
          <t>SAMPLE_IEX_2026-10.xlsx</t>
        </is>
      </c>
      <c r="V32" s="46" t="inlineStr">
        <is>
          <t>Sample row - delete before live use</t>
        </is>
      </c>
    </row>
    <row r="33">
      <c r="A33" s="45" t="n">
        <v>46296</v>
      </c>
      <c r="B33" s="46" t="n">
        <v>0.3958333333333333</v>
      </c>
      <c r="C33" s="46" t="n">
        <v>0.4166666666666667</v>
      </c>
      <c r="D33" s="46" t="inlineStr">
        <is>
          <t>9:30 AM - 10:00 AM</t>
        </is>
      </c>
      <c r="E33" s="46" t="inlineStr">
        <is>
          <t>Manila</t>
        </is>
      </c>
      <c r="F33" s="46" t="inlineStr">
        <is>
          <t>Tech_Support</t>
        </is>
      </c>
      <c r="G33" s="46" t="inlineStr">
        <is>
          <t>Voice</t>
        </is>
      </c>
      <c r="H33" s="46" t="n">
        <v>18</v>
      </c>
      <c r="I33" s="46" t="n">
        <v>17</v>
      </c>
      <c r="J33" s="46" t="n">
        <v>1</v>
      </c>
      <c r="K33" s="46" t="n">
        <v>0</v>
      </c>
      <c r="L33" s="46" t="n">
        <v>8</v>
      </c>
      <c r="M33" s="46" t="n">
        <v>402.4</v>
      </c>
      <c r="N33" s="46" t="n">
        <v>4515</v>
      </c>
      <c r="O33" s="46" t="n">
        <v>342</v>
      </c>
      <c r="P33" s="46" t="n">
        <v>1984</v>
      </c>
      <c r="Q33" s="46" t="n">
        <v>4.3</v>
      </c>
      <c r="R33" s="46" t="n">
        <v>4.5</v>
      </c>
      <c r="S33" s="46" t="n">
        <v>0.911</v>
      </c>
      <c r="T33" s="46" t="n">
        <v>780</v>
      </c>
      <c r="U33" s="46" t="inlineStr">
        <is>
          <t>SAMPLE_IEX_2026-10.xlsx</t>
        </is>
      </c>
      <c r="V33" s="46" t="inlineStr">
        <is>
          <t>Sample row - delete before live use</t>
        </is>
      </c>
    </row>
    <row r="34">
      <c r="A34" s="45" t="n">
        <v>46296</v>
      </c>
      <c r="B34" s="46" t="n">
        <v>0.4166666666666667</v>
      </c>
      <c r="C34" s="46" t="n">
        <v>0.4375</v>
      </c>
      <c r="D34" s="46" t="inlineStr">
        <is>
          <t>10:00 AM - 10:30 AM</t>
        </is>
      </c>
      <c r="E34" s="46" t="inlineStr">
        <is>
          <t>Manila</t>
        </is>
      </c>
      <c r="F34" s="46" t="inlineStr">
        <is>
          <t>Tech_Support</t>
        </is>
      </c>
      <c r="G34" s="46" t="inlineStr">
        <is>
          <t>Voice</t>
        </is>
      </c>
      <c r="H34" s="46" t="n">
        <v>18</v>
      </c>
      <c r="I34" s="46" t="n">
        <v>17</v>
      </c>
      <c r="J34" s="46" t="n">
        <v>1</v>
      </c>
      <c r="K34" s="46" t="n">
        <v>0</v>
      </c>
      <c r="L34" s="46" t="n">
        <v>12</v>
      </c>
      <c r="M34" s="46" t="n">
        <v>381.7</v>
      </c>
      <c r="N34" s="46" t="n">
        <v>4282</v>
      </c>
      <c r="O34" s="46" t="n">
        <v>324</v>
      </c>
      <c r="P34" s="46" t="n">
        <v>1882</v>
      </c>
      <c r="Q34" s="46" t="n">
        <v>4.1</v>
      </c>
      <c r="R34" s="46" t="n">
        <v>4.2</v>
      </c>
      <c r="S34" s="46" t="n">
        <v>0.911</v>
      </c>
      <c r="T34" s="46" t="n">
        <v>120</v>
      </c>
      <c r="U34" s="46" t="inlineStr">
        <is>
          <t>SAMPLE_IEX_2026-10.xlsx</t>
        </is>
      </c>
      <c r="V34" s="46" t="inlineStr">
        <is>
          <t>Sample row - delete before live use</t>
        </is>
      </c>
    </row>
    <row r="35">
      <c r="A35" s="45" t="n">
        <v>46296</v>
      </c>
      <c r="B35" s="46" t="n">
        <v>0.4375</v>
      </c>
      <c r="C35" s="46" t="n">
        <v>0.4583333333333333</v>
      </c>
      <c r="D35" s="46" t="inlineStr">
        <is>
          <t>10:30 AM - 11:00 AM</t>
        </is>
      </c>
      <c r="E35" s="46" t="inlineStr">
        <is>
          <t>Manila</t>
        </is>
      </c>
      <c r="F35" s="46" t="inlineStr">
        <is>
          <t>Tech_Support</t>
        </is>
      </c>
      <c r="G35" s="46" t="inlineStr">
        <is>
          <t>Voice</t>
        </is>
      </c>
      <c r="H35" s="46" t="n">
        <v>18</v>
      </c>
      <c r="I35" s="46" t="n">
        <v>16</v>
      </c>
      <c r="J35" s="46" t="n">
        <v>2</v>
      </c>
      <c r="K35" s="46" t="n">
        <v>1</v>
      </c>
      <c r="L35" s="46" t="n">
        <v>31</v>
      </c>
      <c r="M35" s="46" t="n">
        <v>381.4</v>
      </c>
      <c r="N35" s="46" t="n">
        <v>4027</v>
      </c>
      <c r="O35" s="46" t="n">
        <v>305</v>
      </c>
      <c r="P35" s="46" t="n">
        <v>1770</v>
      </c>
      <c r="Q35" s="46" t="n">
        <v>4.1</v>
      </c>
      <c r="R35" s="46" t="n">
        <v>4.5</v>
      </c>
      <c r="S35" s="46" t="n">
        <v>0.822</v>
      </c>
      <c r="T35" s="46" t="n">
        <v>120</v>
      </c>
      <c r="U35" s="46" t="inlineStr">
        <is>
          <t>SAMPLE_IEX_2026-10.xlsx</t>
        </is>
      </c>
      <c r="V35" s="46" t="inlineStr">
        <is>
          <t>Sample row - delete before live use</t>
        </is>
      </c>
    </row>
    <row r="36">
      <c r="A36" s="45" t="n">
        <v>46296</v>
      </c>
      <c r="B36" s="46" t="n">
        <v>0.4583333333333333</v>
      </c>
      <c r="C36" s="46" t="n">
        <v>0.4791666666666667</v>
      </c>
      <c r="D36" s="46" t="inlineStr">
        <is>
          <t>11:00 AM - 11:30 AM</t>
        </is>
      </c>
      <c r="E36" s="46" t="inlineStr">
        <is>
          <t>Manila</t>
        </is>
      </c>
      <c r="F36" s="46" t="inlineStr">
        <is>
          <t>Tech_Support</t>
        </is>
      </c>
      <c r="G36" s="46" t="inlineStr">
        <is>
          <t>Voice</t>
        </is>
      </c>
      <c r="H36" s="46" t="n">
        <v>15</v>
      </c>
      <c r="I36" s="46" t="n">
        <v>14</v>
      </c>
      <c r="J36" s="46" t="n">
        <v>1</v>
      </c>
      <c r="K36" s="46" t="n">
        <v>0</v>
      </c>
      <c r="L36" s="46" t="n">
        <v>8</v>
      </c>
      <c r="M36" s="46" t="n">
        <v>361.5</v>
      </c>
      <c r="N36" s="46" t="n">
        <v>3340</v>
      </c>
      <c r="O36" s="46" t="n">
        <v>253</v>
      </c>
      <c r="P36" s="46" t="n">
        <v>1468</v>
      </c>
      <c r="Q36" s="46" t="n">
        <v>3.3</v>
      </c>
      <c r="R36" s="46" t="n">
        <v>3.6</v>
      </c>
      <c r="S36" s="46" t="n">
        <v>0.893</v>
      </c>
      <c r="T36" s="46" t="n">
        <v>780</v>
      </c>
      <c r="U36" s="46" t="inlineStr">
        <is>
          <t>SAMPLE_IEX_2026-10.xlsx</t>
        </is>
      </c>
      <c r="V36" s="46" t="inlineStr">
        <is>
          <t>Sample row - delete before live use</t>
        </is>
      </c>
    </row>
    <row r="37">
      <c r="A37" s="45" t="n">
        <v>46296</v>
      </c>
      <c r="B37" s="46" t="n">
        <v>0.4791666666666667</v>
      </c>
      <c r="C37" s="46" t="n">
        <v>0.5</v>
      </c>
      <c r="D37" s="46" t="inlineStr">
        <is>
          <t>11:30 AM - 12:00 PM</t>
        </is>
      </c>
      <c r="E37" s="46" t="inlineStr">
        <is>
          <t>Manila</t>
        </is>
      </c>
      <c r="F37" s="46" t="inlineStr">
        <is>
          <t>Tech_Support</t>
        </is>
      </c>
      <c r="G37" s="46" t="inlineStr">
        <is>
          <t>Voice</t>
        </is>
      </c>
      <c r="H37" s="46" t="n">
        <v>15</v>
      </c>
      <c r="I37" s="46" t="n">
        <v>14</v>
      </c>
      <c r="J37" s="46" t="n">
        <v>1</v>
      </c>
      <c r="K37" s="46" t="n">
        <v>0</v>
      </c>
      <c r="L37" s="46" t="n">
        <v>18</v>
      </c>
      <c r="M37" s="46" t="n">
        <v>446.8</v>
      </c>
      <c r="N37" s="46" t="n">
        <v>4128</v>
      </c>
      <c r="O37" s="46" t="n">
        <v>313</v>
      </c>
      <c r="P37" s="46" t="n">
        <v>1814</v>
      </c>
      <c r="Q37" s="46" t="n">
        <v>4</v>
      </c>
      <c r="R37" s="46" t="n">
        <v>4.4</v>
      </c>
      <c r="S37" s="46" t="n">
        <v>0.893</v>
      </c>
      <c r="T37" s="46" t="n">
        <v>420</v>
      </c>
      <c r="U37" s="46" t="inlineStr">
        <is>
          <t>SAMPLE_IEX_2026-10.xlsx</t>
        </is>
      </c>
      <c r="V37" s="46" t="inlineStr">
        <is>
          <t>Sample row - delete before live use</t>
        </is>
      </c>
    </row>
    <row r="38">
      <c r="A38" s="45" t="n">
        <v>46296</v>
      </c>
      <c r="B38" s="46" t="n">
        <v>0.5</v>
      </c>
      <c r="C38" s="46" t="n">
        <v>0.5208333333333334</v>
      </c>
      <c r="D38" s="46" t="inlineStr">
        <is>
          <t>12:00 PM - 12:30 PM</t>
        </is>
      </c>
      <c r="E38" s="46" t="inlineStr">
        <is>
          <t>Manila</t>
        </is>
      </c>
      <c r="F38" s="46" t="inlineStr">
        <is>
          <t>Tech_Support</t>
        </is>
      </c>
      <c r="G38" s="46" t="inlineStr">
        <is>
          <t>Voice</t>
        </is>
      </c>
      <c r="H38" s="46" t="n">
        <v>14</v>
      </c>
      <c r="I38" s="46" t="n">
        <v>12</v>
      </c>
      <c r="J38" s="46" t="n">
        <v>2</v>
      </c>
      <c r="K38" s="46" t="n">
        <v>1</v>
      </c>
      <c r="L38" s="46" t="n">
        <v>58</v>
      </c>
      <c r="M38" s="46" t="n">
        <v>431.2</v>
      </c>
      <c r="N38" s="46" t="n">
        <v>3415</v>
      </c>
      <c r="O38" s="46" t="n">
        <v>259</v>
      </c>
      <c r="P38" s="46" t="n">
        <v>1501</v>
      </c>
      <c r="Q38" s="46" t="n">
        <v>3.6</v>
      </c>
      <c r="R38" s="46" t="n">
        <v>3.8</v>
      </c>
      <c r="S38" s="46" t="n">
        <v>0.771</v>
      </c>
      <c r="T38" s="46" t="n">
        <v>420</v>
      </c>
      <c r="U38" s="46" t="inlineStr">
        <is>
          <t>SAMPLE_IEX_2026-10.xlsx</t>
        </is>
      </c>
      <c r="V38" s="46" t="inlineStr">
        <is>
          <t>Sample row - delete before live use</t>
        </is>
      </c>
    </row>
    <row r="39">
      <c r="A39" s="45" t="n">
        <v>46296</v>
      </c>
      <c r="B39" s="46" t="n">
        <v>0.5208333333333334</v>
      </c>
      <c r="C39" s="46" t="n">
        <v>0.5416666666666666</v>
      </c>
      <c r="D39" s="46" t="inlineStr">
        <is>
          <t>12:30 PM - 1:00 PM</t>
        </is>
      </c>
      <c r="E39" s="46" t="inlineStr">
        <is>
          <t>Manila</t>
        </is>
      </c>
      <c r="F39" s="46" t="inlineStr">
        <is>
          <t>Tech_Support</t>
        </is>
      </c>
      <c r="G39" s="46" t="inlineStr">
        <is>
          <t>Voice</t>
        </is>
      </c>
      <c r="H39" s="46" t="n">
        <v>15</v>
      </c>
      <c r="I39" s="46" t="n">
        <v>13</v>
      </c>
      <c r="J39" s="46" t="n">
        <v>2</v>
      </c>
      <c r="K39" s="46" t="n">
        <v>1</v>
      </c>
      <c r="L39" s="46" t="n">
        <v>58</v>
      </c>
      <c r="M39" s="46" t="n">
        <v>438</v>
      </c>
      <c r="N39" s="46" t="n">
        <v>3758</v>
      </c>
      <c r="O39" s="46" t="n">
        <v>285</v>
      </c>
      <c r="P39" s="46" t="n">
        <v>1651</v>
      </c>
      <c r="Q39" s="46" t="n">
        <v>3.9</v>
      </c>
      <c r="R39" s="46" t="n">
        <v>4.5</v>
      </c>
      <c r="S39" s="46" t="n">
        <v>0.787</v>
      </c>
      <c r="T39" s="46" t="n">
        <v>180</v>
      </c>
      <c r="U39" s="46" t="inlineStr">
        <is>
          <t>SAMPLE_IEX_2026-10.xlsx</t>
        </is>
      </c>
      <c r="V39" s="46" t="inlineStr">
        <is>
          <t>Sample row - delete before live use</t>
        </is>
      </c>
    </row>
    <row r="40">
      <c r="A40" s="45" t="n">
        <v>46296</v>
      </c>
      <c r="B40" s="46" t="n">
        <v>0.5416666666666666</v>
      </c>
      <c r="C40" s="46" t="n">
        <v>0.5625</v>
      </c>
      <c r="D40" s="46" t="inlineStr">
        <is>
          <t>1:00 PM - 1:30 PM</t>
        </is>
      </c>
      <c r="E40" s="46" t="inlineStr">
        <is>
          <t>Manila</t>
        </is>
      </c>
      <c r="F40" s="46" t="inlineStr">
        <is>
          <t>Tech_Support</t>
        </is>
      </c>
      <c r="G40" s="46" t="inlineStr">
        <is>
          <t>Voice</t>
        </is>
      </c>
      <c r="H40" s="46" t="n">
        <v>17</v>
      </c>
      <c r="I40" s="46" t="n">
        <v>16</v>
      </c>
      <c r="J40" s="46" t="n">
        <v>1</v>
      </c>
      <c r="K40" s="46" t="n">
        <v>0</v>
      </c>
      <c r="L40" s="46" t="n">
        <v>31</v>
      </c>
      <c r="M40" s="46" t="n">
        <v>425.8</v>
      </c>
      <c r="N40" s="46" t="n">
        <v>4496</v>
      </c>
      <c r="O40" s="46" t="n">
        <v>341</v>
      </c>
      <c r="P40" s="46" t="n">
        <v>1976</v>
      </c>
      <c r="Q40" s="46" t="n">
        <v>4.3</v>
      </c>
      <c r="R40" s="46" t="n">
        <v>4.3</v>
      </c>
      <c r="S40" s="46" t="n">
        <v>0.906</v>
      </c>
      <c r="T40" s="46" t="n">
        <v>310</v>
      </c>
      <c r="U40" s="46" t="inlineStr">
        <is>
          <t>SAMPLE_IEX_2026-10.xlsx</t>
        </is>
      </c>
      <c r="V40" s="46" t="inlineStr">
        <is>
          <t>Sample row - delete before live use</t>
        </is>
      </c>
    </row>
    <row r="41">
      <c r="A41" s="45" t="n">
        <v>46296</v>
      </c>
      <c r="B41" s="46" t="n">
        <v>0.5625</v>
      </c>
      <c r="C41" s="46" t="n">
        <v>0.5833333333333334</v>
      </c>
      <c r="D41" s="46" t="inlineStr">
        <is>
          <t>1:30 PM - 2:00 PM</t>
        </is>
      </c>
      <c r="E41" s="46" t="inlineStr">
        <is>
          <t>Manila</t>
        </is>
      </c>
      <c r="F41" s="46" t="inlineStr">
        <is>
          <t>Tech_Support</t>
        </is>
      </c>
      <c r="G41" s="46" t="inlineStr">
        <is>
          <t>Voice</t>
        </is>
      </c>
      <c r="H41" s="46" t="n">
        <v>12</v>
      </c>
      <c r="I41" s="46" t="n">
        <v>10</v>
      </c>
      <c r="J41" s="46" t="n">
        <v>2</v>
      </c>
      <c r="K41" s="46" t="n">
        <v>1</v>
      </c>
      <c r="L41" s="46" t="n">
        <v>18</v>
      </c>
      <c r="M41" s="46" t="n">
        <v>304.7</v>
      </c>
      <c r="N41" s="46" t="n">
        <v>2011</v>
      </c>
      <c r="O41" s="46" t="n">
        <v>152</v>
      </c>
      <c r="P41" s="46" t="n">
        <v>884</v>
      </c>
      <c r="Q41" s="46" t="n">
        <v>2.2</v>
      </c>
      <c r="R41" s="46" t="n">
        <v>2.2</v>
      </c>
      <c r="S41" s="46" t="n">
        <v>0.733</v>
      </c>
      <c r="T41" s="46" t="n">
        <v>180</v>
      </c>
      <c r="U41" s="46" t="inlineStr">
        <is>
          <t>SAMPLE_IEX_2026-10.xlsx</t>
        </is>
      </c>
      <c r="V41" s="46" t="inlineStr">
        <is>
          <t>Sample row - delete before live use</t>
        </is>
      </c>
    </row>
    <row r="42">
      <c r="A42" s="45" t="n">
        <v>46296</v>
      </c>
      <c r="B42" s="46" t="n">
        <v>0.3333333333333333</v>
      </c>
      <c r="C42" s="46" t="n">
        <v>0.3541666666666667</v>
      </c>
      <c r="D42" s="46" t="inlineStr">
        <is>
          <t>8:00 AM - 8:30 AM</t>
        </is>
      </c>
      <c r="E42" s="46" t="inlineStr">
        <is>
          <t>Manila</t>
        </is>
      </c>
      <c r="F42" s="46" t="inlineStr">
        <is>
          <t>Retention</t>
        </is>
      </c>
      <c r="G42" s="46" t="inlineStr">
        <is>
          <t>Voice</t>
        </is>
      </c>
      <c r="H42" s="46" t="n">
        <v>7</v>
      </c>
      <c r="I42" s="46" t="n">
        <v>7</v>
      </c>
      <c r="J42" s="46" t="n">
        <v>0</v>
      </c>
      <c r="K42" s="46" t="n">
        <v>0</v>
      </c>
      <c r="L42" s="46" t="n">
        <v>18</v>
      </c>
      <c r="M42" s="46" t="n">
        <v>376</v>
      </c>
      <c r="N42" s="46" t="n">
        <v>1737</v>
      </c>
      <c r="O42" s="46" t="n">
        <v>132</v>
      </c>
      <c r="P42" s="46" t="n">
        <v>763</v>
      </c>
      <c r="Q42" s="46" t="n">
        <v>1.6</v>
      </c>
      <c r="R42" s="46" t="n">
        <v>1.8</v>
      </c>
      <c r="S42" s="46" t="n">
        <v>0.98</v>
      </c>
      <c r="T42" s="46" t="n">
        <v>240</v>
      </c>
      <c r="U42" s="46" t="inlineStr">
        <is>
          <t>SAMPLE_IEX_2026-10.xlsx</t>
        </is>
      </c>
      <c r="V42" s="46" t="inlineStr">
        <is>
          <t>Sample row - delete before live use</t>
        </is>
      </c>
    </row>
    <row r="43">
      <c r="A43" s="45" t="n">
        <v>46296</v>
      </c>
      <c r="B43" s="46" t="n">
        <v>0.3541666666666667</v>
      </c>
      <c r="C43" s="46" t="n">
        <v>0.375</v>
      </c>
      <c r="D43" s="46" t="inlineStr">
        <is>
          <t>8:30 AM - 9:00 AM</t>
        </is>
      </c>
      <c r="E43" s="46" t="inlineStr">
        <is>
          <t>Manila</t>
        </is>
      </c>
      <c r="F43" s="46" t="inlineStr">
        <is>
          <t>Retention</t>
        </is>
      </c>
      <c r="G43" s="46" t="inlineStr">
        <is>
          <t>Voice</t>
        </is>
      </c>
      <c r="H43" s="46" t="n">
        <v>8</v>
      </c>
      <c r="I43" s="46" t="n">
        <v>7</v>
      </c>
      <c r="J43" s="46" t="n">
        <v>1</v>
      </c>
      <c r="K43" s="46" t="n">
        <v>0</v>
      </c>
      <c r="L43" s="46" t="n">
        <v>24</v>
      </c>
      <c r="M43" s="46" t="n">
        <v>379.9</v>
      </c>
      <c r="N43" s="46" t="n">
        <v>1755</v>
      </c>
      <c r="O43" s="46" t="n">
        <v>133</v>
      </c>
      <c r="P43" s="46" t="n">
        <v>771</v>
      </c>
      <c r="Q43" s="46" t="n">
        <v>1.8</v>
      </c>
      <c r="R43" s="46" t="n">
        <v>1.8</v>
      </c>
      <c r="S43" s="46" t="n">
        <v>0.8</v>
      </c>
      <c r="T43" s="46" t="n">
        <v>420</v>
      </c>
      <c r="U43" s="46" t="inlineStr">
        <is>
          <t>SAMPLE_IEX_2026-10.xlsx</t>
        </is>
      </c>
      <c r="V43" s="46" t="inlineStr">
        <is>
          <t>Sample row - delete before live use</t>
        </is>
      </c>
    </row>
    <row r="44">
      <c r="A44" s="45" t="n">
        <v>46296</v>
      </c>
      <c r="B44" s="46" t="n">
        <v>0.375</v>
      </c>
      <c r="C44" s="46" t="n">
        <v>0.3958333333333333</v>
      </c>
      <c r="D44" s="46" t="inlineStr">
        <is>
          <t>9:00 AM - 9:30 AM</t>
        </is>
      </c>
      <c r="E44" s="46" t="inlineStr">
        <is>
          <t>Manila</t>
        </is>
      </c>
      <c r="F44" s="46" t="inlineStr">
        <is>
          <t>Retention</t>
        </is>
      </c>
      <c r="G44" s="46" t="inlineStr">
        <is>
          <t>Voice</t>
        </is>
      </c>
      <c r="H44" s="46" t="n">
        <v>13</v>
      </c>
      <c r="I44" s="46" t="n">
        <v>12</v>
      </c>
      <c r="J44" s="46" t="n">
        <v>1</v>
      </c>
      <c r="K44" s="46" t="n">
        <v>0</v>
      </c>
      <c r="L44" s="46" t="n">
        <v>18</v>
      </c>
      <c r="M44" s="46" t="n">
        <v>300.3</v>
      </c>
      <c r="N44" s="46" t="n">
        <v>2379</v>
      </c>
      <c r="O44" s="46" t="n">
        <v>180</v>
      </c>
      <c r="P44" s="46" t="n">
        <v>1045</v>
      </c>
      <c r="Q44" s="46" t="n">
        <v>2.3</v>
      </c>
      <c r="R44" s="46" t="n">
        <v>2.6</v>
      </c>
      <c r="S44" s="46" t="n">
        <v>0.877</v>
      </c>
      <c r="T44" s="46" t="n">
        <v>780</v>
      </c>
      <c r="U44" s="46" t="inlineStr">
        <is>
          <t>SAMPLE_IEX_2026-10.xlsx</t>
        </is>
      </c>
      <c r="V44" s="46" t="inlineStr">
        <is>
          <t>Sample row - delete before live use</t>
        </is>
      </c>
    </row>
    <row r="45">
      <c r="A45" s="45" t="n">
        <v>46296</v>
      </c>
      <c r="B45" s="46" t="n">
        <v>0.3958333333333333</v>
      </c>
      <c r="C45" s="46" t="n">
        <v>0.4166666666666667</v>
      </c>
      <c r="D45" s="46" t="inlineStr">
        <is>
          <t>9:30 AM - 10:00 AM</t>
        </is>
      </c>
      <c r="E45" s="46" t="inlineStr">
        <is>
          <t>Manila</t>
        </is>
      </c>
      <c r="F45" s="46" t="inlineStr">
        <is>
          <t>Retention</t>
        </is>
      </c>
      <c r="G45" s="46" t="inlineStr">
        <is>
          <t>Voice</t>
        </is>
      </c>
      <c r="H45" s="46" t="n">
        <v>12</v>
      </c>
      <c r="I45" s="46" t="n">
        <v>11</v>
      </c>
      <c r="J45" s="46" t="n">
        <v>1</v>
      </c>
      <c r="K45" s="46" t="n">
        <v>0</v>
      </c>
      <c r="L45" s="46" t="n">
        <v>44</v>
      </c>
      <c r="M45" s="46" t="n">
        <v>320.4</v>
      </c>
      <c r="N45" s="46" t="n">
        <v>2326</v>
      </c>
      <c r="O45" s="46" t="n">
        <v>176</v>
      </c>
      <c r="P45" s="46" t="n">
        <v>1022</v>
      </c>
      <c r="Q45" s="46" t="n">
        <v>2.3</v>
      </c>
      <c r="R45" s="46" t="n">
        <v>2.4</v>
      </c>
      <c r="S45" s="46" t="n">
        <v>0.867</v>
      </c>
      <c r="T45" s="46" t="n">
        <v>780</v>
      </c>
      <c r="U45" s="46" t="inlineStr">
        <is>
          <t>SAMPLE_IEX_2026-10.xlsx</t>
        </is>
      </c>
      <c r="V45" s="46" t="inlineStr">
        <is>
          <t>Sample row - delete before live use</t>
        </is>
      </c>
    </row>
    <row r="46">
      <c r="A46" s="45" t="n">
        <v>46296</v>
      </c>
      <c r="B46" s="46" t="n">
        <v>0.4166666666666667</v>
      </c>
      <c r="C46" s="46" t="n">
        <v>0.4375</v>
      </c>
      <c r="D46" s="46" t="inlineStr">
        <is>
          <t>10:00 AM - 10:30 AM</t>
        </is>
      </c>
      <c r="E46" s="46" t="inlineStr">
        <is>
          <t>Manila</t>
        </is>
      </c>
      <c r="F46" s="46" t="inlineStr">
        <is>
          <t>Retention</t>
        </is>
      </c>
      <c r="G46" s="46" t="inlineStr">
        <is>
          <t>Voice</t>
        </is>
      </c>
      <c r="H46" s="46" t="n">
        <v>11</v>
      </c>
      <c r="I46" s="46" t="n">
        <v>10</v>
      </c>
      <c r="J46" s="46" t="n">
        <v>1</v>
      </c>
      <c r="K46" s="46" t="n">
        <v>0</v>
      </c>
      <c r="L46" s="46" t="n">
        <v>8</v>
      </c>
      <c r="M46" s="46" t="n">
        <v>373.8</v>
      </c>
      <c r="N46" s="46" t="n">
        <v>2467</v>
      </c>
      <c r="O46" s="46" t="n">
        <v>187</v>
      </c>
      <c r="P46" s="46" t="n">
        <v>1084</v>
      </c>
      <c r="Q46" s="46" t="n">
        <v>2.5</v>
      </c>
      <c r="R46" s="46" t="n">
        <v>2.7</v>
      </c>
      <c r="S46" s="46" t="n">
        <v>0.855</v>
      </c>
      <c r="T46" s="46" t="n">
        <v>780</v>
      </c>
      <c r="U46" s="46" t="inlineStr">
        <is>
          <t>SAMPLE_IEX_2026-10.xlsx</t>
        </is>
      </c>
      <c r="V46" s="46" t="inlineStr">
        <is>
          <t>Sample row - delete before live use</t>
        </is>
      </c>
    </row>
    <row r="47">
      <c r="A47" s="45" t="n">
        <v>46296</v>
      </c>
      <c r="B47" s="46" t="n">
        <v>0.4375</v>
      </c>
      <c r="C47" s="46" t="n">
        <v>0.4583333333333333</v>
      </c>
      <c r="D47" s="46" t="inlineStr">
        <is>
          <t>10:30 AM - 11:00 AM</t>
        </is>
      </c>
      <c r="E47" s="46" t="inlineStr">
        <is>
          <t>Manila</t>
        </is>
      </c>
      <c r="F47" s="46" t="inlineStr">
        <is>
          <t>Retention</t>
        </is>
      </c>
      <c r="G47" s="46" t="inlineStr">
        <is>
          <t>Voice</t>
        </is>
      </c>
      <c r="H47" s="46" t="n">
        <v>12</v>
      </c>
      <c r="I47" s="46" t="n">
        <v>11</v>
      </c>
      <c r="J47" s="46" t="n">
        <v>1</v>
      </c>
      <c r="K47" s="46" t="n">
        <v>0</v>
      </c>
      <c r="L47" s="46" t="n">
        <v>8</v>
      </c>
      <c r="M47" s="46" t="n">
        <v>378.7</v>
      </c>
      <c r="N47" s="46" t="n">
        <v>2750</v>
      </c>
      <c r="O47" s="46" t="n">
        <v>208</v>
      </c>
      <c r="P47" s="46" t="n">
        <v>1208</v>
      </c>
      <c r="Q47" s="46" t="n">
        <v>2.7</v>
      </c>
      <c r="R47" s="46" t="n">
        <v>3</v>
      </c>
      <c r="S47" s="46" t="n">
        <v>0.867</v>
      </c>
      <c r="T47" s="46" t="n">
        <v>600</v>
      </c>
      <c r="U47" s="46" t="inlineStr">
        <is>
          <t>SAMPLE_IEX_2026-10.xlsx</t>
        </is>
      </c>
      <c r="V47" s="46" t="inlineStr">
        <is>
          <t>Sample row - delete before live use</t>
        </is>
      </c>
    </row>
    <row r="48">
      <c r="A48" s="45" t="n">
        <v>46296</v>
      </c>
      <c r="B48" s="46" t="n">
        <v>0.4583333333333333</v>
      </c>
      <c r="C48" s="46" t="n">
        <v>0.4791666666666667</v>
      </c>
      <c r="D48" s="46" t="inlineStr">
        <is>
          <t>11:00 AM - 11:30 AM</t>
        </is>
      </c>
      <c r="E48" s="46" t="inlineStr">
        <is>
          <t>Manila</t>
        </is>
      </c>
      <c r="F48" s="46" t="inlineStr">
        <is>
          <t>Retention</t>
        </is>
      </c>
      <c r="G48" s="46" t="inlineStr">
        <is>
          <t>Voice</t>
        </is>
      </c>
      <c r="H48" s="46" t="n">
        <v>10</v>
      </c>
      <c r="I48" s="46" t="n">
        <v>9</v>
      </c>
      <c r="J48" s="46" t="n">
        <v>1</v>
      </c>
      <c r="K48" s="46" t="n">
        <v>0</v>
      </c>
      <c r="L48" s="46" t="n">
        <v>24</v>
      </c>
      <c r="M48" s="46" t="n">
        <v>304.7</v>
      </c>
      <c r="N48" s="46" t="n">
        <v>1810</v>
      </c>
      <c r="O48" s="46" t="n">
        <v>137</v>
      </c>
      <c r="P48" s="46" t="n">
        <v>795</v>
      </c>
      <c r="Q48" s="46" t="n">
        <v>1.8</v>
      </c>
      <c r="R48" s="46" t="n">
        <v>1.9</v>
      </c>
      <c r="S48" s="46" t="n">
        <v>0.84</v>
      </c>
      <c r="T48" s="46" t="n">
        <v>780</v>
      </c>
      <c r="U48" s="46" t="inlineStr">
        <is>
          <t>SAMPLE_IEX_2026-10.xlsx</t>
        </is>
      </c>
      <c r="V48" s="46" t="inlineStr">
        <is>
          <t>Sample row - delete before live use</t>
        </is>
      </c>
    </row>
    <row r="49">
      <c r="A49" s="45" t="n">
        <v>46296</v>
      </c>
      <c r="B49" s="46" t="n">
        <v>0.4791666666666667</v>
      </c>
      <c r="C49" s="46" t="n">
        <v>0.5</v>
      </c>
      <c r="D49" s="46" t="inlineStr">
        <is>
          <t>11:30 AM - 12:00 PM</t>
        </is>
      </c>
      <c r="E49" s="46" t="inlineStr">
        <is>
          <t>Manila</t>
        </is>
      </c>
      <c r="F49" s="46" t="inlineStr">
        <is>
          <t>Retention</t>
        </is>
      </c>
      <c r="G49" s="46" t="inlineStr">
        <is>
          <t>Voice</t>
        </is>
      </c>
      <c r="H49" s="46" t="n">
        <v>11</v>
      </c>
      <c r="I49" s="46" t="n">
        <v>10</v>
      </c>
      <c r="J49" s="46" t="n">
        <v>1</v>
      </c>
      <c r="K49" s="46" t="n">
        <v>0</v>
      </c>
      <c r="L49" s="46" t="n">
        <v>18</v>
      </c>
      <c r="M49" s="46" t="n">
        <v>401.3</v>
      </c>
      <c r="N49" s="46" t="n">
        <v>2649</v>
      </c>
      <c r="O49" s="46" t="n">
        <v>201</v>
      </c>
      <c r="P49" s="46" t="n">
        <v>1164</v>
      </c>
      <c r="Q49" s="46" t="n">
        <v>2.6</v>
      </c>
      <c r="R49" s="46" t="n">
        <v>2.7</v>
      </c>
      <c r="S49" s="46" t="n">
        <v>0.855</v>
      </c>
      <c r="T49" s="46" t="n">
        <v>180</v>
      </c>
      <c r="U49" s="46" t="inlineStr">
        <is>
          <t>SAMPLE_IEX_2026-10.xlsx</t>
        </is>
      </c>
      <c r="V49" s="46" t="inlineStr">
        <is>
          <t>Sample row - delete before live use</t>
        </is>
      </c>
    </row>
    <row r="50">
      <c r="A50" s="45" t="n">
        <v>46296</v>
      </c>
      <c r="B50" s="46" t="n">
        <v>0.5</v>
      </c>
      <c r="C50" s="46" t="n">
        <v>0.5208333333333334</v>
      </c>
      <c r="D50" s="46" t="inlineStr">
        <is>
          <t>12:00 PM - 12:30 PM</t>
        </is>
      </c>
      <c r="E50" s="46" t="inlineStr">
        <is>
          <t>Manila</t>
        </is>
      </c>
      <c r="F50" s="46" t="inlineStr">
        <is>
          <t>Retention</t>
        </is>
      </c>
      <c r="G50" s="46" t="inlineStr">
        <is>
          <t>Voice</t>
        </is>
      </c>
      <c r="H50" s="46" t="n">
        <v>10</v>
      </c>
      <c r="I50" s="46" t="n">
        <v>9</v>
      </c>
      <c r="J50" s="46" t="n">
        <v>1</v>
      </c>
      <c r="K50" s="46" t="n">
        <v>0</v>
      </c>
      <c r="L50" s="46" t="n">
        <v>44</v>
      </c>
      <c r="M50" s="46" t="n">
        <v>302.4</v>
      </c>
      <c r="N50" s="46" t="n">
        <v>1796</v>
      </c>
      <c r="O50" s="46" t="n">
        <v>136</v>
      </c>
      <c r="P50" s="46" t="n">
        <v>789</v>
      </c>
      <c r="Q50" s="46" t="n">
        <v>1.8</v>
      </c>
      <c r="R50" s="46" t="n">
        <v>2.1</v>
      </c>
      <c r="S50" s="46" t="n">
        <v>0.84</v>
      </c>
      <c r="T50" s="46" t="n">
        <v>120</v>
      </c>
      <c r="U50" s="46" t="inlineStr">
        <is>
          <t>SAMPLE_IEX_2026-10.xlsx</t>
        </is>
      </c>
      <c r="V50" s="46" t="inlineStr">
        <is>
          <t>Sample row - delete before live use</t>
        </is>
      </c>
    </row>
    <row r="51">
      <c r="A51" s="45" t="n">
        <v>46296</v>
      </c>
      <c r="B51" s="46" t="n">
        <v>0.5208333333333334</v>
      </c>
      <c r="C51" s="46" t="n">
        <v>0.5416666666666666</v>
      </c>
      <c r="D51" s="46" t="inlineStr">
        <is>
          <t>12:30 PM - 1:00 PM</t>
        </is>
      </c>
      <c r="E51" s="46" t="inlineStr">
        <is>
          <t>Manila</t>
        </is>
      </c>
      <c r="F51" s="46" t="inlineStr">
        <is>
          <t>Retention</t>
        </is>
      </c>
      <c r="G51" s="46" t="inlineStr">
        <is>
          <t>Voice</t>
        </is>
      </c>
      <c r="H51" s="46" t="n">
        <v>10</v>
      </c>
      <c r="I51" s="46" t="n">
        <v>9</v>
      </c>
      <c r="J51" s="46" t="n">
        <v>1</v>
      </c>
      <c r="K51" s="46" t="n">
        <v>0</v>
      </c>
      <c r="L51" s="46" t="n">
        <v>58</v>
      </c>
      <c r="M51" s="46" t="n">
        <v>373.7</v>
      </c>
      <c r="N51" s="46" t="n">
        <v>2220</v>
      </c>
      <c r="O51" s="46" t="n">
        <v>168</v>
      </c>
      <c r="P51" s="46" t="n">
        <v>975</v>
      </c>
      <c r="Q51" s="46" t="n">
        <v>2.2</v>
      </c>
      <c r="R51" s="46" t="n">
        <v>2.5</v>
      </c>
      <c r="S51" s="46" t="n">
        <v>0.84</v>
      </c>
      <c r="T51" s="46" t="n">
        <v>780</v>
      </c>
      <c r="U51" s="46" t="inlineStr">
        <is>
          <t>SAMPLE_IEX_2026-10.xlsx</t>
        </is>
      </c>
      <c r="V51" s="46" t="inlineStr">
        <is>
          <t>Sample row - delete before live use</t>
        </is>
      </c>
    </row>
    <row r="52">
      <c r="A52" s="45" t="n">
        <v>46296</v>
      </c>
      <c r="B52" s="46" t="n">
        <v>0.5416666666666666</v>
      </c>
      <c r="C52" s="46" t="n">
        <v>0.5625</v>
      </c>
      <c r="D52" s="46" t="inlineStr">
        <is>
          <t>1:00 PM - 1:30 PM</t>
        </is>
      </c>
      <c r="E52" s="46" t="inlineStr">
        <is>
          <t>Manila</t>
        </is>
      </c>
      <c r="F52" s="46" t="inlineStr">
        <is>
          <t>Retention</t>
        </is>
      </c>
      <c r="G52" s="46" t="inlineStr">
        <is>
          <t>Voice</t>
        </is>
      </c>
      <c r="H52" s="46" t="n">
        <v>10</v>
      </c>
      <c r="I52" s="46" t="n">
        <v>9</v>
      </c>
      <c r="J52" s="46" t="n">
        <v>1</v>
      </c>
      <c r="K52" s="46" t="n">
        <v>0</v>
      </c>
      <c r="L52" s="46" t="n">
        <v>31</v>
      </c>
      <c r="M52" s="46" t="n">
        <v>349.8</v>
      </c>
      <c r="N52" s="46" t="n">
        <v>2078</v>
      </c>
      <c r="O52" s="46" t="n">
        <v>157</v>
      </c>
      <c r="P52" s="46" t="n">
        <v>913</v>
      </c>
      <c r="Q52" s="46" t="n">
        <v>2.1</v>
      </c>
      <c r="R52" s="46" t="n">
        <v>2.1</v>
      </c>
      <c r="S52" s="46" t="n">
        <v>0.84</v>
      </c>
      <c r="T52" s="46" t="n">
        <v>240</v>
      </c>
      <c r="U52" s="46" t="inlineStr">
        <is>
          <t>SAMPLE_IEX_2026-10.xlsx</t>
        </is>
      </c>
      <c r="V52" s="46" t="inlineStr">
        <is>
          <t>Sample row - delete before live use</t>
        </is>
      </c>
    </row>
    <row r="53">
      <c r="A53" s="45" t="n">
        <v>46296</v>
      </c>
      <c r="B53" s="46" t="n">
        <v>0.5625</v>
      </c>
      <c r="C53" s="46" t="n">
        <v>0.5833333333333334</v>
      </c>
      <c r="D53" s="46" t="inlineStr">
        <is>
          <t>1:30 PM - 2:00 PM</t>
        </is>
      </c>
      <c r="E53" s="46" t="inlineStr">
        <is>
          <t>Manila</t>
        </is>
      </c>
      <c r="F53" s="46" t="inlineStr">
        <is>
          <t>Retention</t>
        </is>
      </c>
      <c r="G53" s="46" t="inlineStr">
        <is>
          <t>Voice</t>
        </is>
      </c>
      <c r="H53" s="46" t="n">
        <v>8</v>
      </c>
      <c r="I53" s="46" t="n">
        <v>7</v>
      </c>
      <c r="J53" s="46" t="n">
        <v>1</v>
      </c>
      <c r="K53" s="46" t="n">
        <v>0</v>
      </c>
      <c r="L53" s="46" t="n">
        <v>18</v>
      </c>
      <c r="M53" s="46" t="n">
        <v>322.3</v>
      </c>
      <c r="N53" s="46" t="n">
        <v>1489</v>
      </c>
      <c r="O53" s="46" t="n">
        <v>113</v>
      </c>
      <c r="P53" s="46" t="n">
        <v>654</v>
      </c>
      <c r="Q53" s="46" t="n">
        <v>1.5</v>
      </c>
      <c r="R53" s="46" t="n">
        <v>1.7</v>
      </c>
      <c r="S53" s="46" t="n">
        <v>0.8</v>
      </c>
      <c r="T53" s="46" t="n">
        <v>310</v>
      </c>
      <c r="U53" s="46" t="inlineStr">
        <is>
          <t>SAMPLE_IEX_2026-10.xlsx</t>
        </is>
      </c>
      <c r="V53" s="46" t="inlineStr">
        <is>
          <t>Sample row - delete before live use</t>
        </is>
      </c>
    </row>
    <row r="54">
      <c r="A54" s="45" t="n">
        <v>46297</v>
      </c>
      <c r="B54" s="46" t="n">
        <v>0.3333333333333333</v>
      </c>
      <c r="C54" s="46" t="n">
        <v>0.3541666666666667</v>
      </c>
      <c r="D54" s="46" t="inlineStr">
        <is>
          <t>8:00 AM - 8:30 AM</t>
        </is>
      </c>
      <c r="E54" s="46" t="inlineStr">
        <is>
          <t>Manila</t>
        </is>
      </c>
      <c r="F54" s="46" t="inlineStr">
        <is>
          <t>CS_Voice_General</t>
        </is>
      </c>
      <c r="G54" s="46" t="inlineStr">
        <is>
          <t>Voice</t>
        </is>
      </c>
      <c r="H54" s="46" t="n">
        <v>24</v>
      </c>
      <c r="I54" s="46" t="n">
        <v>22</v>
      </c>
      <c r="J54" s="46" t="n">
        <v>2</v>
      </c>
      <c r="K54" s="46" t="n">
        <v>1</v>
      </c>
      <c r="L54" s="46" t="n">
        <v>31</v>
      </c>
      <c r="M54" s="46" t="n">
        <v>387.8</v>
      </c>
      <c r="N54" s="46" t="n">
        <v>5632</v>
      </c>
      <c r="O54" s="46" t="n">
        <v>427</v>
      </c>
      <c r="P54" s="46" t="n">
        <v>2474</v>
      </c>
      <c r="Q54" s="46" t="n">
        <v>5.6</v>
      </c>
      <c r="R54" s="46" t="n">
        <v>6.2</v>
      </c>
      <c r="S54" s="46" t="n">
        <v>0.867</v>
      </c>
      <c r="T54" s="46" t="n">
        <v>180</v>
      </c>
      <c r="U54" s="46" t="inlineStr">
        <is>
          <t>SAMPLE_IEX_2026-10.xlsx</t>
        </is>
      </c>
      <c r="V54" s="46" t="inlineStr">
        <is>
          <t>Sample row - delete before live use</t>
        </is>
      </c>
    </row>
    <row r="55">
      <c r="A55" s="45" t="n">
        <v>46297</v>
      </c>
      <c r="B55" s="46" t="n">
        <v>0.3541666666666667</v>
      </c>
      <c r="C55" s="46" t="n">
        <v>0.375</v>
      </c>
      <c r="D55" s="46" t="inlineStr">
        <is>
          <t>8:30 AM - 9:00 AM</t>
        </is>
      </c>
      <c r="E55" s="46" t="inlineStr">
        <is>
          <t>Manila</t>
        </is>
      </c>
      <c r="F55" s="46" t="inlineStr">
        <is>
          <t>CS_Voice_General</t>
        </is>
      </c>
      <c r="G55" s="46" t="inlineStr">
        <is>
          <t>Voice</t>
        </is>
      </c>
      <c r="H55" s="46" t="n">
        <v>32</v>
      </c>
      <c r="I55" s="46" t="n">
        <v>29</v>
      </c>
      <c r="J55" s="46" t="n">
        <v>3</v>
      </c>
      <c r="K55" s="46" t="n">
        <v>1</v>
      </c>
      <c r="L55" s="46" t="n">
        <v>12</v>
      </c>
      <c r="M55" s="46" t="n">
        <v>303.2</v>
      </c>
      <c r="N55" s="46" t="n">
        <v>5803</v>
      </c>
      <c r="O55" s="46" t="n">
        <v>440</v>
      </c>
      <c r="P55" s="46" t="n">
        <v>2550</v>
      </c>
      <c r="Q55" s="46" t="n">
        <v>5.8</v>
      </c>
      <c r="R55" s="46" t="n">
        <v>6</v>
      </c>
      <c r="S55" s="46" t="n">
        <v>0.85</v>
      </c>
      <c r="T55" s="46" t="n">
        <v>420</v>
      </c>
      <c r="U55" s="46" t="inlineStr">
        <is>
          <t>SAMPLE_IEX_2026-10.xlsx</t>
        </is>
      </c>
      <c r="V55" s="46" t="inlineStr">
        <is>
          <t>Sample row - delete before live use</t>
        </is>
      </c>
    </row>
    <row r="56">
      <c r="A56" s="45" t="n">
        <v>46297</v>
      </c>
      <c r="B56" s="46" t="n">
        <v>0.375</v>
      </c>
      <c r="C56" s="46" t="n">
        <v>0.3958333333333333</v>
      </c>
      <c r="D56" s="46" t="inlineStr">
        <is>
          <t>9:00 AM - 9:30 AM</t>
        </is>
      </c>
      <c r="E56" s="46" t="inlineStr">
        <is>
          <t>Manila</t>
        </is>
      </c>
      <c r="F56" s="46" t="inlineStr">
        <is>
          <t>CS_Voice_General</t>
        </is>
      </c>
      <c r="G56" s="46" t="inlineStr">
        <is>
          <t>Voice</t>
        </is>
      </c>
      <c r="H56" s="46" t="n">
        <v>36</v>
      </c>
      <c r="I56" s="46" t="n">
        <v>33</v>
      </c>
      <c r="J56" s="46" t="n">
        <v>3</v>
      </c>
      <c r="K56" s="46" t="n">
        <v>1</v>
      </c>
      <c r="L56" s="46" t="n">
        <v>44</v>
      </c>
      <c r="M56" s="46" t="n">
        <v>329.3</v>
      </c>
      <c r="N56" s="46" t="n">
        <v>7172</v>
      </c>
      <c r="O56" s="46" t="n">
        <v>543</v>
      </c>
      <c r="P56" s="46" t="n">
        <v>3151</v>
      </c>
      <c r="Q56" s="46" t="n">
        <v>7.1</v>
      </c>
      <c r="R56" s="46" t="n">
        <v>7.4</v>
      </c>
      <c r="S56" s="46" t="n">
        <v>0.867</v>
      </c>
      <c r="T56" s="46" t="n">
        <v>120</v>
      </c>
      <c r="U56" s="46" t="inlineStr">
        <is>
          <t>SAMPLE_IEX_2026-10.xlsx</t>
        </is>
      </c>
      <c r="V56" s="46" t="inlineStr">
        <is>
          <t>Sample row - delete before live use</t>
        </is>
      </c>
    </row>
    <row r="57">
      <c r="A57" s="45" t="n">
        <v>46297</v>
      </c>
      <c r="B57" s="46" t="n">
        <v>0.3958333333333333</v>
      </c>
      <c r="C57" s="46" t="n">
        <v>0.4166666666666667</v>
      </c>
      <c r="D57" s="46" t="inlineStr">
        <is>
          <t>9:30 AM - 10:00 AM</t>
        </is>
      </c>
      <c r="E57" s="46" t="inlineStr">
        <is>
          <t>Manila</t>
        </is>
      </c>
      <c r="F57" s="46" t="inlineStr">
        <is>
          <t>CS_Voice_General</t>
        </is>
      </c>
      <c r="G57" s="46" t="inlineStr">
        <is>
          <t>Voice</t>
        </is>
      </c>
      <c r="H57" s="46" t="n">
        <v>42</v>
      </c>
      <c r="I57" s="46" t="n">
        <v>37</v>
      </c>
      <c r="J57" s="46" t="n">
        <v>5</v>
      </c>
      <c r="K57" s="46" t="n">
        <v>2</v>
      </c>
      <c r="L57" s="46" t="n">
        <v>58</v>
      </c>
      <c r="M57" s="46" t="n">
        <v>388.1</v>
      </c>
      <c r="N57" s="46" t="n">
        <v>9478</v>
      </c>
      <c r="O57" s="46" t="n">
        <v>718</v>
      </c>
      <c r="P57" s="46" t="n">
        <v>4165</v>
      </c>
      <c r="Q57" s="46" t="n">
        <v>9.800000000000001</v>
      </c>
      <c r="R57" s="46" t="n">
        <v>10.4</v>
      </c>
      <c r="S57" s="46" t="n">
        <v>0.8100000000000001</v>
      </c>
      <c r="T57" s="46" t="n">
        <v>780</v>
      </c>
      <c r="U57" s="46" t="inlineStr">
        <is>
          <t>SAMPLE_IEX_2026-10.xlsx</t>
        </is>
      </c>
      <c r="V57" s="46" t="inlineStr">
        <is>
          <t>Sample row - delete before live use</t>
        </is>
      </c>
    </row>
    <row r="58">
      <c r="A58" s="45" t="n">
        <v>46297</v>
      </c>
      <c r="B58" s="46" t="n">
        <v>0.4166666666666667</v>
      </c>
      <c r="C58" s="46" t="n">
        <v>0.4375</v>
      </c>
      <c r="D58" s="46" t="inlineStr">
        <is>
          <t>10:00 AM - 10:30 AM</t>
        </is>
      </c>
      <c r="E58" s="46" t="inlineStr">
        <is>
          <t>Manila</t>
        </is>
      </c>
      <c r="F58" s="46" t="inlineStr">
        <is>
          <t>CS_Voice_General</t>
        </is>
      </c>
      <c r="G58" s="46" t="inlineStr">
        <is>
          <t>Voice</t>
        </is>
      </c>
      <c r="H58" s="46" t="n">
        <v>39</v>
      </c>
      <c r="I58" s="46" t="n">
        <v>35</v>
      </c>
      <c r="J58" s="46" t="n">
        <v>4</v>
      </c>
      <c r="K58" s="46" t="n">
        <v>1</v>
      </c>
      <c r="L58" s="46" t="n">
        <v>58</v>
      </c>
      <c r="M58" s="46" t="n">
        <v>342.2</v>
      </c>
      <c r="N58" s="46" t="n">
        <v>7906</v>
      </c>
      <c r="O58" s="46" t="n">
        <v>599</v>
      </c>
      <c r="P58" s="46" t="n">
        <v>3474</v>
      </c>
      <c r="Q58" s="46" t="n">
        <v>8</v>
      </c>
      <c r="R58" s="46" t="n">
        <v>8</v>
      </c>
      <c r="S58" s="46" t="n">
        <v>0.836</v>
      </c>
      <c r="T58" s="46" t="n">
        <v>120</v>
      </c>
      <c r="U58" s="46" t="inlineStr">
        <is>
          <t>SAMPLE_IEX_2026-10.xlsx</t>
        </is>
      </c>
      <c r="V58" s="46" t="inlineStr">
        <is>
          <t>Sample row - delete before live use</t>
        </is>
      </c>
    </row>
    <row r="59">
      <c r="A59" s="45" t="n">
        <v>46297</v>
      </c>
      <c r="B59" s="46" t="n">
        <v>0.4375</v>
      </c>
      <c r="C59" s="46" t="n">
        <v>0.4583333333333333</v>
      </c>
      <c r="D59" s="46" t="inlineStr">
        <is>
          <t>10:30 AM - 11:00 AM</t>
        </is>
      </c>
      <c r="E59" s="46" t="inlineStr">
        <is>
          <t>Manila</t>
        </is>
      </c>
      <c r="F59" s="46" t="inlineStr">
        <is>
          <t>CS_Voice_General</t>
        </is>
      </c>
      <c r="G59" s="46" t="inlineStr">
        <is>
          <t>Voice</t>
        </is>
      </c>
      <c r="H59" s="46" t="n">
        <v>40</v>
      </c>
      <c r="I59" s="46" t="n">
        <v>36</v>
      </c>
      <c r="J59" s="46" t="n">
        <v>4</v>
      </c>
      <c r="K59" s="46" t="n">
        <v>1</v>
      </c>
      <c r="L59" s="46" t="n">
        <v>24</v>
      </c>
      <c r="M59" s="46" t="n">
        <v>429.2</v>
      </c>
      <c r="N59" s="46" t="n">
        <v>10198</v>
      </c>
      <c r="O59" s="46" t="n">
        <v>773</v>
      </c>
      <c r="P59" s="46" t="n">
        <v>4481</v>
      </c>
      <c r="Q59" s="46" t="n">
        <v>10.3</v>
      </c>
      <c r="R59" s="46" t="n">
        <v>11.7</v>
      </c>
      <c r="S59" s="46" t="n">
        <v>0.84</v>
      </c>
      <c r="T59" s="46" t="n">
        <v>240</v>
      </c>
      <c r="U59" s="46" t="inlineStr">
        <is>
          <t>SAMPLE_IEX_2026-10.xlsx</t>
        </is>
      </c>
      <c r="V59" s="46" t="inlineStr">
        <is>
          <t>Sample row - delete before live use</t>
        </is>
      </c>
    </row>
    <row r="60">
      <c r="A60" s="45" t="n">
        <v>46297</v>
      </c>
      <c r="B60" s="46" t="n">
        <v>0.4583333333333333</v>
      </c>
      <c r="C60" s="46" t="n">
        <v>0.4791666666666667</v>
      </c>
      <c r="D60" s="46" t="inlineStr">
        <is>
          <t>11:00 AM - 11:30 AM</t>
        </is>
      </c>
      <c r="E60" s="46" t="inlineStr">
        <is>
          <t>Manila</t>
        </is>
      </c>
      <c r="F60" s="46" t="inlineStr">
        <is>
          <t>CS_Voice_General</t>
        </is>
      </c>
      <c r="G60" s="46" t="inlineStr">
        <is>
          <t>Voice</t>
        </is>
      </c>
      <c r="H60" s="46" t="n">
        <v>39</v>
      </c>
      <c r="I60" s="46" t="n">
        <v>35</v>
      </c>
      <c r="J60" s="46" t="n">
        <v>4</v>
      </c>
      <c r="K60" s="46" t="n">
        <v>1</v>
      </c>
      <c r="L60" s="46" t="n">
        <v>24</v>
      </c>
      <c r="M60" s="46" t="n">
        <v>387.1</v>
      </c>
      <c r="N60" s="46" t="n">
        <v>8941</v>
      </c>
      <c r="O60" s="46" t="n">
        <v>677</v>
      </c>
      <c r="P60" s="46" t="n">
        <v>3929</v>
      </c>
      <c r="Q60" s="46" t="n">
        <v>9.1</v>
      </c>
      <c r="R60" s="46" t="n">
        <v>9.9</v>
      </c>
      <c r="S60" s="46" t="n">
        <v>0.836</v>
      </c>
      <c r="T60" s="46" t="n">
        <v>420</v>
      </c>
      <c r="U60" s="46" t="inlineStr">
        <is>
          <t>SAMPLE_IEX_2026-10.xlsx</t>
        </is>
      </c>
      <c r="V60" s="46" t="inlineStr">
        <is>
          <t>Sample row - delete before live use</t>
        </is>
      </c>
    </row>
    <row r="61">
      <c r="A61" s="45" t="n">
        <v>46297</v>
      </c>
      <c r="B61" s="46" t="n">
        <v>0.4791666666666667</v>
      </c>
      <c r="C61" s="46" t="n">
        <v>0.5</v>
      </c>
      <c r="D61" s="46" t="inlineStr">
        <is>
          <t>11:30 AM - 12:00 PM</t>
        </is>
      </c>
      <c r="E61" s="46" t="inlineStr">
        <is>
          <t>Manila</t>
        </is>
      </c>
      <c r="F61" s="46" t="inlineStr">
        <is>
          <t>CS_Voice_General</t>
        </is>
      </c>
      <c r="G61" s="46" t="inlineStr">
        <is>
          <t>Voice</t>
        </is>
      </c>
      <c r="H61" s="46" t="n">
        <v>36</v>
      </c>
      <c r="I61" s="46" t="n">
        <v>32</v>
      </c>
      <c r="J61" s="46" t="n">
        <v>4</v>
      </c>
      <c r="K61" s="46" t="n">
        <v>1</v>
      </c>
      <c r="L61" s="46" t="n">
        <v>18</v>
      </c>
      <c r="M61" s="46" t="n">
        <v>460.1</v>
      </c>
      <c r="N61" s="46" t="n">
        <v>9716</v>
      </c>
      <c r="O61" s="46" t="n">
        <v>736</v>
      </c>
      <c r="P61" s="46" t="n">
        <v>4269</v>
      </c>
      <c r="Q61" s="46" t="n">
        <v>9.9</v>
      </c>
      <c r="R61" s="46" t="n">
        <v>10.8</v>
      </c>
      <c r="S61" s="46" t="n">
        <v>0.822</v>
      </c>
      <c r="T61" s="46" t="n">
        <v>420</v>
      </c>
      <c r="U61" s="46" t="inlineStr">
        <is>
          <t>SAMPLE_IEX_2026-10.xlsx</t>
        </is>
      </c>
      <c r="V61" s="46" t="inlineStr">
        <is>
          <t>Sample row - delete before live use</t>
        </is>
      </c>
    </row>
    <row r="62">
      <c r="A62" s="45" t="n">
        <v>46297</v>
      </c>
      <c r="B62" s="46" t="n">
        <v>0.5</v>
      </c>
      <c r="C62" s="46" t="n">
        <v>0.5208333333333334</v>
      </c>
      <c r="D62" s="46" t="inlineStr">
        <is>
          <t>12:00 PM - 12:30 PM</t>
        </is>
      </c>
      <c r="E62" s="46" t="inlineStr">
        <is>
          <t>Manila</t>
        </is>
      </c>
      <c r="F62" s="46" t="inlineStr">
        <is>
          <t>CS_Voice_General</t>
        </is>
      </c>
      <c r="G62" s="46" t="inlineStr">
        <is>
          <t>Voice</t>
        </is>
      </c>
      <c r="H62" s="46" t="n">
        <v>36</v>
      </c>
      <c r="I62" s="46" t="n">
        <v>31</v>
      </c>
      <c r="J62" s="46" t="n">
        <v>5</v>
      </c>
      <c r="K62" s="46" t="n">
        <v>2</v>
      </c>
      <c r="L62" s="46" t="n">
        <v>24</v>
      </c>
      <c r="M62" s="46" t="n">
        <v>376.1</v>
      </c>
      <c r="N62" s="46" t="n">
        <v>7695</v>
      </c>
      <c r="O62" s="46" t="n">
        <v>583</v>
      </c>
      <c r="P62" s="46" t="n">
        <v>3381</v>
      </c>
      <c r="Q62" s="46" t="n">
        <v>8.1</v>
      </c>
      <c r="R62" s="46" t="n">
        <v>8.4</v>
      </c>
      <c r="S62" s="46" t="n">
        <v>0.778</v>
      </c>
      <c r="T62" s="46" t="n">
        <v>310</v>
      </c>
      <c r="U62" s="46" t="inlineStr">
        <is>
          <t>SAMPLE_IEX_2026-10.xlsx</t>
        </is>
      </c>
      <c r="V62" s="46" t="inlineStr">
        <is>
          <t>Sample row - delete before live use</t>
        </is>
      </c>
    </row>
    <row r="63">
      <c r="A63" s="45" t="n">
        <v>46297</v>
      </c>
      <c r="B63" s="46" t="n">
        <v>0.5208333333333334</v>
      </c>
      <c r="C63" s="46" t="n">
        <v>0.5416666666666666</v>
      </c>
      <c r="D63" s="46" t="inlineStr">
        <is>
          <t>12:30 PM - 1:00 PM</t>
        </is>
      </c>
      <c r="E63" s="46" t="inlineStr">
        <is>
          <t>Manila</t>
        </is>
      </c>
      <c r="F63" s="46" t="inlineStr">
        <is>
          <t>CS_Voice_General</t>
        </is>
      </c>
      <c r="G63" s="46" t="inlineStr">
        <is>
          <t>Voice</t>
        </is>
      </c>
      <c r="H63" s="46" t="n">
        <v>34</v>
      </c>
      <c r="I63" s="46" t="n">
        <v>31</v>
      </c>
      <c r="J63" s="46" t="n">
        <v>3</v>
      </c>
      <c r="K63" s="46" t="n">
        <v>1</v>
      </c>
      <c r="L63" s="46" t="n">
        <v>18</v>
      </c>
      <c r="M63" s="46" t="n">
        <v>372.8</v>
      </c>
      <c r="N63" s="46" t="n">
        <v>7628</v>
      </c>
      <c r="O63" s="46" t="n">
        <v>578</v>
      </c>
      <c r="P63" s="46" t="n">
        <v>3352</v>
      </c>
      <c r="Q63" s="46" t="n">
        <v>7.6</v>
      </c>
      <c r="R63" s="46" t="n">
        <v>7.5</v>
      </c>
      <c r="S63" s="46" t="n">
        <v>0.859</v>
      </c>
      <c r="T63" s="46" t="n">
        <v>780</v>
      </c>
      <c r="U63" s="46" t="inlineStr">
        <is>
          <t>SAMPLE_IEX_2026-10.xlsx</t>
        </is>
      </c>
      <c r="V63" s="46" t="inlineStr">
        <is>
          <t>Sample row - delete before live use</t>
        </is>
      </c>
    </row>
    <row r="64">
      <c r="A64" s="45" t="n">
        <v>46297</v>
      </c>
      <c r="B64" s="46" t="n">
        <v>0.5416666666666666</v>
      </c>
      <c r="C64" s="46" t="n">
        <v>0.5625</v>
      </c>
      <c r="D64" s="46" t="inlineStr">
        <is>
          <t>1:00 PM - 1:30 PM</t>
        </is>
      </c>
      <c r="E64" s="46" t="inlineStr">
        <is>
          <t>Manila</t>
        </is>
      </c>
      <c r="F64" s="46" t="inlineStr">
        <is>
          <t>CS_Voice_General</t>
        </is>
      </c>
      <c r="G64" s="46" t="inlineStr">
        <is>
          <t>Voice</t>
        </is>
      </c>
      <c r="H64" s="46" t="n">
        <v>35</v>
      </c>
      <c r="I64" s="46" t="n">
        <v>32</v>
      </c>
      <c r="J64" s="46" t="n">
        <v>3</v>
      </c>
      <c r="K64" s="46" t="n">
        <v>1</v>
      </c>
      <c r="L64" s="46" t="n">
        <v>18</v>
      </c>
      <c r="M64" s="46" t="n">
        <v>459.7</v>
      </c>
      <c r="N64" s="46" t="n">
        <v>9709</v>
      </c>
      <c r="O64" s="46" t="n">
        <v>736</v>
      </c>
      <c r="P64" s="46" t="n">
        <v>4266</v>
      </c>
      <c r="Q64" s="46" t="n">
        <v>9.699999999999999</v>
      </c>
      <c r="R64" s="46" t="n">
        <v>10.5</v>
      </c>
      <c r="S64" s="46" t="n">
        <v>0.863</v>
      </c>
      <c r="T64" s="46" t="n">
        <v>180</v>
      </c>
      <c r="U64" s="46" t="inlineStr">
        <is>
          <t>SAMPLE_IEX_2026-10.xlsx</t>
        </is>
      </c>
      <c r="V64" s="46" t="inlineStr">
        <is>
          <t>Sample row - delete before live use</t>
        </is>
      </c>
    </row>
    <row r="65">
      <c r="A65" s="45" t="n">
        <v>46297</v>
      </c>
      <c r="B65" s="46" t="n">
        <v>0.5625</v>
      </c>
      <c r="C65" s="46" t="n">
        <v>0.5833333333333334</v>
      </c>
      <c r="D65" s="46" t="inlineStr">
        <is>
          <t>1:30 PM - 2:00 PM</t>
        </is>
      </c>
      <c r="E65" s="46" t="inlineStr">
        <is>
          <t>Manila</t>
        </is>
      </c>
      <c r="F65" s="46" t="inlineStr">
        <is>
          <t>CS_Voice_General</t>
        </is>
      </c>
      <c r="G65" s="46" t="inlineStr">
        <is>
          <t>Voice</t>
        </is>
      </c>
      <c r="H65" s="46" t="n">
        <v>28</v>
      </c>
      <c r="I65" s="46" t="n">
        <v>24</v>
      </c>
      <c r="J65" s="46" t="n">
        <v>4</v>
      </c>
      <c r="K65" s="46" t="n">
        <v>1</v>
      </c>
      <c r="L65" s="46" t="n">
        <v>8</v>
      </c>
      <c r="M65" s="46" t="n">
        <v>379.5</v>
      </c>
      <c r="N65" s="46" t="n">
        <v>6012</v>
      </c>
      <c r="O65" s="46" t="n">
        <v>455</v>
      </c>
      <c r="P65" s="46" t="n">
        <v>2641</v>
      </c>
      <c r="Q65" s="46" t="n">
        <v>6.4</v>
      </c>
      <c r="R65" s="46" t="n">
        <v>7</v>
      </c>
      <c r="S65" s="46" t="n">
        <v>0.771</v>
      </c>
      <c r="T65" s="46" t="n">
        <v>310</v>
      </c>
      <c r="U65" s="46" t="inlineStr">
        <is>
          <t>SAMPLE_IEX_2026-10.xlsx</t>
        </is>
      </c>
      <c r="V65" s="46" t="inlineStr">
        <is>
          <t>Sample row - delete before live use</t>
        </is>
      </c>
    </row>
    <row r="66">
      <c r="A66" s="45" t="n">
        <v>46297</v>
      </c>
      <c r="B66" s="46" t="n">
        <v>0.3333333333333333</v>
      </c>
      <c r="C66" s="46" t="n">
        <v>0.3541666666666667</v>
      </c>
      <c r="D66" s="46" t="inlineStr">
        <is>
          <t>8:00 AM - 8:30 AM</t>
        </is>
      </c>
      <c r="E66" s="46" t="inlineStr">
        <is>
          <t>Manila</t>
        </is>
      </c>
      <c r="F66" s="46" t="inlineStr">
        <is>
          <t>CS_Voice_Billing</t>
        </is>
      </c>
      <c r="G66" s="46" t="inlineStr">
        <is>
          <t>Voice</t>
        </is>
      </c>
      <c r="H66" s="46" t="n">
        <v>15</v>
      </c>
      <c r="I66" s="46" t="n">
        <v>13</v>
      </c>
      <c r="J66" s="46" t="n">
        <v>2</v>
      </c>
      <c r="K66" s="46" t="n">
        <v>1</v>
      </c>
      <c r="L66" s="46" t="n">
        <v>44</v>
      </c>
      <c r="M66" s="46" t="n">
        <v>413.5</v>
      </c>
      <c r="N66" s="46" t="n">
        <v>3548</v>
      </c>
      <c r="O66" s="46" t="n">
        <v>269</v>
      </c>
      <c r="P66" s="46" t="n">
        <v>1559</v>
      </c>
      <c r="Q66" s="46" t="n">
        <v>3.7</v>
      </c>
      <c r="R66" s="46" t="n">
        <v>3.7</v>
      </c>
      <c r="S66" s="46" t="n">
        <v>0.787</v>
      </c>
      <c r="T66" s="46" t="n">
        <v>310</v>
      </c>
      <c r="U66" s="46" t="inlineStr">
        <is>
          <t>SAMPLE_IEX_2026-10.xlsx</t>
        </is>
      </c>
      <c r="V66" s="46" t="inlineStr">
        <is>
          <t>Sample row - delete before live use</t>
        </is>
      </c>
    </row>
    <row r="67">
      <c r="A67" s="45" t="n">
        <v>46297</v>
      </c>
      <c r="B67" s="46" t="n">
        <v>0.3541666666666667</v>
      </c>
      <c r="C67" s="46" t="n">
        <v>0.375</v>
      </c>
      <c r="D67" s="46" t="inlineStr">
        <is>
          <t>8:30 AM - 9:00 AM</t>
        </is>
      </c>
      <c r="E67" s="46" t="inlineStr">
        <is>
          <t>Manila</t>
        </is>
      </c>
      <c r="F67" s="46" t="inlineStr">
        <is>
          <t>CS_Voice_Billing</t>
        </is>
      </c>
      <c r="G67" s="46" t="inlineStr">
        <is>
          <t>Voice</t>
        </is>
      </c>
      <c r="H67" s="46" t="n">
        <v>21</v>
      </c>
      <c r="I67" s="46" t="n">
        <v>19</v>
      </c>
      <c r="J67" s="46" t="n">
        <v>2</v>
      </c>
      <c r="K67" s="46" t="n">
        <v>1</v>
      </c>
      <c r="L67" s="46" t="n">
        <v>8</v>
      </c>
      <c r="M67" s="46" t="n">
        <v>371.6</v>
      </c>
      <c r="N67" s="46" t="n">
        <v>4660</v>
      </c>
      <c r="O67" s="46" t="n">
        <v>353</v>
      </c>
      <c r="P67" s="46" t="n">
        <v>2048</v>
      </c>
      <c r="Q67" s="46" t="n">
        <v>4.7</v>
      </c>
      <c r="R67" s="46" t="n">
        <v>4.8</v>
      </c>
      <c r="S67" s="46" t="n">
        <v>0.848</v>
      </c>
      <c r="T67" s="46" t="n">
        <v>600</v>
      </c>
      <c r="U67" s="46" t="inlineStr">
        <is>
          <t>SAMPLE_IEX_2026-10.xlsx</t>
        </is>
      </c>
      <c r="V67" s="46" t="inlineStr">
        <is>
          <t>Sample row - delete before live use</t>
        </is>
      </c>
    </row>
    <row r="68">
      <c r="A68" s="45" t="n">
        <v>46297</v>
      </c>
      <c r="B68" s="46" t="n">
        <v>0.375</v>
      </c>
      <c r="C68" s="46" t="n">
        <v>0.3958333333333333</v>
      </c>
      <c r="D68" s="46" t="inlineStr">
        <is>
          <t>9:00 AM - 9:30 AM</t>
        </is>
      </c>
      <c r="E68" s="46" t="inlineStr">
        <is>
          <t>Manila</t>
        </is>
      </c>
      <c r="F68" s="46" t="inlineStr">
        <is>
          <t>CS_Voice_Billing</t>
        </is>
      </c>
      <c r="G68" s="46" t="inlineStr">
        <is>
          <t>Voice</t>
        </is>
      </c>
      <c r="H68" s="46" t="n">
        <v>24</v>
      </c>
      <c r="I68" s="46" t="n">
        <v>21</v>
      </c>
      <c r="J68" s="46" t="n">
        <v>3</v>
      </c>
      <c r="K68" s="46" t="n">
        <v>1</v>
      </c>
      <c r="L68" s="46" t="n">
        <v>24</v>
      </c>
      <c r="M68" s="46" t="n">
        <v>378</v>
      </c>
      <c r="N68" s="46" t="n">
        <v>5239</v>
      </c>
      <c r="O68" s="46" t="n">
        <v>397</v>
      </c>
      <c r="P68" s="46" t="n">
        <v>2302</v>
      </c>
      <c r="Q68" s="46" t="n">
        <v>5.4</v>
      </c>
      <c r="R68" s="46" t="n">
        <v>5.9</v>
      </c>
      <c r="S68" s="46" t="n">
        <v>0.8</v>
      </c>
      <c r="T68" s="46" t="n">
        <v>240</v>
      </c>
      <c r="U68" s="46" t="inlineStr">
        <is>
          <t>SAMPLE_IEX_2026-10.xlsx</t>
        </is>
      </c>
      <c r="V68" s="46" t="inlineStr">
        <is>
          <t>Sample row - delete before live use</t>
        </is>
      </c>
    </row>
    <row r="69">
      <c r="A69" s="45" t="n">
        <v>46297</v>
      </c>
      <c r="B69" s="46" t="n">
        <v>0.3958333333333333</v>
      </c>
      <c r="C69" s="46" t="n">
        <v>0.4166666666666667</v>
      </c>
      <c r="D69" s="46" t="inlineStr">
        <is>
          <t>9:30 AM - 10:00 AM</t>
        </is>
      </c>
      <c r="E69" s="46" t="inlineStr">
        <is>
          <t>Manila</t>
        </is>
      </c>
      <c r="F69" s="46" t="inlineStr">
        <is>
          <t>CS_Voice_Billing</t>
        </is>
      </c>
      <c r="G69" s="46" t="inlineStr">
        <is>
          <t>Voice</t>
        </is>
      </c>
      <c r="H69" s="46" t="n">
        <v>1</v>
      </c>
      <c r="I69" s="46" t="n">
        <v>1</v>
      </c>
      <c r="J69" s="46" t="n">
        <v>0</v>
      </c>
      <c r="K69" s="46" t="n">
        <v>0</v>
      </c>
      <c r="L69" s="46" t="n">
        <v>58</v>
      </c>
      <c r="M69" s="46" t="n">
        <v>463.3</v>
      </c>
      <c r="N69" s="46" t="n">
        <v>7033</v>
      </c>
      <c r="O69" s="46" t="n">
        <v>533</v>
      </c>
      <c r="P69" s="46" t="n">
        <v>3090</v>
      </c>
      <c r="Q69" s="46" t="n">
        <v>7.2</v>
      </c>
      <c r="R69" s="46" t="n">
        <v>7</v>
      </c>
      <c r="S69" s="46" t="n">
        <v>0.8149999999999999</v>
      </c>
      <c r="T69" s="46" t="n">
        <v>180</v>
      </c>
      <c r="U69" s="46" t="inlineStr">
        <is>
          <t>SAMPLE_IEX_2026-10.xlsx</t>
        </is>
      </c>
      <c r="V69" s="46" t="inlineStr">
        <is>
          <t>Sample row - delete before live use</t>
        </is>
      </c>
    </row>
    <row r="70">
      <c r="A70" s="45" t="n">
        <v>46297</v>
      </c>
      <c r="B70" s="46" t="n">
        <v>0.4166666666666667</v>
      </c>
      <c r="C70" s="46" t="n">
        <v>0.4375</v>
      </c>
      <c r="D70" s="46" t="inlineStr">
        <is>
          <t>10:00 AM - 10:30 AM</t>
        </is>
      </c>
      <c r="E70" s="46" t="inlineStr">
        <is>
          <t>Manila</t>
        </is>
      </c>
      <c r="F70" s="46" t="inlineStr">
        <is>
          <t>CS_Voice_Billing</t>
        </is>
      </c>
      <c r="G70" s="46" t="inlineStr">
        <is>
          <t>Voice</t>
        </is>
      </c>
      <c r="H70" s="46" t="n">
        <v>28</v>
      </c>
      <c r="I70" s="46" t="n">
        <v>24</v>
      </c>
      <c r="J70" s="46" t="n">
        <v>4</v>
      </c>
      <c r="K70" s="46" t="n">
        <v>1</v>
      </c>
      <c r="L70" s="46" t="n">
        <v>58</v>
      </c>
      <c r="M70" s="46" t="n">
        <v>345.1</v>
      </c>
      <c r="N70" s="46" t="n">
        <v>5467</v>
      </c>
      <c r="O70" s="46" t="n">
        <v>414</v>
      </c>
      <c r="P70" s="46" t="n">
        <v>2402</v>
      </c>
      <c r="Q70" s="46" t="n">
        <v>5.8</v>
      </c>
      <c r="R70" s="46" t="n">
        <v>5.6</v>
      </c>
      <c r="S70" s="46" t="n">
        <v>0.771</v>
      </c>
      <c r="T70" s="46" t="n">
        <v>180</v>
      </c>
      <c r="U70" s="46" t="inlineStr">
        <is>
          <t>SAMPLE_IEX_2026-10.xlsx</t>
        </is>
      </c>
      <c r="V70" s="46" t="inlineStr">
        <is>
          <t>Sample row - delete before live use</t>
        </is>
      </c>
    </row>
    <row r="71">
      <c r="A71" s="45" t="n">
        <v>46297</v>
      </c>
      <c r="B71" s="46" t="n">
        <v>0.4375</v>
      </c>
      <c r="C71" s="46" t="n">
        <v>0.4583333333333333</v>
      </c>
      <c r="D71" s="46" t="inlineStr">
        <is>
          <t>10:30 AM - 11:00 AM</t>
        </is>
      </c>
      <c r="E71" s="46" t="inlineStr">
        <is>
          <t>Manila</t>
        </is>
      </c>
      <c r="F71" s="46" t="inlineStr">
        <is>
          <t>CS_Voice_Billing</t>
        </is>
      </c>
      <c r="G71" s="46" t="inlineStr">
        <is>
          <t>Voice</t>
        </is>
      </c>
      <c r="H71" s="46" t="n">
        <v>24</v>
      </c>
      <c r="I71" s="46" t="n">
        <v>21</v>
      </c>
      <c r="J71" s="46" t="n">
        <v>3</v>
      </c>
      <c r="K71" s="46" t="n">
        <v>1</v>
      </c>
      <c r="L71" s="46" t="n">
        <v>58</v>
      </c>
      <c r="M71" s="46" t="n">
        <v>371.8</v>
      </c>
      <c r="N71" s="46" t="n">
        <v>5153</v>
      </c>
      <c r="O71" s="46" t="n">
        <v>390</v>
      </c>
      <c r="P71" s="46" t="n">
        <v>2264</v>
      </c>
      <c r="Q71" s="46" t="n">
        <v>5.4</v>
      </c>
      <c r="R71" s="46" t="n">
        <v>6.1</v>
      </c>
      <c r="S71" s="46" t="n">
        <v>0.8</v>
      </c>
      <c r="T71" s="46" t="n">
        <v>240</v>
      </c>
      <c r="U71" s="46" t="inlineStr">
        <is>
          <t>SAMPLE_IEX_2026-10.xlsx</t>
        </is>
      </c>
      <c r="V71" s="46" t="inlineStr">
        <is>
          <t>Sample row - delete before live use</t>
        </is>
      </c>
    </row>
    <row r="72">
      <c r="A72" s="45" t="n">
        <v>46297</v>
      </c>
      <c r="B72" s="46" t="n">
        <v>0.4583333333333333</v>
      </c>
      <c r="C72" s="46" t="n">
        <v>0.4791666666666667</v>
      </c>
      <c r="D72" s="46" t="inlineStr">
        <is>
          <t>11:00 AM - 11:30 AM</t>
        </is>
      </c>
      <c r="E72" s="46" t="inlineStr">
        <is>
          <t>Manila</t>
        </is>
      </c>
      <c r="F72" s="46" t="inlineStr">
        <is>
          <t>CS_Voice_Billing</t>
        </is>
      </c>
      <c r="G72" s="46" t="inlineStr">
        <is>
          <t>Voice</t>
        </is>
      </c>
      <c r="H72" s="46" t="n">
        <v>23</v>
      </c>
      <c r="I72" s="46" t="n">
        <v>21</v>
      </c>
      <c r="J72" s="46" t="n">
        <v>2</v>
      </c>
      <c r="K72" s="46" t="n">
        <v>1</v>
      </c>
      <c r="L72" s="46" t="n">
        <v>18</v>
      </c>
      <c r="M72" s="46" t="n">
        <v>387.5</v>
      </c>
      <c r="N72" s="46" t="n">
        <v>5371</v>
      </c>
      <c r="O72" s="46" t="n">
        <v>407</v>
      </c>
      <c r="P72" s="46" t="n">
        <v>2360</v>
      </c>
      <c r="Q72" s="46" t="n">
        <v>5.3</v>
      </c>
      <c r="R72" s="46" t="n">
        <v>5.6</v>
      </c>
      <c r="S72" s="46" t="n">
        <v>0.861</v>
      </c>
      <c r="T72" s="46" t="n">
        <v>120</v>
      </c>
      <c r="U72" s="46" t="inlineStr">
        <is>
          <t>SAMPLE_IEX_2026-10.xlsx</t>
        </is>
      </c>
      <c r="V72" s="46" t="inlineStr">
        <is>
          <t>Sample row - delete before live use</t>
        </is>
      </c>
    </row>
    <row r="73">
      <c r="A73" s="45" t="n">
        <v>46297</v>
      </c>
      <c r="B73" s="46" t="n">
        <v>0.4791666666666667</v>
      </c>
      <c r="C73" s="46" t="n">
        <v>0.5</v>
      </c>
      <c r="D73" s="46" t="inlineStr">
        <is>
          <t>11:30 AM - 12:00 PM</t>
        </is>
      </c>
      <c r="E73" s="46" t="inlineStr">
        <is>
          <t>Manila</t>
        </is>
      </c>
      <c r="F73" s="46" t="inlineStr">
        <is>
          <t>CS_Voice_Billing</t>
        </is>
      </c>
      <c r="G73" s="46" t="inlineStr">
        <is>
          <t>Voice</t>
        </is>
      </c>
      <c r="H73" s="46" t="n">
        <v>21</v>
      </c>
      <c r="I73" s="46" t="n">
        <v>19</v>
      </c>
      <c r="J73" s="46" t="n">
        <v>2</v>
      </c>
      <c r="K73" s="46" t="n">
        <v>1</v>
      </c>
      <c r="L73" s="46" t="n">
        <v>18</v>
      </c>
      <c r="M73" s="46" t="n">
        <v>331.2</v>
      </c>
      <c r="N73" s="46" t="n">
        <v>4153</v>
      </c>
      <c r="O73" s="46" t="n">
        <v>315</v>
      </c>
      <c r="P73" s="46" t="n">
        <v>1825</v>
      </c>
      <c r="Q73" s="46" t="n">
        <v>4.2</v>
      </c>
      <c r="R73" s="46" t="n">
        <v>4.7</v>
      </c>
      <c r="S73" s="46" t="n">
        <v>0.848</v>
      </c>
      <c r="T73" s="46" t="n">
        <v>120</v>
      </c>
      <c r="U73" s="46" t="inlineStr">
        <is>
          <t>SAMPLE_IEX_2026-10.xlsx</t>
        </is>
      </c>
      <c r="V73" s="46" t="inlineStr">
        <is>
          <t>Sample row - delete before live use</t>
        </is>
      </c>
    </row>
    <row r="74">
      <c r="A74" s="45" t="n">
        <v>46297</v>
      </c>
      <c r="B74" s="46" t="n">
        <v>0.5</v>
      </c>
      <c r="C74" s="46" t="n">
        <v>0.5208333333333334</v>
      </c>
      <c r="D74" s="46" t="inlineStr">
        <is>
          <t>12:00 PM - 12:30 PM</t>
        </is>
      </c>
      <c r="E74" s="46" t="inlineStr">
        <is>
          <t>Manila</t>
        </is>
      </c>
      <c r="F74" s="46" t="inlineStr">
        <is>
          <t>CS_Voice_Billing</t>
        </is>
      </c>
      <c r="G74" s="46" t="inlineStr">
        <is>
          <t>Voice</t>
        </is>
      </c>
      <c r="H74" s="46" t="n">
        <v>21</v>
      </c>
      <c r="I74" s="46" t="n">
        <v>19</v>
      </c>
      <c r="J74" s="46" t="n">
        <v>2</v>
      </c>
      <c r="K74" s="46" t="n">
        <v>1</v>
      </c>
      <c r="L74" s="46" t="n">
        <v>8</v>
      </c>
      <c r="M74" s="46" t="n">
        <v>314.2</v>
      </c>
      <c r="N74" s="46" t="n">
        <v>3941</v>
      </c>
      <c r="O74" s="46" t="n">
        <v>299</v>
      </c>
      <c r="P74" s="46" t="n">
        <v>1731</v>
      </c>
      <c r="Q74" s="46" t="n">
        <v>4</v>
      </c>
      <c r="R74" s="46" t="n">
        <v>4.5</v>
      </c>
      <c r="S74" s="46" t="n">
        <v>0.848</v>
      </c>
      <c r="T74" s="46" t="n">
        <v>240</v>
      </c>
      <c r="U74" s="46" t="inlineStr">
        <is>
          <t>SAMPLE_IEX_2026-10.xlsx</t>
        </is>
      </c>
      <c r="V74" s="46" t="inlineStr">
        <is>
          <t>Sample row - delete before live use</t>
        </is>
      </c>
    </row>
    <row r="75">
      <c r="A75" s="45" t="n">
        <v>46297</v>
      </c>
      <c r="B75" s="46" t="n">
        <v>0.5208333333333334</v>
      </c>
      <c r="C75" s="46" t="n">
        <v>0.5416666666666666</v>
      </c>
      <c r="D75" s="46" t="inlineStr">
        <is>
          <t>12:30 PM - 1:00 PM</t>
        </is>
      </c>
      <c r="E75" s="46" t="inlineStr">
        <is>
          <t>Manila</t>
        </is>
      </c>
      <c r="F75" s="46" t="inlineStr">
        <is>
          <t>CS_Voice_Billing</t>
        </is>
      </c>
      <c r="G75" s="46" t="inlineStr">
        <is>
          <t>Voice</t>
        </is>
      </c>
      <c r="H75" s="46" t="n">
        <v>24</v>
      </c>
      <c r="I75" s="46" t="n">
        <v>21</v>
      </c>
      <c r="J75" s="46" t="n">
        <v>3</v>
      </c>
      <c r="K75" s="46" t="n">
        <v>1</v>
      </c>
      <c r="L75" s="46" t="n">
        <v>18</v>
      </c>
      <c r="M75" s="46" t="n">
        <v>357.7</v>
      </c>
      <c r="N75" s="46" t="n">
        <v>4957</v>
      </c>
      <c r="O75" s="46" t="n">
        <v>376</v>
      </c>
      <c r="P75" s="46" t="n">
        <v>2178</v>
      </c>
      <c r="Q75" s="46" t="n">
        <v>5.2</v>
      </c>
      <c r="R75" s="46" t="n">
        <v>5.5</v>
      </c>
      <c r="S75" s="46" t="n">
        <v>0.8</v>
      </c>
      <c r="T75" s="46" t="n">
        <v>420</v>
      </c>
      <c r="U75" s="46" t="inlineStr">
        <is>
          <t>SAMPLE_IEX_2026-10.xlsx</t>
        </is>
      </c>
      <c r="V75" s="46" t="inlineStr">
        <is>
          <t>Sample row - delete before live use</t>
        </is>
      </c>
    </row>
    <row r="76">
      <c r="A76" s="45" t="n">
        <v>46297</v>
      </c>
      <c r="B76" s="46" t="n">
        <v>0.5416666666666666</v>
      </c>
      <c r="C76" s="46" t="n">
        <v>0.5625</v>
      </c>
      <c r="D76" s="46" t="inlineStr">
        <is>
          <t>1:00 PM - 1:30 PM</t>
        </is>
      </c>
      <c r="E76" s="46" t="inlineStr">
        <is>
          <t>Manila</t>
        </is>
      </c>
      <c r="F76" s="46" t="inlineStr">
        <is>
          <t>CS_Voice_Billing</t>
        </is>
      </c>
      <c r="G76" s="46" t="inlineStr">
        <is>
          <t>Voice</t>
        </is>
      </c>
      <c r="H76" s="46" t="n">
        <v>22</v>
      </c>
      <c r="I76" s="46" t="n">
        <v>20</v>
      </c>
      <c r="J76" s="46" t="n">
        <v>2</v>
      </c>
      <c r="K76" s="46" t="n">
        <v>1</v>
      </c>
      <c r="L76" s="46" t="n">
        <v>12</v>
      </c>
      <c r="M76" s="46" t="n">
        <v>340.5</v>
      </c>
      <c r="N76" s="46" t="n">
        <v>4495</v>
      </c>
      <c r="O76" s="46" t="n">
        <v>341</v>
      </c>
      <c r="P76" s="46" t="n">
        <v>1975</v>
      </c>
      <c r="Q76" s="46" t="n">
        <v>4.5</v>
      </c>
      <c r="R76" s="46" t="n">
        <v>4.4</v>
      </c>
      <c r="S76" s="46" t="n">
        <v>0.855</v>
      </c>
      <c r="T76" s="46" t="n">
        <v>240</v>
      </c>
      <c r="U76" s="46" t="inlineStr">
        <is>
          <t>SAMPLE_IEX_2026-10.xlsx</t>
        </is>
      </c>
      <c r="V76" s="46" t="inlineStr">
        <is>
          <t>Sample row - delete before live use</t>
        </is>
      </c>
    </row>
    <row r="77">
      <c r="A77" s="45" t="n">
        <v>46297</v>
      </c>
      <c r="B77" s="46" t="n">
        <v>0.5625</v>
      </c>
      <c r="C77" s="46" t="n">
        <v>0.5833333333333334</v>
      </c>
      <c r="D77" s="46" t="inlineStr">
        <is>
          <t>1:30 PM - 2:00 PM</t>
        </is>
      </c>
      <c r="E77" s="46" t="inlineStr">
        <is>
          <t>Manila</t>
        </is>
      </c>
      <c r="F77" s="46" t="inlineStr">
        <is>
          <t>CS_Voice_Billing</t>
        </is>
      </c>
      <c r="G77" s="46" t="inlineStr">
        <is>
          <t>Voice</t>
        </is>
      </c>
      <c r="H77" s="46" t="n">
        <v>17</v>
      </c>
      <c r="I77" s="46" t="n">
        <v>15</v>
      </c>
      <c r="J77" s="46" t="n">
        <v>2</v>
      </c>
      <c r="K77" s="46" t="n">
        <v>1</v>
      </c>
      <c r="L77" s="46" t="n">
        <v>58</v>
      </c>
      <c r="M77" s="46" t="n">
        <v>353</v>
      </c>
      <c r="N77" s="46" t="n">
        <v>3495</v>
      </c>
      <c r="O77" s="46" t="n">
        <v>265</v>
      </c>
      <c r="P77" s="46" t="n">
        <v>1536</v>
      </c>
      <c r="Q77" s="46" t="n">
        <v>3.6</v>
      </c>
      <c r="R77" s="46" t="n">
        <v>3.6</v>
      </c>
      <c r="S77" s="46" t="n">
        <v>0.8120000000000001</v>
      </c>
      <c r="T77" s="46" t="n">
        <v>180</v>
      </c>
      <c r="U77" s="46" t="inlineStr">
        <is>
          <t>SAMPLE_IEX_2026-10.xlsx</t>
        </is>
      </c>
      <c r="V77" s="46" t="inlineStr">
        <is>
          <t>Sample row - delete before live use</t>
        </is>
      </c>
    </row>
    <row r="78">
      <c r="A78" s="45" t="n">
        <v>46297</v>
      </c>
      <c r="B78" s="46" t="n">
        <v>0.3333333333333333</v>
      </c>
      <c r="C78" s="46" t="n">
        <v>0.3541666666666667</v>
      </c>
      <c r="D78" s="46" t="inlineStr">
        <is>
          <t>8:00 AM - 8:30 AM</t>
        </is>
      </c>
      <c r="E78" s="46" t="inlineStr">
        <is>
          <t>Manila</t>
        </is>
      </c>
      <c r="F78" s="46" t="inlineStr">
        <is>
          <t>Tech_Support</t>
        </is>
      </c>
      <c r="G78" s="46" t="inlineStr">
        <is>
          <t>Voice</t>
        </is>
      </c>
      <c r="H78" s="46" t="n">
        <v>9</v>
      </c>
      <c r="I78" s="46" t="n">
        <v>8</v>
      </c>
      <c r="J78" s="46" t="n">
        <v>1</v>
      </c>
      <c r="K78" s="46" t="n">
        <v>0</v>
      </c>
      <c r="L78" s="46" t="n">
        <v>8</v>
      </c>
      <c r="M78" s="46" t="n">
        <v>330.2</v>
      </c>
      <c r="N78" s="46" t="n">
        <v>1744</v>
      </c>
      <c r="O78" s="46" t="n">
        <v>132</v>
      </c>
      <c r="P78" s="46" t="n">
        <v>766</v>
      </c>
      <c r="Q78" s="46" t="n">
        <v>1.8</v>
      </c>
      <c r="R78" s="46" t="n">
        <v>1.8</v>
      </c>
      <c r="S78" s="46" t="n">
        <v>0.822</v>
      </c>
      <c r="T78" s="46" t="n">
        <v>240</v>
      </c>
      <c r="U78" s="46" t="inlineStr">
        <is>
          <t>SAMPLE_IEX_2026-10.xlsx</t>
        </is>
      </c>
      <c r="V78" s="46" t="inlineStr">
        <is>
          <t>Sample row - delete before live use</t>
        </is>
      </c>
    </row>
    <row r="79">
      <c r="A79" s="45" t="n">
        <v>46297</v>
      </c>
      <c r="B79" s="46" t="n">
        <v>0.3541666666666667</v>
      </c>
      <c r="C79" s="46" t="n">
        <v>0.375</v>
      </c>
      <c r="D79" s="46" t="inlineStr">
        <is>
          <t>8:30 AM - 9:00 AM</t>
        </is>
      </c>
      <c r="E79" s="46" t="inlineStr">
        <is>
          <t>Manila</t>
        </is>
      </c>
      <c r="F79" s="46" t="inlineStr">
        <is>
          <t>Tech_Support</t>
        </is>
      </c>
      <c r="G79" s="46" t="inlineStr">
        <is>
          <t>Voice</t>
        </is>
      </c>
      <c r="H79" s="46" t="n">
        <v>12</v>
      </c>
      <c r="I79" s="46" t="n">
        <v>10</v>
      </c>
      <c r="J79" s="46" t="n">
        <v>2</v>
      </c>
      <c r="K79" s="46" t="n">
        <v>1</v>
      </c>
      <c r="L79" s="46" t="n">
        <v>31</v>
      </c>
      <c r="M79" s="46" t="n">
        <v>386</v>
      </c>
      <c r="N79" s="46" t="n">
        <v>2547</v>
      </c>
      <c r="O79" s="46" t="n">
        <v>193</v>
      </c>
      <c r="P79" s="46" t="n">
        <v>1119</v>
      </c>
      <c r="Q79" s="46" t="n">
        <v>2.8</v>
      </c>
      <c r="R79" s="46" t="n">
        <v>3.2</v>
      </c>
      <c r="S79" s="46" t="n">
        <v>0.733</v>
      </c>
      <c r="T79" s="46" t="n">
        <v>310</v>
      </c>
      <c r="U79" s="46" t="inlineStr">
        <is>
          <t>SAMPLE_IEX_2026-10.xlsx</t>
        </is>
      </c>
      <c r="V79" s="46" t="inlineStr">
        <is>
          <t>Sample row - delete before live use</t>
        </is>
      </c>
    </row>
    <row r="80">
      <c r="A80" s="45" t="n">
        <v>46297</v>
      </c>
      <c r="B80" s="46" t="n">
        <v>0.375</v>
      </c>
      <c r="C80" s="46" t="n">
        <v>0.3958333333333333</v>
      </c>
      <c r="D80" s="46" t="inlineStr">
        <is>
          <t>9:00 AM - 9:30 AM</t>
        </is>
      </c>
      <c r="E80" s="46" t="inlineStr">
        <is>
          <t>Manila</t>
        </is>
      </c>
      <c r="F80" s="46" t="inlineStr">
        <is>
          <t>Tech_Support</t>
        </is>
      </c>
      <c r="G80" s="46" t="inlineStr">
        <is>
          <t>Voice</t>
        </is>
      </c>
      <c r="H80" s="46" t="n">
        <v>16</v>
      </c>
      <c r="I80" s="46" t="n">
        <v>14</v>
      </c>
      <c r="J80" s="46" t="n">
        <v>2</v>
      </c>
      <c r="K80" s="46" t="n">
        <v>1</v>
      </c>
      <c r="L80" s="46" t="n">
        <v>44</v>
      </c>
      <c r="M80" s="46" t="n">
        <v>411.9</v>
      </c>
      <c r="N80" s="46" t="n">
        <v>3806</v>
      </c>
      <c r="O80" s="46" t="n">
        <v>288</v>
      </c>
      <c r="P80" s="46" t="n">
        <v>1672</v>
      </c>
      <c r="Q80" s="46" t="n">
        <v>4</v>
      </c>
      <c r="R80" s="46" t="n">
        <v>4.3</v>
      </c>
      <c r="S80" s="46" t="n">
        <v>0.8</v>
      </c>
      <c r="T80" s="46" t="n">
        <v>310</v>
      </c>
      <c r="U80" s="46" t="inlineStr">
        <is>
          <t>SAMPLE_IEX_2026-10.xlsx</t>
        </is>
      </c>
      <c r="V80" s="46" t="inlineStr">
        <is>
          <t>Sample row - delete before live use</t>
        </is>
      </c>
    </row>
    <row r="81">
      <c r="A81" s="45" t="n">
        <v>46297</v>
      </c>
      <c r="B81" s="46" t="n">
        <v>0.3958333333333333</v>
      </c>
      <c r="C81" s="46" t="n">
        <v>0.4166666666666667</v>
      </c>
      <c r="D81" s="46" t="inlineStr">
        <is>
          <t>9:30 AM - 10:00 AM</t>
        </is>
      </c>
      <c r="E81" s="46" t="inlineStr">
        <is>
          <t>Manila</t>
        </is>
      </c>
      <c r="F81" s="46" t="inlineStr">
        <is>
          <t>Tech_Support</t>
        </is>
      </c>
      <c r="G81" s="46" t="inlineStr">
        <is>
          <t>Voice</t>
        </is>
      </c>
      <c r="H81" s="46" t="n">
        <v>18</v>
      </c>
      <c r="I81" s="46" t="n">
        <v>17</v>
      </c>
      <c r="J81" s="46" t="n">
        <v>1</v>
      </c>
      <c r="K81" s="46" t="n">
        <v>0</v>
      </c>
      <c r="L81" s="46" t="n">
        <v>12</v>
      </c>
      <c r="M81" s="46" t="n">
        <v>465</v>
      </c>
      <c r="N81" s="46" t="n">
        <v>5217</v>
      </c>
      <c r="O81" s="46" t="n">
        <v>395</v>
      </c>
      <c r="P81" s="46" t="n">
        <v>2292</v>
      </c>
      <c r="Q81" s="46" t="n">
        <v>5</v>
      </c>
      <c r="R81" s="46" t="n">
        <v>5.1</v>
      </c>
      <c r="S81" s="46" t="n">
        <v>0.911</v>
      </c>
      <c r="T81" s="46" t="n">
        <v>180</v>
      </c>
      <c r="U81" s="46" t="inlineStr">
        <is>
          <t>SAMPLE_IEX_2026-10.xlsx</t>
        </is>
      </c>
      <c r="V81" s="46" t="inlineStr">
        <is>
          <t>Sample row - delete before live use</t>
        </is>
      </c>
    </row>
    <row r="82">
      <c r="A82" s="45" t="n">
        <v>46297</v>
      </c>
      <c r="B82" s="46" t="n">
        <v>0.4166666666666667</v>
      </c>
      <c r="C82" s="46" t="n">
        <v>0.4375</v>
      </c>
      <c r="D82" s="46" t="inlineStr">
        <is>
          <t>10:00 AM - 10:30 AM</t>
        </is>
      </c>
      <c r="E82" s="46" t="inlineStr">
        <is>
          <t>Manila</t>
        </is>
      </c>
      <c r="F82" s="46" t="inlineStr">
        <is>
          <t>Tech_Support</t>
        </is>
      </c>
      <c r="G82" s="46" t="inlineStr">
        <is>
          <t>Voice</t>
        </is>
      </c>
      <c r="H82" s="46" t="n">
        <v>17</v>
      </c>
      <c r="I82" s="46" t="n">
        <v>16</v>
      </c>
      <c r="J82" s="46" t="n">
        <v>1</v>
      </c>
      <c r="K82" s="46" t="n">
        <v>0</v>
      </c>
      <c r="L82" s="46" t="n">
        <v>24</v>
      </c>
      <c r="M82" s="46" t="n">
        <v>420.1</v>
      </c>
      <c r="N82" s="46" t="n">
        <v>4437</v>
      </c>
      <c r="O82" s="46" t="n">
        <v>336</v>
      </c>
      <c r="P82" s="46" t="n">
        <v>1949</v>
      </c>
      <c r="Q82" s="46" t="n">
        <v>4.3</v>
      </c>
      <c r="R82" s="46" t="n">
        <v>4.6</v>
      </c>
      <c r="S82" s="46" t="n">
        <v>0.906</v>
      </c>
      <c r="T82" s="46" t="n">
        <v>240</v>
      </c>
      <c r="U82" s="46" t="inlineStr">
        <is>
          <t>SAMPLE_IEX_2026-10.xlsx</t>
        </is>
      </c>
      <c r="V82" s="46" t="inlineStr">
        <is>
          <t>Sample row - delete before live use</t>
        </is>
      </c>
    </row>
    <row r="83">
      <c r="A83" s="45" t="n">
        <v>46297</v>
      </c>
      <c r="B83" s="46" t="n">
        <v>0.4375</v>
      </c>
      <c r="C83" s="46" t="n">
        <v>0.4583333333333333</v>
      </c>
      <c r="D83" s="46" t="inlineStr">
        <is>
          <t>10:30 AM - 11:00 AM</t>
        </is>
      </c>
      <c r="E83" s="46" t="inlineStr">
        <is>
          <t>Manila</t>
        </is>
      </c>
      <c r="F83" s="46" t="inlineStr">
        <is>
          <t>Tech_Support</t>
        </is>
      </c>
      <c r="G83" s="46" t="inlineStr">
        <is>
          <t>Voice</t>
        </is>
      </c>
      <c r="H83" s="46" t="n">
        <v>19</v>
      </c>
      <c r="I83" s="46" t="n">
        <v>18</v>
      </c>
      <c r="J83" s="46" t="n">
        <v>1</v>
      </c>
      <c r="K83" s="46" t="n">
        <v>0</v>
      </c>
      <c r="L83" s="46" t="n">
        <v>18</v>
      </c>
      <c r="M83" s="46" t="n">
        <v>302.4</v>
      </c>
      <c r="N83" s="46" t="n">
        <v>3593</v>
      </c>
      <c r="O83" s="46" t="n">
        <v>272</v>
      </c>
      <c r="P83" s="46" t="n">
        <v>1579</v>
      </c>
      <c r="Q83" s="46" t="n">
        <v>3.4</v>
      </c>
      <c r="R83" s="46" t="n">
        <v>3.7</v>
      </c>
      <c r="S83" s="46" t="n">
        <v>0.916</v>
      </c>
      <c r="T83" s="46" t="n">
        <v>310</v>
      </c>
      <c r="U83" s="46" t="inlineStr">
        <is>
          <t>SAMPLE_IEX_2026-10.xlsx</t>
        </is>
      </c>
      <c r="V83" s="46" t="inlineStr">
        <is>
          <t>Sample row - delete before live use</t>
        </is>
      </c>
    </row>
    <row r="84">
      <c r="A84" s="45" t="n">
        <v>46297</v>
      </c>
      <c r="B84" s="46" t="n">
        <v>0.4583333333333333</v>
      </c>
      <c r="C84" s="46" t="n">
        <v>0.4791666666666667</v>
      </c>
      <c r="D84" s="46" t="inlineStr">
        <is>
          <t>11:00 AM - 11:30 AM</t>
        </is>
      </c>
      <c r="E84" s="46" t="inlineStr">
        <is>
          <t>Manila</t>
        </is>
      </c>
      <c r="F84" s="46" t="inlineStr">
        <is>
          <t>Tech_Support</t>
        </is>
      </c>
      <c r="G84" s="46" t="inlineStr">
        <is>
          <t>Voice</t>
        </is>
      </c>
      <c r="H84" s="46" t="n">
        <v>15</v>
      </c>
      <c r="I84" s="46" t="n">
        <v>13</v>
      </c>
      <c r="J84" s="46" t="n">
        <v>2</v>
      </c>
      <c r="K84" s="46" t="n">
        <v>1</v>
      </c>
      <c r="L84" s="46" t="n">
        <v>44</v>
      </c>
      <c r="M84" s="46" t="n">
        <v>443</v>
      </c>
      <c r="N84" s="46" t="n">
        <v>3801</v>
      </c>
      <c r="O84" s="46" t="n">
        <v>288</v>
      </c>
      <c r="P84" s="46" t="n">
        <v>1670</v>
      </c>
      <c r="Q84" s="46" t="n">
        <v>4</v>
      </c>
      <c r="R84" s="46" t="n">
        <v>4.5</v>
      </c>
      <c r="S84" s="46" t="n">
        <v>0.787</v>
      </c>
      <c r="T84" s="46" t="n">
        <v>240</v>
      </c>
      <c r="U84" s="46" t="inlineStr">
        <is>
          <t>SAMPLE_IEX_2026-10.xlsx</t>
        </is>
      </c>
      <c r="V84" s="46" t="inlineStr">
        <is>
          <t>Sample row - delete before live use</t>
        </is>
      </c>
    </row>
    <row r="85">
      <c r="A85" s="45" t="n">
        <v>46297</v>
      </c>
      <c r="B85" s="46" t="n">
        <v>0.4791666666666667</v>
      </c>
      <c r="C85" s="46" t="n">
        <v>0.5</v>
      </c>
      <c r="D85" s="46" t="inlineStr">
        <is>
          <t>11:30 AM - 12:00 PM</t>
        </is>
      </c>
      <c r="E85" s="46" t="inlineStr">
        <is>
          <t>Manila</t>
        </is>
      </c>
      <c r="F85" s="46" t="inlineStr">
        <is>
          <t>Tech_Support</t>
        </is>
      </c>
      <c r="G85" s="46" t="inlineStr">
        <is>
          <t>Voice</t>
        </is>
      </c>
      <c r="H85" s="46" t="n">
        <v>16</v>
      </c>
      <c r="I85" s="46" t="n">
        <v>15</v>
      </c>
      <c r="J85" s="46" t="n">
        <v>1</v>
      </c>
      <c r="K85" s="46" t="n">
        <v>0</v>
      </c>
      <c r="L85" s="46" t="n">
        <v>18</v>
      </c>
      <c r="M85" s="46" t="n">
        <v>307.7</v>
      </c>
      <c r="N85" s="46" t="n">
        <v>3046</v>
      </c>
      <c r="O85" s="46" t="n">
        <v>231</v>
      </c>
      <c r="P85" s="46" t="n">
        <v>1338</v>
      </c>
      <c r="Q85" s="46" t="n">
        <v>3</v>
      </c>
      <c r="R85" s="46" t="n">
        <v>3</v>
      </c>
      <c r="S85" s="46" t="n">
        <v>0.9</v>
      </c>
      <c r="T85" s="46" t="n">
        <v>310</v>
      </c>
      <c r="U85" s="46" t="inlineStr">
        <is>
          <t>SAMPLE_IEX_2026-10.xlsx</t>
        </is>
      </c>
      <c r="V85" s="46" t="inlineStr">
        <is>
          <t>Sample row - delete before live use</t>
        </is>
      </c>
    </row>
    <row r="86">
      <c r="A86" s="45" t="n">
        <v>46297</v>
      </c>
      <c r="B86" s="46" t="n">
        <v>0.5</v>
      </c>
      <c r="C86" s="46" t="n">
        <v>0.5208333333333334</v>
      </c>
      <c r="D86" s="46" t="inlineStr">
        <is>
          <t>12:00 PM - 12:30 PM</t>
        </is>
      </c>
      <c r="E86" s="46" t="inlineStr">
        <is>
          <t>Manila</t>
        </is>
      </c>
      <c r="F86" s="46" t="inlineStr">
        <is>
          <t>Tech_Support</t>
        </is>
      </c>
      <c r="G86" s="46" t="inlineStr">
        <is>
          <t>Voice</t>
        </is>
      </c>
      <c r="H86" s="46" t="n">
        <v>13</v>
      </c>
      <c r="I86" s="46" t="n">
        <v>11</v>
      </c>
      <c r="J86" s="46" t="n">
        <v>2</v>
      </c>
      <c r="K86" s="46" t="n">
        <v>1</v>
      </c>
      <c r="L86" s="46" t="n">
        <v>18</v>
      </c>
      <c r="M86" s="46" t="n">
        <v>355.9</v>
      </c>
      <c r="N86" s="46" t="n">
        <v>2584</v>
      </c>
      <c r="O86" s="46" t="n">
        <v>196</v>
      </c>
      <c r="P86" s="46" t="n">
        <v>1135</v>
      </c>
      <c r="Q86" s="46" t="n">
        <v>2.8</v>
      </c>
      <c r="R86" s="46" t="n">
        <v>3.2</v>
      </c>
      <c r="S86" s="46" t="n">
        <v>0.754</v>
      </c>
      <c r="T86" s="46" t="n">
        <v>180</v>
      </c>
      <c r="U86" s="46" t="inlineStr">
        <is>
          <t>SAMPLE_IEX_2026-10.xlsx</t>
        </is>
      </c>
      <c r="V86" s="46" t="inlineStr">
        <is>
          <t>Sample row - delete before live use</t>
        </is>
      </c>
    </row>
    <row r="87">
      <c r="A87" s="45" t="n">
        <v>46297</v>
      </c>
      <c r="B87" s="46" t="n">
        <v>0.5208333333333334</v>
      </c>
      <c r="C87" s="46" t="n">
        <v>0.5416666666666666</v>
      </c>
      <c r="D87" s="46" t="inlineStr">
        <is>
          <t>12:30 PM - 1:00 PM</t>
        </is>
      </c>
      <c r="E87" s="46" t="inlineStr">
        <is>
          <t>Manila</t>
        </is>
      </c>
      <c r="F87" s="46" t="inlineStr">
        <is>
          <t>Tech_Support</t>
        </is>
      </c>
      <c r="G87" s="46" t="inlineStr">
        <is>
          <t>Voice</t>
        </is>
      </c>
      <c r="H87" s="46" t="n">
        <v>14</v>
      </c>
      <c r="I87" s="46" t="n">
        <v>13</v>
      </c>
      <c r="J87" s="46" t="n">
        <v>1</v>
      </c>
      <c r="K87" s="46" t="n">
        <v>0</v>
      </c>
      <c r="L87" s="46" t="n">
        <v>18</v>
      </c>
      <c r="M87" s="46" t="n">
        <v>337</v>
      </c>
      <c r="N87" s="46" t="n">
        <v>2892</v>
      </c>
      <c r="O87" s="46" t="n">
        <v>219</v>
      </c>
      <c r="P87" s="46" t="n">
        <v>1271</v>
      </c>
      <c r="Q87" s="46" t="n">
        <v>2.8</v>
      </c>
      <c r="R87" s="46" t="n">
        <v>2.8</v>
      </c>
      <c r="S87" s="46" t="n">
        <v>0.886</v>
      </c>
      <c r="T87" s="46" t="n">
        <v>310</v>
      </c>
      <c r="U87" s="46" t="inlineStr">
        <is>
          <t>SAMPLE_IEX_2026-10.xlsx</t>
        </is>
      </c>
      <c r="V87" s="46" t="inlineStr">
        <is>
          <t>Sample row - delete before live use</t>
        </is>
      </c>
    </row>
    <row r="88">
      <c r="A88" s="45" t="n">
        <v>46297</v>
      </c>
      <c r="B88" s="46" t="n">
        <v>0.5416666666666666</v>
      </c>
      <c r="C88" s="46" t="n">
        <v>0.5625</v>
      </c>
      <c r="D88" s="46" t="inlineStr">
        <is>
          <t>1:00 PM - 1:30 PM</t>
        </is>
      </c>
      <c r="E88" s="46" t="inlineStr">
        <is>
          <t>Manila</t>
        </is>
      </c>
      <c r="F88" s="46" t="inlineStr">
        <is>
          <t>Tech_Support</t>
        </is>
      </c>
      <c r="G88" s="46" t="inlineStr">
        <is>
          <t>Voice</t>
        </is>
      </c>
      <c r="H88" s="46" t="n">
        <v>15</v>
      </c>
      <c r="I88" s="46" t="n">
        <v>13</v>
      </c>
      <c r="J88" s="46" t="n">
        <v>2</v>
      </c>
      <c r="K88" s="46" t="n">
        <v>1</v>
      </c>
      <c r="L88" s="46" t="n">
        <v>58</v>
      </c>
      <c r="M88" s="46" t="n">
        <v>411.5</v>
      </c>
      <c r="N88" s="46" t="n">
        <v>3531</v>
      </c>
      <c r="O88" s="46" t="n">
        <v>267</v>
      </c>
      <c r="P88" s="46" t="n">
        <v>1551</v>
      </c>
      <c r="Q88" s="46" t="n">
        <v>3.7</v>
      </c>
      <c r="R88" s="46" t="n">
        <v>3.7</v>
      </c>
      <c r="S88" s="46" t="n">
        <v>0.787</v>
      </c>
      <c r="T88" s="46" t="n">
        <v>120</v>
      </c>
      <c r="U88" s="46" t="inlineStr">
        <is>
          <t>SAMPLE_IEX_2026-10.xlsx</t>
        </is>
      </c>
      <c r="V88" s="46" t="inlineStr">
        <is>
          <t>Sample row - delete before live use</t>
        </is>
      </c>
    </row>
    <row r="89">
      <c r="A89" s="45" t="n">
        <v>46297</v>
      </c>
      <c r="B89" s="46" t="n">
        <v>0.5625</v>
      </c>
      <c r="C89" s="46" t="n">
        <v>0.5833333333333334</v>
      </c>
      <c r="D89" s="46" t="inlineStr">
        <is>
          <t>1:30 PM - 2:00 PM</t>
        </is>
      </c>
      <c r="E89" s="46" t="inlineStr">
        <is>
          <t>Manila</t>
        </is>
      </c>
      <c r="F89" s="46" t="inlineStr">
        <is>
          <t>Tech_Support</t>
        </is>
      </c>
      <c r="G89" s="46" t="inlineStr">
        <is>
          <t>Voice</t>
        </is>
      </c>
      <c r="H89" s="46" t="n">
        <v>12</v>
      </c>
      <c r="I89" s="46" t="n">
        <v>11</v>
      </c>
      <c r="J89" s="46" t="n">
        <v>1</v>
      </c>
      <c r="K89" s="46" t="n">
        <v>0</v>
      </c>
      <c r="L89" s="46" t="n">
        <v>24</v>
      </c>
      <c r="M89" s="46" t="n">
        <v>324.5</v>
      </c>
      <c r="N89" s="46" t="n">
        <v>2356</v>
      </c>
      <c r="O89" s="46" t="n">
        <v>178</v>
      </c>
      <c r="P89" s="46" t="n">
        <v>1035</v>
      </c>
      <c r="Q89" s="46" t="n">
        <v>2.3</v>
      </c>
      <c r="R89" s="46" t="n">
        <v>2.5</v>
      </c>
      <c r="S89" s="46" t="n">
        <v>0.867</v>
      </c>
      <c r="T89" s="46" t="n">
        <v>120</v>
      </c>
      <c r="U89" s="46" t="inlineStr">
        <is>
          <t>SAMPLE_IEX_2026-10.xlsx</t>
        </is>
      </c>
      <c r="V89" s="46" t="inlineStr">
        <is>
          <t>Sample row - delete before live use</t>
        </is>
      </c>
    </row>
    <row r="90">
      <c r="A90" s="45" t="n">
        <v>46297</v>
      </c>
      <c r="B90" s="46" t="n">
        <v>0.3333333333333333</v>
      </c>
      <c r="C90" s="46" t="n">
        <v>0.3541666666666667</v>
      </c>
      <c r="D90" s="46" t="inlineStr">
        <is>
          <t>8:00 AM - 8:30 AM</t>
        </is>
      </c>
      <c r="E90" s="46" t="inlineStr">
        <is>
          <t>Manila</t>
        </is>
      </c>
      <c r="F90" s="46" t="inlineStr">
        <is>
          <t>Retention</t>
        </is>
      </c>
      <c r="G90" s="46" t="inlineStr">
        <is>
          <t>Voice</t>
        </is>
      </c>
      <c r="H90" s="46" t="n">
        <v>6</v>
      </c>
      <c r="I90" s="46" t="n">
        <v>5</v>
      </c>
      <c r="J90" s="46" t="n">
        <v>1</v>
      </c>
      <c r="K90" s="46" t="n">
        <v>0</v>
      </c>
      <c r="L90" s="46" t="n">
        <v>58</v>
      </c>
      <c r="M90" s="46" t="n">
        <v>314.4</v>
      </c>
      <c r="N90" s="46" t="n">
        <v>1037</v>
      </c>
      <c r="O90" s="46" t="n">
        <v>79</v>
      </c>
      <c r="P90" s="46" t="n">
        <v>456</v>
      </c>
      <c r="Q90" s="46" t="n">
        <v>1.1</v>
      </c>
      <c r="R90" s="46" t="n">
        <v>1.3</v>
      </c>
      <c r="S90" s="46" t="n">
        <v>0.733</v>
      </c>
      <c r="T90" s="46" t="n">
        <v>780</v>
      </c>
      <c r="U90" s="46" t="inlineStr">
        <is>
          <t>SAMPLE_IEX_2026-10.xlsx</t>
        </is>
      </c>
      <c r="V90" s="46" t="inlineStr">
        <is>
          <t>Sample row - delete before live use</t>
        </is>
      </c>
    </row>
    <row r="91">
      <c r="A91" s="45" t="n">
        <v>46297</v>
      </c>
      <c r="B91" s="46" t="n">
        <v>0.3541666666666667</v>
      </c>
      <c r="C91" s="46" t="n">
        <v>0.375</v>
      </c>
      <c r="D91" s="46" t="inlineStr">
        <is>
          <t>8:30 AM - 9:00 AM</t>
        </is>
      </c>
      <c r="E91" s="46" t="inlineStr">
        <is>
          <t>Manila</t>
        </is>
      </c>
      <c r="F91" s="46" t="inlineStr">
        <is>
          <t>Retention</t>
        </is>
      </c>
      <c r="G91" s="46" t="inlineStr">
        <is>
          <t>Voice</t>
        </is>
      </c>
      <c r="H91" s="46" t="n">
        <v>8</v>
      </c>
      <c r="I91" s="46" t="n">
        <v>7</v>
      </c>
      <c r="J91" s="46" t="n">
        <v>1</v>
      </c>
      <c r="K91" s="46" t="n">
        <v>0</v>
      </c>
      <c r="L91" s="46" t="n">
        <v>58</v>
      </c>
      <c r="M91" s="46" t="n">
        <v>433.3</v>
      </c>
      <c r="N91" s="46" t="n">
        <v>2002</v>
      </c>
      <c r="O91" s="46" t="n">
        <v>152</v>
      </c>
      <c r="P91" s="46" t="n">
        <v>880</v>
      </c>
      <c r="Q91" s="46" t="n">
        <v>2.1</v>
      </c>
      <c r="R91" s="46" t="n">
        <v>2.2</v>
      </c>
      <c r="S91" s="46" t="n">
        <v>0.8</v>
      </c>
      <c r="T91" s="46" t="n">
        <v>240</v>
      </c>
      <c r="U91" s="46" t="inlineStr">
        <is>
          <t>SAMPLE_IEX_2026-10.xlsx</t>
        </is>
      </c>
      <c r="V91" s="46" t="inlineStr">
        <is>
          <t>Sample row - delete before live use</t>
        </is>
      </c>
    </row>
    <row r="92">
      <c r="A92" s="45" t="n">
        <v>46297</v>
      </c>
      <c r="B92" s="46" t="n">
        <v>0.375</v>
      </c>
      <c r="C92" s="46" t="n">
        <v>0.3958333333333333</v>
      </c>
      <c r="D92" s="46" t="inlineStr">
        <is>
          <t>9:00 AM - 9:30 AM</t>
        </is>
      </c>
      <c r="E92" s="46" t="inlineStr">
        <is>
          <t>Manila</t>
        </is>
      </c>
      <c r="F92" s="46" t="inlineStr">
        <is>
          <t>Retention</t>
        </is>
      </c>
      <c r="G92" s="46" t="inlineStr">
        <is>
          <t>Voice</t>
        </is>
      </c>
      <c r="H92" s="46" t="n">
        <v>12</v>
      </c>
      <c r="I92" s="46" t="n">
        <v>11</v>
      </c>
      <c r="J92" s="46" t="n">
        <v>1</v>
      </c>
      <c r="K92" s="46" t="n">
        <v>0</v>
      </c>
      <c r="L92" s="46" t="n">
        <v>12</v>
      </c>
      <c r="M92" s="46" t="n">
        <v>348.3</v>
      </c>
      <c r="N92" s="46" t="n">
        <v>2529</v>
      </c>
      <c r="O92" s="46" t="n">
        <v>192</v>
      </c>
      <c r="P92" s="46" t="n">
        <v>1111</v>
      </c>
      <c r="Q92" s="46" t="n">
        <v>2.5</v>
      </c>
      <c r="R92" s="46" t="n">
        <v>2.7</v>
      </c>
      <c r="S92" s="46" t="n">
        <v>0.867</v>
      </c>
      <c r="T92" s="46" t="n">
        <v>120</v>
      </c>
      <c r="U92" s="46" t="inlineStr">
        <is>
          <t>SAMPLE_IEX_2026-10.xlsx</t>
        </is>
      </c>
      <c r="V92" s="46" t="inlineStr">
        <is>
          <t>Sample row - delete before live use</t>
        </is>
      </c>
    </row>
    <row r="93">
      <c r="A93" s="45" t="n">
        <v>46297</v>
      </c>
      <c r="B93" s="46" t="n">
        <v>0.3958333333333333</v>
      </c>
      <c r="C93" s="46" t="n">
        <v>0.4166666666666667</v>
      </c>
      <c r="D93" s="46" t="inlineStr">
        <is>
          <t>9:30 AM - 10:00 AM</t>
        </is>
      </c>
      <c r="E93" s="46" t="inlineStr">
        <is>
          <t>Manila</t>
        </is>
      </c>
      <c r="F93" s="46" t="inlineStr">
        <is>
          <t>Retention</t>
        </is>
      </c>
      <c r="G93" s="46" t="inlineStr">
        <is>
          <t>Voice</t>
        </is>
      </c>
      <c r="H93" s="46" t="n">
        <v>13</v>
      </c>
      <c r="I93" s="46" t="n">
        <v>12</v>
      </c>
      <c r="J93" s="46" t="n">
        <v>1</v>
      </c>
      <c r="K93" s="46" t="n">
        <v>0</v>
      </c>
      <c r="L93" s="46" t="n">
        <v>44</v>
      </c>
      <c r="M93" s="46" t="n">
        <v>387.2</v>
      </c>
      <c r="N93" s="46" t="n">
        <v>3067</v>
      </c>
      <c r="O93" s="46" t="n">
        <v>232</v>
      </c>
      <c r="P93" s="46" t="n">
        <v>1347</v>
      </c>
      <c r="Q93" s="46" t="n">
        <v>3</v>
      </c>
      <c r="R93" s="46" t="n">
        <v>3.1</v>
      </c>
      <c r="S93" s="46" t="n">
        <v>0.877</v>
      </c>
      <c r="T93" s="46" t="n">
        <v>780</v>
      </c>
      <c r="U93" s="46" t="inlineStr">
        <is>
          <t>SAMPLE_IEX_2026-10.xlsx</t>
        </is>
      </c>
      <c r="V93" s="46" t="inlineStr">
        <is>
          <t>Sample row - delete before live use</t>
        </is>
      </c>
    </row>
    <row r="94">
      <c r="A94" s="45" t="n">
        <v>46297</v>
      </c>
      <c r="B94" s="46" t="n">
        <v>0.4166666666666667</v>
      </c>
      <c r="C94" s="46" t="n">
        <v>0.4375</v>
      </c>
      <c r="D94" s="46" t="inlineStr">
        <is>
          <t>10:00 AM - 10:30 AM</t>
        </is>
      </c>
      <c r="E94" s="46" t="inlineStr">
        <is>
          <t>Manila</t>
        </is>
      </c>
      <c r="F94" s="46" t="inlineStr">
        <is>
          <t>Retention</t>
        </is>
      </c>
      <c r="G94" s="46" t="inlineStr">
        <is>
          <t>Voice</t>
        </is>
      </c>
      <c r="H94" s="46" t="n">
        <v>12</v>
      </c>
      <c r="I94" s="46" t="n">
        <v>11</v>
      </c>
      <c r="J94" s="46" t="n">
        <v>1</v>
      </c>
      <c r="K94" s="46" t="n">
        <v>0</v>
      </c>
      <c r="L94" s="46" t="n">
        <v>58</v>
      </c>
      <c r="M94" s="46" t="n">
        <v>428</v>
      </c>
      <c r="N94" s="46" t="n">
        <v>3107</v>
      </c>
      <c r="O94" s="46" t="n">
        <v>235</v>
      </c>
      <c r="P94" s="46" t="n">
        <v>1365</v>
      </c>
      <c r="Q94" s="46" t="n">
        <v>3.1</v>
      </c>
      <c r="R94" s="46" t="n">
        <v>3.3</v>
      </c>
      <c r="S94" s="46" t="n">
        <v>0.867</v>
      </c>
      <c r="T94" s="46" t="n">
        <v>780</v>
      </c>
      <c r="U94" s="46" t="inlineStr">
        <is>
          <t>SAMPLE_IEX_2026-10.xlsx</t>
        </is>
      </c>
      <c r="V94" s="46" t="inlineStr">
        <is>
          <t>Sample row - delete before live use</t>
        </is>
      </c>
    </row>
    <row r="95">
      <c r="A95" s="45" t="n">
        <v>46297</v>
      </c>
      <c r="B95" s="46" t="n">
        <v>0.4375</v>
      </c>
      <c r="C95" s="46" t="n">
        <v>0.4583333333333333</v>
      </c>
      <c r="D95" s="46" t="inlineStr">
        <is>
          <t>10:30 AM - 11:00 AM</t>
        </is>
      </c>
      <c r="E95" s="46" t="inlineStr">
        <is>
          <t>Manila</t>
        </is>
      </c>
      <c r="F95" s="46" t="inlineStr">
        <is>
          <t>Retention</t>
        </is>
      </c>
      <c r="G95" s="46" t="inlineStr">
        <is>
          <t>Voice</t>
        </is>
      </c>
      <c r="H95" s="46" t="n">
        <v>10</v>
      </c>
      <c r="I95" s="46" t="n">
        <v>9</v>
      </c>
      <c r="J95" s="46" t="n">
        <v>1</v>
      </c>
      <c r="K95" s="46" t="n">
        <v>0</v>
      </c>
      <c r="L95" s="46" t="n">
        <v>44</v>
      </c>
      <c r="M95" s="46" t="n">
        <v>435.7</v>
      </c>
      <c r="N95" s="46" t="n">
        <v>2588</v>
      </c>
      <c r="O95" s="46" t="n">
        <v>196</v>
      </c>
      <c r="P95" s="46" t="n">
        <v>1137</v>
      </c>
      <c r="Q95" s="46" t="n">
        <v>2.6</v>
      </c>
      <c r="R95" s="46" t="n">
        <v>2.8</v>
      </c>
      <c r="S95" s="46" t="n">
        <v>0.84</v>
      </c>
      <c r="T95" s="46" t="n">
        <v>600</v>
      </c>
      <c r="U95" s="46" t="inlineStr">
        <is>
          <t>SAMPLE_IEX_2026-10.xlsx</t>
        </is>
      </c>
      <c r="V95" s="46" t="inlineStr">
        <is>
          <t>Sample row - delete before live use</t>
        </is>
      </c>
    </row>
    <row r="96">
      <c r="A96" s="45" t="n">
        <v>46297</v>
      </c>
      <c r="B96" s="46" t="n">
        <v>0.4583333333333333</v>
      </c>
      <c r="C96" s="46" t="n">
        <v>0.4791666666666667</v>
      </c>
      <c r="D96" s="46" t="inlineStr">
        <is>
          <t>11:00 AM - 11:30 AM</t>
        </is>
      </c>
      <c r="E96" s="46" t="inlineStr">
        <is>
          <t>Manila</t>
        </is>
      </c>
      <c r="F96" s="46" t="inlineStr">
        <is>
          <t>Retention</t>
        </is>
      </c>
      <c r="G96" s="46" t="inlineStr">
        <is>
          <t>Voice</t>
        </is>
      </c>
      <c r="H96" s="46" t="n">
        <v>10</v>
      </c>
      <c r="I96" s="46" t="n">
        <v>9</v>
      </c>
      <c r="J96" s="46" t="n">
        <v>1</v>
      </c>
      <c r="K96" s="46" t="n">
        <v>0</v>
      </c>
      <c r="L96" s="46" t="n">
        <v>8</v>
      </c>
      <c r="M96" s="46" t="n">
        <v>322.6</v>
      </c>
      <c r="N96" s="46" t="n">
        <v>1916</v>
      </c>
      <c r="O96" s="46" t="n">
        <v>145</v>
      </c>
      <c r="P96" s="46" t="n">
        <v>842</v>
      </c>
      <c r="Q96" s="46" t="n">
        <v>1.9</v>
      </c>
      <c r="R96" s="46" t="n">
        <v>1.9</v>
      </c>
      <c r="S96" s="46" t="n">
        <v>0.84</v>
      </c>
      <c r="T96" s="46" t="n">
        <v>310</v>
      </c>
      <c r="U96" s="46" t="inlineStr">
        <is>
          <t>SAMPLE_IEX_2026-10.xlsx</t>
        </is>
      </c>
      <c r="V96" s="46" t="inlineStr">
        <is>
          <t>Sample row - delete before live use</t>
        </is>
      </c>
    </row>
    <row r="97">
      <c r="A97" s="45" t="n">
        <v>46297</v>
      </c>
      <c r="B97" s="46" t="n">
        <v>0.4791666666666667</v>
      </c>
      <c r="C97" s="46" t="n">
        <v>0.5</v>
      </c>
      <c r="D97" s="46" t="inlineStr">
        <is>
          <t>11:30 AM - 12:00 PM</t>
        </is>
      </c>
      <c r="E97" s="46" t="inlineStr">
        <is>
          <t>Manila</t>
        </is>
      </c>
      <c r="F97" s="46" t="inlineStr">
        <is>
          <t>Retention</t>
        </is>
      </c>
      <c r="G97" s="46" t="inlineStr">
        <is>
          <t>Voice</t>
        </is>
      </c>
      <c r="H97" s="46" t="n">
        <v>11</v>
      </c>
      <c r="I97" s="46" t="n">
        <v>10</v>
      </c>
      <c r="J97" s="46" t="n">
        <v>1</v>
      </c>
      <c r="K97" s="46" t="n">
        <v>0</v>
      </c>
      <c r="L97" s="46" t="n">
        <v>44</v>
      </c>
      <c r="M97" s="46" t="n">
        <v>406.7</v>
      </c>
      <c r="N97" s="46" t="n">
        <v>2684</v>
      </c>
      <c r="O97" s="46" t="n">
        <v>203</v>
      </c>
      <c r="P97" s="46" t="n">
        <v>1179</v>
      </c>
      <c r="Q97" s="46" t="n">
        <v>2.7</v>
      </c>
      <c r="R97" s="46" t="n">
        <v>2.9</v>
      </c>
      <c r="S97" s="46" t="n">
        <v>0.855</v>
      </c>
      <c r="T97" s="46" t="n">
        <v>180</v>
      </c>
      <c r="U97" s="46" t="inlineStr">
        <is>
          <t>SAMPLE_IEX_2026-10.xlsx</t>
        </is>
      </c>
      <c r="V97" s="46" t="inlineStr">
        <is>
          <t>Sample row - delete before live use</t>
        </is>
      </c>
    </row>
    <row r="98">
      <c r="A98" s="45" t="n">
        <v>46297</v>
      </c>
      <c r="B98" s="46" t="n">
        <v>0.5</v>
      </c>
      <c r="C98" s="46" t="n">
        <v>0.5208333333333334</v>
      </c>
      <c r="D98" s="46" t="inlineStr">
        <is>
          <t>12:00 PM - 12:30 PM</t>
        </is>
      </c>
      <c r="E98" s="46" t="inlineStr">
        <is>
          <t>Manila</t>
        </is>
      </c>
      <c r="F98" s="46" t="inlineStr">
        <is>
          <t>Retention</t>
        </is>
      </c>
      <c r="G98" s="46" t="inlineStr">
        <is>
          <t>Voice</t>
        </is>
      </c>
      <c r="H98" s="46" t="n">
        <v>10</v>
      </c>
      <c r="I98" s="46" t="n">
        <v>9</v>
      </c>
      <c r="J98" s="46" t="n">
        <v>1</v>
      </c>
      <c r="K98" s="46" t="n">
        <v>0</v>
      </c>
      <c r="L98" s="46" t="n">
        <v>31</v>
      </c>
      <c r="M98" s="46" t="n">
        <v>435.6</v>
      </c>
      <c r="N98" s="46" t="n">
        <v>2588</v>
      </c>
      <c r="O98" s="46" t="n">
        <v>196</v>
      </c>
      <c r="P98" s="46" t="n">
        <v>1137</v>
      </c>
      <c r="Q98" s="46" t="n">
        <v>2.6</v>
      </c>
      <c r="R98" s="46" t="n">
        <v>2.9</v>
      </c>
      <c r="S98" s="46" t="n">
        <v>0.84</v>
      </c>
      <c r="T98" s="46" t="n">
        <v>420</v>
      </c>
      <c r="U98" s="46" t="inlineStr">
        <is>
          <t>SAMPLE_IEX_2026-10.xlsx</t>
        </is>
      </c>
      <c r="V98" s="46" t="inlineStr">
        <is>
          <t>Sample row - delete before live use</t>
        </is>
      </c>
    </row>
    <row r="99">
      <c r="A99" s="45" t="n">
        <v>46297</v>
      </c>
      <c r="B99" s="46" t="n">
        <v>0.5208333333333334</v>
      </c>
      <c r="C99" s="46" t="n">
        <v>0.5416666666666666</v>
      </c>
      <c r="D99" s="46" t="inlineStr">
        <is>
          <t>12:30 PM - 1:00 PM</t>
        </is>
      </c>
      <c r="E99" s="46" t="inlineStr">
        <is>
          <t>Manila</t>
        </is>
      </c>
      <c r="F99" s="46" t="inlineStr">
        <is>
          <t>Retention</t>
        </is>
      </c>
      <c r="G99" s="46" t="inlineStr">
        <is>
          <t>Voice</t>
        </is>
      </c>
      <c r="H99" s="46" t="n">
        <v>9</v>
      </c>
      <c r="I99" s="46" t="n">
        <v>8</v>
      </c>
      <c r="J99" s="46" t="n">
        <v>1</v>
      </c>
      <c r="K99" s="46" t="n">
        <v>0</v>
      </c>
      <c r="L99" s="46" t="n">
        <v>58</v>
      </c>
      <c r="M99" s="46" t="n">
        <v>426.8</v>
      </c>
      <c r="N99" s="46" t="n">
        <v>2253</v>
      </c>
      <c r="O99" s="46" t="n">
        <v>171</v>
      </c>
      <c r="P99" s="46" t="n">
        <v>990</v>
      </c>
      <c r="Q99" s="46" t="n">
        <v>2.3</v>
      </c>
      <c r="R99" s="46" t="n">
        <v>2.4</v>
      </c>
      <c r="S99" s="46" t="n">
        <v>0.822</v>
      </c>
      <c r="T99" s="46" t="n">
        <v>120</v>
      </c>
      <c r="U99" s="46" t="inlineStr">
        <is>
          <t>SAMPLE_IEX_2026-10.xlsx</t>
        </is>
      </c>
      <c r="V99" s="46" t="inlineStr">
        <is>
          <t>Sample row - delete before live use</t>
        </is>
      </c>
    </row>
    <row r="100">
      <c r="A100" s="45" t="n">
        <v>46297</v>
      </c>
      <c r="B100" s="46" t="n">
        <v>0.5416666666666666</v>
      </c>
      <c r="C100" s="46" t="n">
        <v>0.5625</v>
      </c>
      <c r="D100" s="46" t="inlineStr">
        <is>
          <t>1:00 PM - 1:30 PM</t>
        </is>
      </c>
      <c r="E100" s="46" t="inlineStr">
        <is>
          <t>Manila</t>
        </is>
      </c>
      <c r="F100" s="46" t="inlineStr">
        <is>
          <t>Retention</t>
        </is>
      </c>
      <c r="G100" s="46" t="inlineStr">
        <is>
          <t>Voice</t>
        </is>
      </c>
      <c r="H100" s="46" t="n">
        <v>12</v>
      </c>
      <c r="I100" s="46" t="n">
        <v>10</v>
      </c>
      <c r="J100" s="46" t="n">
        <v>2</v>
      </c>
      <c r="K100" s="46" t="n">
        <v>1</v>
      </c>
      <c r="L100" s="46" t="n">
        <v>44</v>
      </c>
      <c r="M100" s="46" t="n">
        <v>428.6</v>
      </c>
      <c r="N100" s="46" t="n">
        <v>2829</v>
      </c>
      <c r="O100" s="46" t="n">
        <v>214</v>
      </c>
      <c r="P100" s="46" t="n">
        <v>1243</v>
      </c>
      <c r="Q100" s="46" t="n">
        <v>3.1</v>
      </c>
      <c r="R100" s="46" t="n">
        <v>3.1</v>
      </c>
      <c r="S100" s="46" t="n">
        <v>0.733</v>
      </c>
      <c r="T100" s="46" t="n">
        <v>310</v>
      </c>
      <c r="U100" s="46" t="inlineStr">
        <is>
          <t>SAMPLE_IEX_2026-10.xlsx</t>
        </is>
      </c>
      <c r="V100" s="46" t="inlineStr">
        <is>
          <t>Sample row - delete before live use</t>
        </is>
      </c>
    </row>
    <row r="101">
      <c r="A101" s="45" t="n">
        <v>46297</v>
      </c>
      <c r="B101" s="46" t="n">
        <v>0.5625</v>
      </c>
      <c r="C101" s="46" t="n">
        <v>0.5833333333333334</v>
      </c>
      <c r="D101" s="46" t="inlineStr">
        <is>
          <t>1:30 PM - 2:00 PM</t>
        </is>
      </c>
      <c r="E101" s="46" t="inlineStr">
        <is>
          <t>Manila</t>
        </is>
      </c>
      <c r="F101" s="46" t="inlineStr">
        <is>
          <t>Retention</t>
        </is>
      </c>
      <c r="G101" s="46" t="inlineStr">
        <is>
          <t>Voice</t>
        </is>
      </c>
      <c r="H101" s="46" t="n">
        <v>8</v>
      </c>
      <c r="I101" s="46" t="n">
        <v>7</v>
      </c>
      <c r="J101" s="46" t="n">
        <v>1</v>
      </c>
      <c r="K101" s="46" t="n">
        <v>0</v>
      </c>
      <c r="L101" s="46" t="n">
        <v>58</v>
      </c>
      <c r="M101" s="46" t="n">
        <v>381.4</v>
      </c>
      <c r="N101" s="46" t="n">
        <v>1762</v>
      </c>
      <c r="O101" s="46" t="n">
        <v>134</v>
      </c>
      <c r="P101" s="46" t="n">
        <v>774</v>
      </c>
      <c r="Q101" s="46" t="n">
        <v>1.8</v>
      </c>
      <c r="R101" s="46" t="n">
        <v>2</v>
      </c>
      <c r="S101" s="46" t="n">
        <v>0.8</v>
      </c>
      <c r="T101" s="46" t="n">
        <v>120</v>
      </c>
      <c r="U101" s="46" t="inlineStr">
        <is>
          <t>SAMPLE_IEX_2026-10.xlsx</t>
        </is>
      </c>
      <c r="V101" s="46" t="inlineStr">
        <is>
          <t>Sample row - delete before live use</t>
        </is>
      </c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</row>
  </sheetData>
  <autoFilter ref="A5:V10005"/>
  <mergeCells count="4">
    <mergeCell ref="A2:V2"/>
    <mergeCell ref="J3:V3"/>
    <mergeCell ref="A1:V1"/>
    <mergeCell ref="C3:H3"/>
  </mergeCells>
  <dataValidations count="3">
    <dataValidation sqref="E6:E10005" showDropDown="0" showInputMessage="0" showErrorMessage="1" allowBlank="1" errorTitle="Unknown site" error="This site is not in Lists!A. Continue only if the value is intentional." type="list" errorStyle="warning">
      <formula1>LIST_SITES</formula1>
    </dataValidation>
    <dataValidation sqref="F6:F10005" showDropDown="0" showInputMessage="0" showErrorMessage="1" allowBlank="1" errorTitle="Unknown queue / skill" error="This queue is not in Lists!B. Continue only if the value is intentional." type="list" errorStyle="warning">
      <formula1>LIST_QUEUES</formula1>
    </dataValidation>
    <dataValidation sqref="G6:G10005" showDropDown="0" showInputMessage="0" showErrorMessage="1" allowBlank="1" errorTitle="Unknown channel" error="This channel is not in Lists!C. Continue only if the value is intentional." type="list" errorStyle="warning">
      <formula1>LIST_CHANNELS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A93A5"/>
    <outlinePr summaryBelow="1" summaryRight="1"/>
    <pageSetUpPr/>
  </sheetPr>
  <dimension ref="A1:N1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30" customHeight="1">
      <c r="A1" s="1" t="inlineStr">
        <is>
          <t>CALCULATION ENGINE</t>
        </is>
      </c>
    </row>
    <row r="2" ht="18" customHeight="1">
      <c r="A2" s="2" t="inlineStr">
        <is>
          <t>Do not edit. Every figure is derived from the raw sheets through filtered SUMIFS / SUMPRODUCT formulas.</t>
        </is>
      </c>
    </row>
    <row r="3">
      <c r="A3" s="48" t="inlineStr">
        <is>
          <t>Period Start</t>
        </is>
      </c>
      <c r="B3" s="49">
        <f>Setup!$B$5</f>
        <v/>
      </c>
      <c r="D3" s="50">
        <f>IF($B$6="ALL","*",$B$6)</f>
        <v/>
      </c>
      <c r="E3" s="51" t="inlineStr">
        <is>
          <t>&lt;- SUMIFS criteria</t>
        </is>
      </c>
    </row>
    <row r="4">
      <c r="A4" s="48" t="inlineStr">
        <is>
          <t>Period End</t>
        </is>
      </c>
      <c r="B4" s="49">
        <f>Setup!$B$6</f>
        <v/>
      </c>
      <c r="D4" s="50">
        <f>IF($B$7="ALL","*",$B$7)</f>
        <v/>
      </c>
    </row>
    <row r="5">
      <c r="A5" s="48" t="inlineStr">
        <is>
          <t>Interval Minutes</t>
        </is>
      </c>
      <c r="B5" s="52">
        <f>Setup!$B$7</f>
        <v/>
      </c>
      <c r="D5" s="50">
        <f>IF($B$8="ALL","*",$B$8)</f>
        <v/>
      </c>
    </row>
    <row r="6">
      <c r="A6" s="48" t="inlineStr">
        <is>
          <t>Site Filter</t>
        </is>
      </c>
      <c r="B6" s="53">
        <f>Setup!$B$10</f>
        <v/>
      </c>
    </row>
    <row r="7">
      <c r="A7" s="48" t="inlineStr">
        <is>
          <t>Queue Filter</t>
        </is>
      </c>
      <c r="B7" s="53">
        <f>Setup!$B$11</f>
        <v/>
      </c>
    </row>
    <row r="8">
      <c r="A8" s="48" t="inlineStr">
        <is>
          <t>Channel Filter</t>
        </is>
      </c>
      <c r="B8" s="53">
        <f>Setup!$B$12</f>
        <v/>
      </c>
    </row>
    <row r="9">
      <c r="A9" s="48" t="inlineStr">
        <is>
          <t>Reconciliation Tolerance</t>
        </is>
      </c>
      <c r="B9" s="54">
        <f>Setup!$B$20</f>
        <v/>
      </c>
    </row>
    <row r="10">
      <c r="A10" s="48" t="inlineStr">
        <is>
          <t>Report Source</t>
        </is>
      </c>
      <c r="B10" s="53">
        <f>Setup!$B$13</f>
        <v/>
      </c>
    </row>
    <row r="12" ht="20" customHeight="1">
      <c r="A12" s="3" t="inlineStr">
        <is>
          <t>1. PERIOD TOTALS BY SOURCE</t>
        </is>
      </c>
      <c r="B12" s="4" t="n"/>
      <c r="C12" s="4" t="n"/>
      <c r="D12" s="4" t="n"/>
      <c r="E12" s="4" t="n"/>
    </row>
    <row r="13">
      <c r="A13" s="55" t="inlineStr">
        <is>
          <t>Metric</t>
        </is>
      </c>
      <c r="C13" s="41" t="inlineStr">
        <is>
          <t>VERINT</t>
        </is>
      </c>
      <c r="D13" s="41" t="inlineStr">
        <is>
          <t>IEX</t>
        </is>
      </c>
      <c r="E13" s="41" t="inlineStr">
        <is>
          <t>COMBINED</t>
        </is>
      </c>
    </row>
    <row r="14">
      <c r="A14" s="56" t="inlineStr">
        <is>
          <t>Contacts Offered</t>
        </is>
      </c>
      <c r="C14" s="57">
        <f>SUMIFS(VER_OFFERED,VER_DATE,"&gt;="&amp;$B$3,VER_DATE,"&lt;="&amp;$B$4,VER_SITE,$D$3,VER_QUEUE,$D$4,VER_CHAN,$D$5)</f>
        <v/>
      </c>
      <c r="D14" s="57">
        <f>SUMIFS(IEX_OFFERED,IEX_DATE,"&gt;="&amp;$B$3,IEX_DATE,"&lt;="&amp;$B$4,IEX_SITE,$D$3,IEX_QUEUE,$D$4,IEX_CHAN,$D$5)</f>
        <v/>
      </c>
      <c r="E14" s="57">
        <f>C14+D14</f>
        <v/>
      </c>
    </row>
    <row r="15">
      <c r="A15" s="56" t="inlineStr">
        <is>
          <t>Contacts Handled</t>
        </is>
      </c>
      <c r="C15" s="57">
        <f>SUMIFS(VER_HANDLED,VER_DATE,"&gt;="&amp;$B$3,VER_DATE,"&lt;="&amp;$B$4,VER_SITE,$D$3,VER_QUEUE,$D$4,VER_CHAN,$D$5)</f>
        <v/>
      </c>
      <c r="D15" s="57">
        <f>SUMIFS(IEX_HANDLED,IEX_DATE,"&gt;="&amp;$B$3,IEX_DATE,"&lt;="&amp;$B$4,IEX_SITE,$D$3,IEX_QUEUE,$D$4,IEX_CHAN,$D$5)</f>
        <v/>
      </c>
      <c r="E15" s="57">
        <f>C15+D15</f>
        <v/>
      </c>
    </row>
    <row r="16">
      <c r="A16" s="56" t="inlineStr">
        <is>
          <t>Contacts Abandoned</t>
        </is>
      </c>
      <c r="C16" s="57">
        <f>SUMIFS(VER_ABAND,VER_DATE,"&gt;="&amp;$B$3,VER_DATE,"&lt;="&amp;$B$4,VER_SITE,$D$3,VER_QUEUE,$D$4,VER_CHAN,$D$5)</f>
        <v/>
      </c>
      <c r="D16" s="57">
        <f>SUMIFS(IEX_ABAND,IEX_DATE,"&gt;="&amp;$B$3,IEX_DATE,"&lt;="&amp;$B$4,IEX_SITE,$D$3,IEX_QUEUE,$D$4,IEX_CHAN,$D$5)</f>
        <v/>
      </c>
      <c r="E16" s="57">
        <f>C16+D16</f>
        <v/>
      </c>
    </row>
    <row r="17">
      <c r="A17" s="56" t="inlineStr">
        <is>
          <t>Abandon Rate</t>
        </is>
      </c>
      <c r="C17" s="58">
        <f>IFERROR(C16/C14,0)</f>
        <v/>
      </c>
      <c r="D17" s="58">
        <f>IFERROR(D16/D14,0)</f>
        <v/>
      </c>
      <c r="E17" s="58">
        <f>IFERROR(E16/E14,0)</f>
        <v/>
      </c>
    </row>
    <row r="18">
      <c r="A18" s="56" t="inlineStr">
        <is>
          <t>Service Level</t>
        </is>
      </c>
      <c r="C18" s="58">
        <f>IFERROR(SUMPRODUCT((((VER_DATE&gt;=$B$3)*(VER_DATE&lt;=$B$4)))*(((($B$6="ALL")+(VER_SITE=$B$6))&gt;0))*(((($B$7="ALL")+(VER_QUEUE=$B$7))&gt;0))*(((($B$8="ALL")+(VER_CHAN=$B$8))&gt;0))*VER_SL*VER_OFFERED)/C14,0)</f>
        <v/>
      </c>
      <c r="D18" s="58">
        <f>IFERROR(SUMPRODUCT((((IEX_DATE&gt;=$B$3)*(IEX_DATE&lt;=$B$4)))*(((($B$6="ALL")+(IEX_SITE=$B$6))&gt;0))*(((($B$7="ALL")+(IEX_QUEUE=$B$7))&gt;0))*(((($B$8="ALL")+(IEX_CHAN=$B$8))&gt;0))*IEX_SL*IEX_OFFERED)/D14,0)</f>
        <v/>
      </c>
      <c r="E18" s="58">
        <f>IFERROR((C18*C14+D18*D14)/E14,0)</f>
        <v/>
      </c>
    </row>
    <row r="19">
      <c r="A19" s="56" t="inlineStr">
        <is>
          <t>Avg Speed of Answer (sec)</t>
        </is>
      </c>
      <c r="C19" s="59">
        <f>IFERROR(SUMPRODUCT((((VER_DATE&gt;=$B$3)*(VER_DATE&lt;=$B$4)))*(((($B$6="ALL")+(VER_SITE=$B$6))&gt;0))*(((($B$7="ALL")+(VER_QUEUE=$B$7))&gt;0))*(((($B$8="ALL")+(VER_CHAN=$B$8))&gt;0))*VER_ASA*VER_HANDLED)/C15,0)</f>
        <v/>
      </c>
      <c r="D19" s="59">
        <f>IFERROR(SUMPRODUCT((((IEX_DATE&gt;=$B$3)*(IEX_DATE&lt;=$B$4)))*(((($B$6="ALL")+(IEX_SITE=$B$6))&gt;0))*(((($B$7="ALL")+(IEX_QUEUE=$B$7))&gt;0))*(((($B$8="ALL")+(IEX_CHAN=$B$8))&gt;0))*IEX_ASA*IEX_HANDLED)/D15,0)</f>
        <v/>
      </c>
      <c r="E19" s="59">
        <f>IFERROR((C19*C15+D19*D15)/E15,0)</f>
        <v/>
      </c>
    </row>
    <row r="20">
      <c r="A20" s="56" t="inlineStr">
        <is>
          <t>Avg Handle Time (sec)</t>
        </is>
      </c>
      <c r="C20" s="59">
        <f>IFERROR((SUMIFS(VER_TALK,VER_DATE,"&gt;="&amp;$B$3,VER_DATE,"&lt;="&amp;$B$4,VER_SITE,$D$3,VER_QUEUE,$D$4,VER_CHAN,$D$5)+SUMIFS(VER_HOLD,VER_DATE,"&gt;="&amp;$B$3,VER_DATE,"&lt;="&amp;$B$4,VER_SITE,$D$3,VER_QUEUE,$D$4,VER_CHAN,$D$5)+SUMIFS(VER_ACW,VER_DATE,"&gt;="&amp;$B$3,VER_DATE,"&lt;="&amp;$B$4,VER_SITE,$D$3,VER_QUEUE,$D$4,VER_CHAN,$D$5))/C15,0)</f>
        <v/>
      </c>
      <c r="D20" s="59">
        <f>IFERROR((SUMIFS(IEX_TALK,IEX_DATE,"&gt;="&amp;$B$3,IEX_DATE,"&lt;="&amp;$B$4,IEX_SITE,$D$3,IEX_QUEUE,$D$4,IEX_CHAN,$D$5)+SUMIFS(IEX_HOLD,IEX_DATE,"&gt;="&amp;$B$3,IEX_DATE,"&lt;="&amp;$B$4,IEX_SITE,$D$3,IEX_QUEUE,$D$4,IEX_CHAN,$D$5)+SUMIFS(IEX_ACW,IEX_DATE,"&gt;="&amp;$B$3,IEX_DATE,"&lt;="&amp;$B$4,IEX_SITE,$D$3,IEX_QUEUE,$D$4,IEX_CHAN,$D$5))/D15,0)</f>
        <v/>
      </c>
      <c r="E20" s="59">
        <f>IFERROR((C20*C15+D20*D15)/E15,0)</f>
        <v/>
      </c>
    </row>
    <row r="21">
      <c r="A21" s="56" t="inlineStr">
        <is>
          <t>Staffed Agent-Hours</t>
        </is>
      </c>
      <c r="C21" s="59">
        <f>SUMIFS(VER_STAFFED,VER_DATE,"&gt;="&amp;$B$3,VER_DATE,"&lt;="&amp;$B$4,VER_SITE,$D$3,VER_QUEUE,$D$4,VER_CHAN,$D$5)*$B$5/60</f>
        <v/>
      </c>
      <c r="D21" s="59">
        <f>SUMIFS(IEX_STAFFED,IEX_DATE,"&gt;="&amp;$B$3,IEX_DATE,"&lt;="&amp;$B$4,IEX_SITE,$D$3,IEX_QUEUE,$D$4,IEX_CHAN,$D$5)*$B$5/60</f>
        <v/>
      </c>
      <c r="E21" s="59">
        <f>C21+D21</f>
        <v/>
      </c>
    </row>
    <row r="22">
      <c r="A22" s="56" t="inlineStr">
        <is>
          <t>Required Agent-Hours</t>
        </is>
      </c>
      <c r="C22" s="59">
        <f>SUMIFS(VER_REQ,VER_DATE,"&gt;="&amp;$B$3,VER_DATE,"&lt;="&amp;$B$4,VER_SITE,$D$3,VER_QUEUE,$D$4,VER_CHAN,$D$5)*$B$5/60</f>
        <v/>
      </c>
      <c r="D22" s="59">
        <f>SUMIFS(IEX_REQ,IEX_DATE,"&gt;="&amp;$B$3,IEX_DATE,"&lt;="&amp;$B$4,IEX_SITE,$D$3,IEX_QUEUE,$D$4,IEX_CHAN,$D$5)*$B$5/60</f>
        <v/>
      </c>
      <c r="E22" s="59">
        <f>C22+D22</f>
        <v/>
      </c>
    </row>
    <row r="23">
      <c r="A23" s="56" t="inlineStr">
        <is>
          <t>Staffing Gap (Agent-Hours)</t>
        </is>
      </c>
      <c r="C23" s="59">
        <f>C22-C21</f>
        <v/>
      </c>
      <c r="D23" s="59">
        <f>D22-D21</f>
        <v/>
      </c>
      <c r="E23" s="59">
        <f>E22-E21</f>
        <v/>
      </c>
    </row>
    <row r="24">
      <c r="A24" s="56" t="inlineStr">
        <is>
          <t>Staffing Gap %</t>
        </is>
      </c>
      <c r="C24" s="58">
        <f>IFERROR(C23/C22,0)</f>
        <v/>
      </c>
      <c r="D24" s="58">
        <f>IFERROR(D23/D22,0)</f>
        <v/>
      </c>
      <c r="E24" s="58">
        <f>IFERROR(E23/E22,0)</f>
        <v/>
      </c>
    </row>
    <row r="25">
      <c r="A25" s="56" t="inlineStr">
        <is>
          <t>Occupancy</t>
        </is>
      </c>
      <c r="C25" s="58">
        <f>IFERROR(((SUMIFS(VER_TALK,VER_DATE,"&gt;="&amp;$B$3,VER_DATE,"&lt;="&amp;$B$4,VER_SITE,$D$3,VER_QUEUE,$D$4,VER_CHAN,$D$5)+SUMIFS(VER_HOLD,VER_DATE,"&gt;="&amp;$B$3,VER_DATE,"&lt;="&amp;$B$4,VER_SITE,$D$3,VER_QUEUE,$D$4,VER_CHAN,$D$5)+SUMIFS(VER_ACW,VER_DATE,"&gt;="&amp;$B$3,VER_DATE,"&lt;="&amp;$B$4,VER_SITE,$D$3,VER_QUEUE,$D$4,VER_CHAN,$D$5))/3600)/C21,0)</f>
        <v/>
      </c>
      <c r="D25" s="58">
        <f>IFERROR(((SUMIFS(IEX_TALK,IEX_DATE,"&gt;="&amp;$B$3,IEX_DATE,"&lt;="&amp;$B$4,IEX_SITE,$D$3,IEX_QUEUE,$D$4,IEX_CHAN,$D$5)+SUMIFS(IEX_HOLD,IEX_DATE,"&gt;="&amp;$B$3,IEX_DATE,"&lt;="&amp;$B$4,IEX_SITE,$D$3,IEX_QUEUE,$D$4,IEX_CHAN,$D$5)+SUMIFS(IEX_ACW,IEX_DATE,"&gt;="&amp;$B$3,IEX_DATE,"&lt;="&amp;$B$4,IEX_SITE,$D$3,IEX_QUEUE,$D$4,IEX_CHAN,$D$5))/3600)/D21,0)</f>
        <v/>
      </c>
      <c r="E25" s="58">
        <f>IFERROR((C25*C21+D25*D21)/E21,0)</f>
        <v/>
      </c>
    </row>
    <row r="26">
      <c r="A26" s="56" t="inlineStr">
        <is>
          <t>Intervals Captured</t>
        </is>
      </c>
      <c r="C26" s="57">
        <f>SUMPRODUCT((VER_DATE&gt;=$B$3)*(VER_DATE&lt;=$B$4)*(($B$6="ALL")+(VER_SITE=$B$6)-($B$6="ALL")*(VER_SITE=$B$6))*(($B$7="ALL")+(VER_QUEUE=$B$7)-($B$7="ALL")*(VER_QUEUE=$B$7))*(($B$8="ALL")+(VER_CHAN=$B$8)-($B$8="ALL")*(VER_CHAN=$B$8)))</f>
        <v/>
      </c>
      <c r="D26" s="57">
        <f>SUMPRODUCT((IEX_DATE&gt;=$B$3)*(IEX_DATE&lt;=$B$4)*(($B$6="ALL")+(IEX_SITE=$B$6)-($B$6="ALL")*(IEX_SITE=$B$6))*(($B$7="ALL")+(IEX_QUEUE=$B$7)-($B$7="ALL")*(IEX_QUEUE=$B$7))*(($B$8="ALL")+(IEX_CHAN=$B$8)-($B$8="ALL")*(IEX_CHAN=$B$8)))</f>
        <v/>
      </c>
      <c r="E26" s="57">
        <f>C26+D26</f>
        <v/>
      </c>
    </row>
    <row r="27">
      <c r="A27" s="56" t="inlineStr">
        <is>
          <t>Avg Staffed Agents / Interval</t>
        </is>
      </c>
      <c r="C27" s="59">
        <f>IFERROR(SUMIFS(VER_STAFFED,VER_DATE,"&gt;="&amp;$B$3,VER_DATE,"&lt;="&amp;$B$4,VER_SITE,$D$3,VER_QUEUE,$D$4,VER_CHAN,$D$5)/C26,0)</f>
        <v/>
      </c>
      <c r="D27" s="59">
        <f>IFERROR(SUMIFS(IEX_STAFFED,IEX_DATE,"&gt;="&amp;$B$3,IEX_DATE,"&lt;="&amp;$B$4,IEX_SITE,$D$3,IEX_QUEUE,$D$4,IEX_CHAN,$D$5)/D26,0)</f>
        <v/>
      </c>
      <c r="E27" s="59">
        <f>IFERROR((C27*C26+D27*D26)/E26,0)</f>
        <v/>
      </c>
    </row>
    <row r="28">
      <c r="A28" s="56" t="inlineStr">
        <is>
          <t>Max Interval Wait (sec)</t>
        </is>
      </c>
      <c r="C28" s="57">
        <f>IFERROR(SUMPRODUCT(MAX((VER_DATE&gt;=$B$3)*(VER_DATE&lt;=$B$4)*(($B$6="ALL")+(VER_SITE=$B$6)-($B$6="ALL")*(VER_SITE=$B$6))*(($B$7="ALL")+(VER_QUEUE=$B$7)-($B$7="ALL")*(VER_QUEUE=$B$7))*(($B$8="ALL")+(VER_CHAN=$B$8)-($B$8="ALL")*(VER_CHAN=$B$8))*VER_WAIT)),0)</f>
        <v/>
      </c>
      <c r="D28" s="57">
        <f>IFERROR(SUMPRODUCT(MAX((IEX_DATE&gt;=$B$3)*(IEX_DATE&lt;=$B$4)*(($B$6="ALL")+(IEX_SITE=$B$6)-($B$6="ALL")*(IEX_SITE=$B$6))*(($B$7="ALL")+(IEX_QUEUE=$B$7)-($B$7="ALL")*(IEX_QUEUE=$B$7))*(($B$8="ALL")+(IEX_CHAN=$B$8)-($B$8="ALL")*(IEX_CHAN=$B$8))*IEX_WAIT)),0)</f>
        <v/>
      </c>
      <c r="E28" s="57">
        <f>MAX(C28,D28)</f>
        <v/>
      </c>
    </row>
    <row r="29" ht="20" customHeight="1">
      <c r="A29" s="3" t="inlineStr">
        <is>
          <t>2. DAILY TREND (period dates)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1">
      <c r="A31" s="60" t="inlineStr">
        <is>
          <t>Date</t>
        </is>
      </c>
      <c r="B31" s="60" t="inlineStr">
        <is>
          <t>Day</t>
        </is>
      </c>
      <c r="C31" s="60" t="inlineStr">
        <is>
          <t>VERINT Offered</t>
        </is>
      </c>
      <c r="D31" s="60" t="inlineStr">
        <is>
          <t>IEX Offered</t>
        </is>
      </c>
      <c r="E31" s="60" t="inlineStr">
        <is>
          <t>VERINT Handled</t>
        </is>
      </c>
      <c r="F31" s="60" t="inlineStr">
        <is>
          <t>IEX Handled</t>
        </is>
      </c>
      <c r="G31" s="60" t="inlineStr">
        <is>
          <t>VERINT Abandoned</t>
        </is>
      </c>
      <c r="H31" s="60" t="inlineStr">
        <is>
          <t>IEX Abandoned</t>
        </is>
      </c>
      <c r="I31" s="60" t="inlineStr">
        <is>
          <t>VERINT Aband %</t>
        </is>
      </c>
      <c r="J31" s="60" t="inlineStr">
        <is>
          <t>IEX Aband %</t>
        </is>
      </c>
      <c r="K31" s="60" t="inlineStr">
        <is>
          <t>VERINT SL %</t>
        </is>
      </c>
      <c r="L31" s="60" t="inlineStr">
        <is>
          <t>IEX SL %</t>
        </is>
      </c>
      <c r="M31" s="60" t="inlineStr">
        <is>
          <t>VERINT AHT</t>
        </is>
      </c>
      <c r="N31" s="60" t="inlineStr">
        <is>
          <t>IEX AHT</t>
        </is>
      </c>
    </row>
    <row r="32">
      <c r="A32" s="61">
        <f>IF($B$3&gt;$B$4,"",$B$3)</f>
        <v/>
      </c>
      <c r="B32" s="62">
        <f>IF(A32="","",TEXT(A32,"ddd"))</f>
        <v/>
      </c>
      <c r="C32" s="63">
        <f>IF($A32="","",SUMIFS(VER_OFFERED,VER_DATE,"&gt;="&amp;$A32,VER_DATE,"&lt;="&amp;$A32,VER_SITE,$D$3,VER_QUEUE,$D$4,VER_CHAN,$D$5))</f>
        <v/>
      </c>
      <c r="D32" s="63">
        <f>IF($A32="","",SUMIFS(IEX_OFFERED,IEX_DATE,"&gt;="&amp;$A32,IEX_DATE,"&lt;="&amp;$A32,IEX_SITE,$D$3,IEX_QUEUE,$D$4,IEX_CHAN,$D$5))</f>
        <v/>
      </c>
      <c r="E32" s="63">
        <f>IF($A32="","",SUMIFS(VER_HANDLED,VER_DATE,"&gt;="&amp;$A32,VER_DATE,"&lt;="&amp;$A32,VER_SITE,$D$3,VER_QUEUE,$D$4,VER_CHAN,$D$5))</f>
        <v/>
      </c>
      <c r="F32" s="63">
        <f>IF($A32="","",SUMIFS(IEX_HANDLED,IEX_DATE,"&gt;="&amp;$A32,IEX_DATE,"&lt;="&amp;$A32,IEX_SITE,$D$3,IEX_QUEUE,$D$4,IEX_CHAN,$D$5))</f>
        <v/>
      </c>
      <c r="G32" s="63">
        <f>IF($A32="","",SUMIFS(VER_ABAND,VER_DATE,"&gt;="&amp;$A32,VER_DATE,"&lt;="&amp;$A32,VER_SITE,$D$3,VER_QUEUE,$D$4,VER_CHAN,$D$5))</f>
        <v/>
      </c>
      <c r="H32" s="63">
        <f>IF($A32="","",SUMIFS(IEX_ABAND,IEX_DATE,"&gt;="&amp;$A32,IEX_DATE,"&lt;="&amp;$A32,IEX_SITE,$D$3,IEX_QUEUE,$D$4,IEX_CHAN,$D$5))</f>
        <v/>
      </c>
      <c r="I32" s="64">
        <f>IF(C32="","",IFERROR(G32/C32,0))</f>
        <v/>
      </c>
      <c r="J32" s="64">
        <f>IF(D32="","",IFERROR(H32/D32,0))</f>
        <v/>
      </c>
      <c r="K32" s="64">
        <f>IF(C32="","",IFERROR(SUMPRODUCT((((VER_DATE&gt;=$A32)*(VER_DATE&lt;=$A32)))*(((($B$6="ALL")+(VER_SITE=$B$6))&gt;0))*(((($B$7="ALL")+(VER_QUEUE=$B$7))&gt;0))*(((($B$8="ALL")+(VER_CHAN=$B$8))&gt;0))*VER_SL*VER_OFFERED)/C32,0))</f>
        <v/>
      </c>
      <c r="L32" s="64">
        <f>IF(D32="","",IFERROR(SUMPRODUCT((((IEX_DATE&gt;=$A32)*(IEX_DATE&lt;=$A32)))*(((($B$6="ALL")+(IEX_SITE=$B$6))&gt;0))*(((($B$7="ALL")+(IEX_QUEUE=$B$7))&gt;0))*(((($B$8="ALL")+(IEX_CHAN=$B$8))&gt;0))*IEX_SL*IEX_OFFERED)/D32,0))</f>
        <v/>
      </c>
      <c r="M32" s="65">
        <f>IF(C32="","",IFERROR((SUMIFS(VER_TALK,VER_DATE,"&gt;="&amp;$A32,VER_DATE,"&lt;="&amp;$A32,VER_SITE,$D$3,VER_QUEUE,$D$4,VER_CHAN,$D$5)+SUMIFS(VER_HOLD,VER_DATE,"&gt;="&amp;$A32,VER_DATE,"&lt;="&amp;$A32,VER_SITE,$D$3,VER_QUEUE,$D$4,VER_CHAN,$D$5)+SUMIFS(VER_ACW,VER_DATE,"&gt;="&amp;$A32,VER_DATE,"&lt;="&amp;$A32,VER_SITE,$D$3,VER_QUEUE,$D$4,VER_CHAN,$D$5))/E32,0))</f>
        <v/>
      </c>
      <c r="N32" s="65">
        <f>IF(D32="","",IFERROR((SUMIFS(IEX_TALK,IEX_DATE,"&gt;="&amp;$A32,IEX_DATE,"&lt;="&amp;$A32,IEX_SITE,$D$3,IEX_QUEUE,$D$4,IEX_CHAN,$D$5)+SUMIFS(IEX_HOLD,IEX_DATE,"&gt;="&amp;$A32,IEX_DATE,"&lt;="&amp;$A32,IEX_SITE,$D$3,IEX_QUEUE,$D$4,IEX_CHAN,$D$5)+SUMIFS(IEX_ACW,IEX_DATE,"&gt;="&amp;$A32,IEX_DATE,"&lt;="&amp;$A32,IEX_SITE,$D$3,IEX_QUEUE,$D$4,IEX_CHAN,$D$5))/F32,0))</f>
        <v/>
      </c>
    </row>
    <row r="33">
      <c r="A33" s="61">
        <f>IF(OR(A32="",A32+1&gt;$B$4),"",A32+1)</f>
        <v/>
      </c>
      <c r="B33" s="62">
        <f>IF(A33="","",TEXT(A33,"ddd"))</f>
        <v/>
      </c>
      <c r="C33" s="63">
        <f>IF($A33="","",SUMIFS(VER_OFFERED,VER_DATE,"&gt;="&amp;$A33,VER_DATE,"&lt;="&amp;$A33,VER_SITE,$D$3,VER_QUEUE,$D$4,VER_CHAN,$D$5))</f>
        <v/>
      </c>
      <c r="D33" s="63">
        <f>IF($A33="","",SUMIFS(IEX_OFFERED,IEX_DATE,"&gt;="&amp;$A33,IEX_DATE,"&lt;="&amp;$A33,IEX_SITE,$D$3,IEX_QUEUE,$D$4,IEX_CHAN,$D$5))</f>
        <v/>
      </c>
      <c r="E33" s="63">
        <f>IF($A33="","",SUMIFS(VER_HANDLED,VER_DATE,"&gt;="&amp;$A33,VER_DATE,"&lt;="&amp;$A33,VER_SITE,$D$3,VER_QUEUE,$D$4,VER_CHAN,$D$5))</f>
        <v/>
      </c>
      <c r="F33" s="63">
        <f>IF($A33="","",SUMIFS(IEX_HANDLED,IEX_DATE,"&gt;="&amp;$A33,IEX_DATE,"&lt;="&amp;$A33,IEX_SITE,$D$3,IEX_QUEUE,$D$4,IEX_CHAN,$D$5))</f>
        <v/>
      </c>
      <c r="G33" s="63">
        <f>IF($A33="","",SUMIFS(VER_ABAND,VER_DATE,"&gt;="&amp;$A33,VER_DATE,"&lt;="&amp;$A33,VER_SITE,$D$3,VER_QUEUE,$D$4,VER_CHAN,$D$5))</f>
        <v/>
      </c>
      <c r="H33" s="63">
        <f>IF($A33="","",SUMIFS(IEX_ABAND,IEX_DATE,"&gt;="&amp;$A33,IEX_DATE,"&lt;="&amp;$A33,IEX_SITE,$D$3,IEX_QUEUE,$D$4,IEX_CHAN,$D$5))</f>
        <v/>
      </c>
      <c r="I33" s="64">
        <f>IF(C33="","",IFERROR(G33/C33,0))</f>
        <v/>
      </c>
      <c r="J33" s="64">
        <f>IF(D33="","",IFERROR(H33/D33,0))</f>
        <v/>
      </c>
      <c r="K33" s="64">
        <f>IF(C33="","",IFERROR(SUMPRODUCT((((VER_DATE&gt;=$A33)*(VER_DATE&lt;=$A33)))*(((($B$6="ALL")+(VER_SITE=$B$6))&gt;0))*(((($B$7="ALL")+(VER_QUEUE=$B$7))&gt;0))*(((($B$8="ALL")+(VER_CHAN=$B$8))&gt;0))*VER_SL*VER_OFFERED)/C33,0))</f>
        <v/>
      </c>
      <c r="L33" s="64">
        <f>IF(D33="","",IFERROR(SUMPRODUCT((((IEX_DATE&gt;=$A33)*(IEX_DATE&lt;=$A33)))*(((($B$6="ALL")+(IEX_SITE=$B$6))&gt;0))*(((($B$7="ALL")+(IEX_QUEUE=$B$7))&gt;0))*(((($B$8="ALL")+(IEX_CHAN=$B$8))&gt;0))*IEX_SL*IEX_OFFERED)/D33,0))</f>
        <v/>
      </c>
      <c r="M33" s="65">
        <f>IF(C33="","",IFERROR((SUMIFS(VER_TALK,VER_DATE,"&gt;="&amp;$A33,VER_DATE,"&lt;="&amp;$A33,VER_SITE,$D$3,VER_QUEUE,$D$4,VER_CHAN,$D$5)+SUMIFS(VER_HOLD,VER_DATE,"&gt;="&amp;$A33,VER_DATE,"&lt;="&amp;$A33,VER_SITE,$D$3,VER_QUEUE,$D$4,VER_CHAN,$D$5)+SUMIFS(VER_ACW,VER_DATE,"&gt;="&amp;$A33,VER_DATE,"&lt;="&amp;$A33,VER_SITE,$D$3,VER_QUEUE,$D$4,VER_CHAN,$D$5))/E33,0))</f>
        <v/>
      </c>
      <c r="N33" s="65">
        <f>IF(D33="","",IFERROR((SUMIFS(IEX_TALK,IEX_DATE,"&gt;="&amp;$A33,IEX_DATE,"&lt;="&amp;$A33,IEX_SITE,$D$3,IEX_QUEUE,$D$4,IEX_CHAN,$D$5)+SUMIFS(IEX_HOLD,IEX_DATE,"&gt;="&amp;$A33,IEX_DATE,"&lt;="&amp;$A33,IEX_SITE,$D$3,IEX_QUEUE,$D$4,IEX_CHAN,$D$5)+SUMIFS(IEX_ACW,IEX_DATE,"&gt;="&amp;$A33,IEX_DATE,"&lt;="&amp;$A33,IEX_SITE,$D$3,IEX_QUEUE,$D$4,IEX_CHAN,$D$5))/F33,0))</f>
        <v/>
      </c>
    </row>
    <row r="34">
      <c r="A34" s="61">
        <f>IF(OR(A33="",A33+1&gt;$B$4),"",A33+1)</f>
        <v/>
      </c>
      <c r="B34" s="62">
        <f>IF(A34="","",TEXT(A34,"ddd"))</f>
        <v/>
      </c>
      <c r="C34" s="63">
        <f>IF($A34="","",SUMIFS(VER_OFFERED,VER_DATE,"&gt;="&amp;$A34,VER_DATE,"&lt;="&amp;$A34,VER_SITE,$D$3,VER_QUEUE,$D$4,VER_CHAN,$D$5))</f>
        <v/>
      </c>
      <c r="D34" s="63">
        <f>IF($A34="","",SUMIFS(IEX_OFFERED,IEX_DATE,"&gt;="&amp;$A34,IEX_DATE,"&lt;="&amp;$A34,IEX_SITE,$D$3,IEX_QUEUE,$D$4,IEX_CHAN,$D$5))</f>
        <v/>
      </c>
      <c r="E34" s="63">
        <f>IF($A34="","",SUMIFS(VER_HANDLED,VER_DATE,"&gt;="&amp;$A34,VER_DATE,"&lt;="&amp;$A34,VER_SITE,$D$3,VER_QUEUE,$D$4,VER_CHAN,$D$5))</f>
        <v/>
      </c>
      <c r="F34" s="63">
        <f>IF($A34="","",SUMIFS(IEX_HANDLED,IEX_DATE,"&gt;="&amp;$A34,IEX_DATE,"&lt;="&amp;$A34,IEX_SITE,$D$3,IEX_QUEUE,$D$4,IEX_CHAN,$D$5))</f>
        <v/>
      </c>
      <c r="G34" s="63">
        <f>IF($A34="","",SUMIFS(VER_ABAND,VER_DATE,"&gt;="&amp;$A34,VER_DATE,"&lt;="&amp;$A34,VER_SITE,$D$3,VER_QUEUE,$D$4,VER_CHAN,$D$5))</f>
        <v/>
      </c>
      <c r="H34" s="63">
        <f>IF($A34="","",SUMIFS(IEX_ABAND,IEX_DATE,"&gt;="&amp;$A34,IEX_DATE,"&lt;="&amp;$A34,IEX_SITE,$D$3,IEX_QUEUE,$D$4,IEX_CHAN,$D$5))</f>
        <v/>
      </c>
      <c r="I34" s="64">
        <f>IF(C34="","",IFERROR(G34/C34,0))</f>
        <v/>
      </c>
      <c r="J34" s="64">
        <f>IF(D34="","",IFERROR(H34/D34,0))</f>
        <v/>
      </c>
      <c r="K34" s="64">
        <f>IF(C34="","",IFERROR(SUMPRODUCT((((VER_DATE&gt;=$A34)*(VER_DATE&lt;=$A34)))*(((($B$6="ALL")+(VER_SITE=$B$6))&gt;0))*(((($B$7="ALL")+(VER_QUEUE=$B$7))&gt;0))*(((($B$8="ALL")+(VER_CHAN=$B$8))&gt;0))*VER_SL*VER_OFFERED)/C34,0))</f>
        <v/>
      </c>
      <c r="L34" s="64">
        <f>IF(D34="","",IFERROR(SUMPRODUCT((((IEX_DATE&gt;=$A34)*(IEX_DATE&lt;=$A34)))*(((($B$6="ALL")+(IEX_SITE=$B$6))&gt;0))*(((($B$7="ALL")+(IEX_QUEUE=$B$7))&gt;0))*(((($B$8="ALL")+(IEX_CHAN=$B$8))&gt;0))*IEX_SL*IEX_OFFERED)/D34,0))</f>
        <v/>
      </c>
      <c r="M34" s="65">
        <f>IF(C34="","",IFERROR((SUMIFS(VER_TALK,VER_DATE,"&gt;="&amp;$A34,VER_DATE,"&lt;="&amp;$A34,VER_SITE,$D$3,VER_QUEUE,$D$4,VER_CHAN,$D$5)+SUMIFS(VER_HOLD,VER_DATE,"&gt;="&amp;$A34,VER_DATE,"&lt;="&amp;$A34,VER_SITE,$D$3,VER_QUEUE,$D$4,VER_CHAN,$D$5)+SUMIFS(VER_ACW,VER_DATE,"&gt;="&amp;$A34,VER_DATE,"&lt;="&amp;$A34,VER_SITE,$D$3,VER_QUEUE,$D$4,VER_CHAN,$D$5))/E34,0))</f>
        <v/>
      </c>
      <c r="N34" s="65">
        <f>IF(D34="","",IFERROR((SUMIFS(IEX_TALK,IEX_DATE,"&gt;="&amp;$A34,IEX_DATE,"&lt;="&amp;$A34,IEX_SITE,$D$3,IEX_QUEUE,$D$4,IEX_CHAN,$D$5)+SUMIFS(IEX_HOLD,IEX_DATE,"&gt;="&amp;$A34,IEX_DATE,"&lt;="&amp;$A34,IEX_SITE,$D$3,IEX_QUEUE,$D$4,IEX_CHAN,$D$5)+SUMIFS(IEX_ACW,IEX_DATE,"&gt;="&amp;$A34,IEX_DATE,"&lt;="&amp;$A34,IEX_SITE,$D$3,IEX_QUEUE,$D$4,IEX_CHAN,$D$5))/F34,0))</f>
        <v/>
      </c>
    </row>
    <row r="35">
      <c r="A35" s="61">
        <f>IF(OR(A34="",A34+1&gt;$B$4),"",A34+1)</f>
        <v/>
      </c>
      <c r="B35" s="62">
        <f>IF(A35="","",TEXT(A35,"ddd"))</f>
        <v/>
      </c>
      <c r="C35" s="63">
        <f>IF($A35="","",SUMIFS(VER_OFFERED,VER_DATE,"&gt;="&amp;$A35,VER_DATE,"&lt;="&amp;$A35,VER_SITE,$D$3,VER_QUEUE,$D$4,VER_CHAN,$D$5))</f>
        <v/>
      </c>
      <c r="D35" s="63">
        <f>IF($A35="","",SUMIFS(IEX_OFFERED,IEX_DATE,"&gt;="&amp;$A35,IEX_DATE,"&lt;="&amp;$A35,IEX_SITE,$D$3,IEX_QUEUE,$D$4,IEX_CHAN,$D$5))</f>
        <v/>
      </c>
      <c r="E35" s="63">
        <f>IF($A35="","",SUMIFS(VER_HANDLED,VER_DATE,"&gt;="&amp;$A35,VER_DATE,"&lt;="&amp;$A35,VER_SITE,$D$3,VER_QUEUE,$D$4,VER_CHAN,$D$5))</f>
        <v/>
      </c>
      <c r="F35" s="63">
        <f>IF($A35="","",SUMIFS(IEX_HANDLED,IEX_DATE,"&gt;="&amp;$A35,IEX_DATE,"&lt;="&amp;$A35,IEX_SITE,$D$3,IEX_QUEUE,$D$4,IEX_CHAN,$D$5))</f>
        <v/>
      </c>
      <c r="G35" s="63">
        <f>IF($A35="","",SUMIFS(VER_ABAND,VER_DATE,"&gt;="&amp;$A35,VER_DATE,"&lt;="&amp;$A35,VER_SITE,$D$3,VER_QUEUE,$D$4,VER_CHAN,$D$5))</f>
        <v/>
      </c>
      <c r="H35" s="63">
        <f>IF($A35="","",SUMIFS(IEX_ABAND,IEX_DATE,"&gt;="&amp;$A35,IEX_DATE,"&lt;="&amp;$A35,IEX_SITE,$D$3,IEX_QUEUE,$D$4,IEX_CHAN,$D$5))</f>
        <v/>
      </c>
      <c r="I35" s="64">
        <f>IF(C35="","",IFERROR(G35/C35,0))</f>
        <v/>
      </c>
      <c r="J35" s="64">
        <f>IF(D35="","",IFERROR(H35/D35,0))</f>
        <v/>
      </c>
      <c r="K35" s="64">
        <f>IF(C35="","",IFERROR(SUMPRODUCT((((VER_DATE&gt;=$A35)*(VER_DATE&lt;=$A35)))*(((($B$6="ALL")+(VER_SITE=$B$6))&gt;0))*(((($B$7="ALL")+(VER_QUEUE=$B$7))&gt;0))*(((($B$8="ALL")+(VER_CHAN=$B$8))&gt;0))*VER_SL*VER_OFFERED)/C35,0))</f>
        <v/>
      </c>
      <c r="L35" s="64">
        <f>IF(D35="","",IFERROR(SUMPRODUCT((((IEX_DATE&gt;=$A35)*(IEX_DATE&lt;=$A35)))*(((($B$6="ALL")+(IEX_SITE=$B$6))&gt;0))*(((($B$7="ALL")+(IEX_QUEUE=$B$7))&gt;0))*(((($B$8="ALL")+(IEX_CHAN=$B$8))&gt;0))*IEX_SL*IEX_OFFERED)/D35,0))</f>
        <v/>
      </c>
      <c r="M35" s="65">
        <f>IF(C35="","",IFERROR((SUMIFS(VER_TALK,VER_DATE,"&gt;="&amp;$A35,VER_DATE,"&lt;="&amp;$A35,VER_SITE,$D$3,VER_QUEUE,$D$4,VER_CHAN,$D$5)+SUMIFS(VER_HOLD,VER_DATE,"&gt;="&amp;$A35,VER_DATE,"&lt;="&amp;$A35,VER_SITE,$D$3,VER_QUEUE,$D$4,VER_CHAN,$D$5)+SUMIFS(VER_ACW,VER_DATE,"&gt;="&amp;$A35,VER_DATE,"&lt;="&amp;$A35,VER_SITE,$D$3,VER_QUEUE,$D$4,VER_CHAN,$D$5))/E35,0))</f>
        <v/>
      </c>
      <c r="N35" s="65">
        <f>IF(D35="","",IFERROR((SUMIFS(IEX_TALK,IEX_DATE,"&gt;="&amp;$A35,IEX_DATE,"&lt;="&amp;$A35,IEX_SITE,$D$3,IEX_QUEUE,$D$4,IEX_CHAN,$D$5)+SUMIFS(IEX_HOLD,IEX_DATE,"&gt;="&amp;$A35,IEX_DATE,"&lt;="&amp;$A35,IEX_SITE,$D$3,IEX_QUEUE,$D$4,IEX_CHAN,$D$5)+SUMIFS(IEX_ACW,IEX_DATE,"&gt;="&amp;$A35,IEX_DATE,"&lt;="&amp;$A35,IEX_SITE,$D$3,IEX_QUEUE,$D$4,IEX_CHAN,$D$5))/F35,0))</f>
        <v/>
      </c>
    </row>
    <row r="36">
      <c r="A36" s="61">
        <f>IF(OR(A35="",A35+1&gt;$B$4),"",A35+1)</f>
        <v/>
      </c>
      <c r="B36" s="62">
        <f>IF(A36="","",TEXT(A36,"ddd"))</f>
        <v/>
      </c>
      <c r="C36" s="63">
        <f>IF($A36="","",SUMIFS(VER_OFFERED,VER_DATE,"&gt;="&amp;$A36,VER_DATE,"&lt;="&amp;$A36,VER_SITE,$D$3,VER_QUEUE,$D$4,VER_CHAN,$D$5))</f>
        <v/>
      </c>
      <c r="D36" s="63">
        <f>IF($A36="","",SUMIFS(IEX_OFFERED,IEX_DATE,"&gt;="&amp;$A36,IEX_DATE,"&lt;="&amp;$A36,IEX_SITE,$D$3,IEX_QUEUE,$D$4,IEX_CHAN,$D$5))</f>
        <v/>
      </c>
      <c r="E36" s="63">
        <f>IF($A36="","",SUMIFS(VER_HANDLED,VER_DATE,"&gt;="&amp;$A36,VER_DATE,"&lt;="&amp;$A36,VER_SITE,$D$3,VER_QUEUE,$D$4,VER_CHAN,$D$5))</f>
        <v/>
      </c>
      <c r="F36" s="63">
        <f>IF($A36="","",SUMIFS(IEX_HANDLED,IEX_DATE,"&gt;="&amp;$A36,IEX_DATE,"&lt;="&amp;$A36,IEX_SITE,$D$3,IEX_QUEUE,$D$4,IEX_CHAN,$D$5))</f>
        <v/>
      </c>
      <c r="G36" s="63">
        <f>IF($A36="","",SUMIFS(VER_ABAND,VER_DATE,"&gt;="&amp;$A36,VER_DATE,"&lt;="&amp;$A36,VER_SITE,$D$3,VER_QUEUE,$D$4,VER_CHAN,$D$5))</f>
        <v/>
      </c>
      <c r="H36" s="63">
        <f>IF($A36="","",SUMIFS(IEX_ABAND,IEX_DATE,"&gt;="&amp;$A36,IEX_DATE,"&lt;="&amp;$A36,IEX_SITE,$D$3,IEX_QUEUE,$D$4,IEX_CHAN,$D$5))</f>
        <v/>
      </c>
      <c r="I36" s="64">
        <f>IF(C36="","",IFERROR(G36/C36,0))</f>
        <v/>
      </c>
      <c r="J36" s="64">
        <f>IF(D36="","",IFERROR(H36/D36,0))</f>
        <v/>
      </c>
      <c r="K36" s="64">
        <f>IF(C36="","",IFERROR(SUMPRODUCT((((VER_DATE&gt;=$A36)*(VER_DATE&lt;=$A36)))*(((($B$6="ALL")+(VER_SITE=$B$6))&gt;0))*(((($B$7="ALL")+(VER_QUEUE=$B$7))&gt;0))*(((($B$8="ALL")+(VER_CHAN=$B$8))&gt;0))*VER_SL*VER_OFFERED)/C36,0))</f>
        <v/>
      </c>
      <c r="L36" s="64">
        <f>IF(D36="","",IFERROR(SUMPRODUCT((((IEX_DATE&gt;=$A36)*(IEX_DATE&lt;=$A36)))*(((($B$6="ALL")+(IEX_SITE=$B$6))&gt;0))*(((($B$7="ALL")+(IEX_QUEUE=$B$7))&gt;0))*(((($B$8="ALL")+(IEX_CHAN=$B$8))&gt;0))*IEX_SL*IEX_OFFERED)/D36,0))</f>
        <v/>
      </c>
      <c r="M36" s="65">
        <f>IF(C36="","",IFERROR((SUMIFS(VER_TALK,VER_DATE,"&gt;="&amp;$A36,VER_DATE,"&lt;="&amp;$A36,VER_SITE,$D$3,VER_QUEUE,$D$4,VER_CHAN,$D$5)+SUMIFS(VER_HOLD,VER_DATE,"&gt;="&amp;$A36,VER_DATE,"&lt;="&amp;$A36,VER_SITE,$D$3,VER_QUEUE,$D$4,VER_CHAN,$D$5)+SUMIFS(VER_ACW,VER_DATE,"&gt;="&amp;$A36,VER_DATE,"&lt;="&amp;$A36,VER_SITE,$D$3,VER_QUEUE,$D$4,VER_CHAN,$D$5))/E36,0))</f>
        <v/>
      </c>
      <c r="N36" s="65">
        <f>IF(D36="","",IFERROR((SUMIFS(IEX_TALK,IEX_DATE,"&gt;="&amp;$A36,IEX_DATE,"&lt;="&amp;$A36,IEX_SITE,$D$3,IEX_QUEUE,$D$4,IEX_CHAN,$D$5)+SUMIFS(IEX_HOLD,IEX_DATE,"&gt;="&amp;$A36,IEX_DATE,"&lt;="&amp;$A36,IEX_SITE,$D$3,IEX_QUEUE,$D$4,IEX_CHAN,$D$5)+SUMIFS(IEX_ACW,IEX_DATE,"&gt;="&amp;$A36,IEX_DATE,"&lt;="&amp;$A36,IEX_SITE,$D$3,IEX_QUEUE,$D$4,IEX_CHAN,$D$5))/F36,0))</f>
        <v/>
      </c>
    </row>
    <row r="37">
      <c r="A37" s="61">
        <f>IF(OR(A36="",A36+1&gt;$B$4),"",A36+1)</f>
        <v/>
      </c>
      <c r="B37" s="62">
        <f>IF(A37="","",TEXT(A37,"ddd"))</f>
        <v/>
      </c>
      <c r="C37" s="63">
        <f>IF($A37="","",SUMIFS(VER_OFFERED,VER_DATE,"&gt;="&amp;$A37,VER_DATE,"&lt;="&amp;$A37,VER_SITE,$D$3,VER_QUEUE,$D$4,VER_CHAN,$D$5))</f>
        <v/>
      </c>
      <c r="D37" s="63">
        <f>IF($A37="","",SUMIFS(IEX_OFFERED,IEX_DATE,"&gt;="&amp;$A37,IEX_DATE,"&lt;="&amp;$A37,IEX_SITE,$D$3,IEX_QUEUE,$D$4,IEX_CHAN,$D$5))</f>
        <v/>
      </c>
      <c r="E37" s="63">
        <f>IF($A37="","",SUMIFS(VER_HANDLED,VER_DATE,"&gt;="&amp;$A37,VER_DATE,"&lt;="&amp;$A37,VER_SITE,$D$3,VER_QUEUE,$D$4,VER_CHAN,$D$5))</f>
        <v/>
      </c>
      <c r="F37" s="63">
        <f>IF($A37="","",SUMIFS(IEX_HANDLED,IEX_DATE,"&gt;="&amp;$A37,IEX_DATE,"&lt;="&amp;$A37,IEX_SITE,$D$3,IEX_QUEUE,$D$4,IEX_CHAN,$D$5))</f>
        <v/>
      </c>
      <c r="G37" s="63">
        <f>IF($A37="","",SUMIFS(VER_ABAND,VER_DATE,"&gt;="&amp;$A37,VER_DATE,"&lt;="&amp;$A37,VER_SITE,$D$3,VER_QUEUE,$D$4,VER_CHAN,$D$5))</f>
        <v/>
      </c>
      <c r="H37" s="63">
        <f>IF($A37="","",SUMIFS(IEX_ABAND,IEX_DATE,"&gt;="&amp;$A37,IEX_DATE,"&lt;="&amp;$A37,IEX_SITE,$D$3,IEX_QUEUE,$D$4,IEX_CHAN,$D$5))</f>
        <v/>
      </c>
      <c r="I37" s="64">
        <f>IF(C37="","",IFERROR(G37/C37,0))</f>
        <v/>
      </c>
      <c r="J37" s="64">
        <f>IF(D37="","",IFERROR(H37/D37,0))</f>
        <v/>
      </c>
      <c r="K37" s="64">
        <f>IF(C37="","",IFERROR(SUMPRODUCT((((VER_DATE&gt;=$A37)*(VER_DATE&lt;=$A37)))*(((($B$6="ALL")+(VER_SITE=$B$6))&gt;0))*(((($B$7="ALL")+(VER_QUEUE=$B$7))&gt;0))*(((($B$8="ALL")+(VER_CHAN=$B$8))&gt;0))*VER_SL*VER_OFFERED)/C37,0))</f>
        <v/>
      </c>
      <c r="L37" s="64">
        <f>IF(D37="","",IFERROR(SUMPRODUCT((((IEX_DATE&gt;=$A37)*(IEX_DATE&lt;=$A37)))*(((($B$6="ALL")+(IEX_SITE=$B$6))&gt;0))*(((($B$7="ALL")+(IEX_QUEUE=$B$7))&gt;0))*(((($B$8="ALL")+(IEX_CHAN=$B$8))&gt;0))*IEX_SL*IEX_OFFERED)/D37,0))</f>
        <v/>
      </c>
      <c r="M37" s="65">
        <f>IF(C37="","",IFERROR((SUMIFS(VER_TALK,VER_DATE,"&gt;="&amp;$A37,VER_DATE,"&lt;="&amp;$A37,VER_SITE,$D$3,VER_QUEUE,$D$4,VER_CHAN,$D$5)+SUMIFS(VER_HOLD,VER_DATE,"&gt;="&amp;$A37,VER_DATE,"&lt;="&amp;$A37,VER_SITE,$D$3,VER_QUEUE,$D$4,VER_CHAN,$D$5)+SUMIFS(VER_ACW,VER_DATE,"&gt;="&amp;$A37,VER_DATE,"&lt;="&amp;$A37,VER_SITE,$D$3,VER_QUEUE,$D$4,VER_CHAN,$D$5))/E37,0))</f>
        <v/>
      </c>
      <c r="N37" s="65">
        <f>IF(D37="","",IFERROR((SUMIFS(IEX_TALK,IEX_DATE,"&gt;="&amp;$A37,IEX_DATE,"&lt;="&amp;$A37,IEX_SITE,$D$3,IEX_QUEUE,$D$4,IEX_CHAN,$D$5)+SUMIFS(IEX_HOLD,IEX_DATE,"&gt;="&amp;$A37,IEX_DATE,"&lt;="&amp;$A37,IEX_SITE,$D$3,IEX_QUEUE,$D$4,IEX_CHAN,$D$5)+SUMIFS(IEX_ACW,IEX_DATE,"&gt;="&amp;$A37,IEX_DATE,"&lt;="&amp;$A37,IEX_SITE,$D$3,IEX_QUEUE,$D$4,IEX_CHAN,$D$5))/F37,0))</f>
        <v/>
      </c>
    </row>
    <row r="38">
      <c r="A38" s="61">
        <f>IF(OR(A37="",A37+1&gt;$B$4),"",A37+1)</f>
        <v/>
      </c>
      <c r="B38" s="62">
        <f>IF(A38="","",TEXT(A38,"ddd"))</f>
        <v/>
      </c>
      <c r="C38" s="63">
        <f>IF($A38="","",SUMIFS(VER_OFFERED,VER_DATE,"&gt;="&amp;$A38,VER_DATE,"&lt;="&amp;$A38,VER_SITE,$D$3,VER_QUEUE,$D$4,VER_CHAN,$D$5))</f>
        <v/>
      </c>
      <c r="D38" s="63">
        <f>IF($A38="","",SUMIFS(IEX_OFFERED,IEX_DATE,"&gt;="&amp;$A38,IEX_DATE,"&lt;="&amp;$A38,IEX_SITE,$D$3,IEX_QUEUE,$D$4,IEX_CHAN,$D$5))</f>
        <v/>
      </c>
      <c r="E38" s="63">
        <f>IF($A38="","",SUMIFS(VER_HANDLED,VER_DATE,"&gt;="&amp;$A38,VER_DATE,"&lt;="&amp;$A38,VER_SITE,$D$3,VER_QUEUE,$D$4,VER_CHAN,$D$5))</f>
        <v/>
      </c>
      <c r="F38" s="63">
        <f>IF($A38="","",SUMIFS(IEX_HANDLED,IEX_DATE,"&gt;="&amp;$A38,IEX_DATE,"&lt;="&amp;$A38,IEX_SITE,$D$3,IEX_QUEUE,$D$4,IEX_CHAN,$D$5))</f>
        <v/>
      </c>
      <c r="G38" s="63">
        <f>IF($A38="","",SUMIFS(VER_ABAND,VER_DATE,"&gt;="&amp;$A38,VER_DATE,"&lt;="&amp;$A38,VER_SITE,$D$3,VER_QUEUE,$D$4,VER_CHAN,$D$5))</f>
        <v/>
      </c>
      <c r="H38" s="63">
        <f>IF($A38="","",SUMIFS(IEX_ABAND,IEX_DATE,"&gt;="&amp;$A38,IEX_DATE,"&lt;="&amp;$A38,IEX_SITE,$D$3,IEX_QUEUE,$D$4,IEX_CHAN,$D$5))</f>
        <v/>
      </c>
      <c r="I38" s="64">
        <f>IF(C38="","",IFERROR(G38/C38,0))</f>
        <v/>
      </c>
      <c r="J38" s="64">
        <f>IF(D38="","",IFERROR(H38/D38,0))</f>
        <v/>
      </c>
      <c r="K38" s="64">
        <f>IF(C38="","",IFERROR(SUMPRODUCT((((VER_DATE&gt;=$A38)*(VER_DATE&lt;=$A38)))*(((($B$6="ALL")+(VER_SITE=$B$6))&gt;0))*(((($B$7="ALL")+(VER_QUEUE=$B$7))&gt;0))*(((($B$8="ALL")+(VER_CHAN=$B$8))&gt;0))*VER_SL*VER_OFFERED)/C38,0))</f>
        <v/>
      </c>
      <c r="L38" s="64">
        <f>IF(D38="","",IFERROR(SUMPRODUCT((((IEX_DATE&gt;=$A38)*(IEX_DATE&lt;=$A38)))*(((($B$6="ALL")+(IEX_SITE=$B$6))&gt;0))*(((($B$7="ALL")+(IEX_QUEUE=$B$7))&gt;0))*(((($B$8="ALL")+(IEX_CHAN=$B$8))&gt;0))*IEX_SL*IEX_OFFERED)/D38,0))</f>
        <v/>
      </c>
      <c r="M38" s="65">
        <f>IF(C38="","",IFERROR((SUMIFS(VER_TALK,VER_DATE,"&gt;="&amp;$A38,VER_DATE,"&lt;="&amp;$A38,VER_SITE,$D$3,VER_QUEUE,$D$4,VER_CHAN,$D$5)+SUMIFS(VER_HOLD,VER_DATE,"&gt;="&amp;$A38,VER_DATE,"&lt;="&amp;$A38,VER_SITE,$D$3,VER_QUEUE,$D$4,VER_CHAN,$D$5)+SUMIFS(VER_ACW,VER_DATE,"&gt;="&amp;$A38,VER_DATE,"&lt;="&amp;$A38,VER_SITE,$D$3,VER_QUEUE,$D$4,VER_CHAN,$D$5))/E38,0))</f>
        <v/>
      </c>
      <c r="N38" s="65">
        <f>IF(D38="","",IFERROR((SUMIFS(IEX_TALK,IEX_DATE,"&gt;="&amp;$A38,IEX_DATE,"&lt;="&amp;$A38,IEX_SITE,$D$3,IEX_QUEUE,$D$4,IEX_CHAN,$D$5)+SUMIFS(IEX_HOLD,IEX_DATE,"&gt;="&amp;$A38,IEX_DATE,"&lt;="&amp;$A38,IEX_SITE,$D$3,IEX_QUEUE,$D$4,IEX_CHAN,$D$5)+SUMIFS(IEX_ACW,IEX_DATE,"&gt;="&amp;$A38,IEX_DATE,"&lt;="&amp;$A38,IEX_SITE,$D$3,IEX_QUEUE,$D$4,IEX_CHAN,$D$5))/F38,0))</f>
        <v/>
      </c>
    </row>
    <row r="39">
      <c r="A39" s="61">
        <f>IF(OR(A38="",A38+1&gt;$B$4),"",A38+1)</f>
        <v/>
      </c>
      <c r="B39" s="62">
        <f>IF(A39="","",TEXT(A39,"ddd"))</f>
        <v/>
      </c>
      <c r="C39" s="63">
        <f>IF($A39="","",SUMIFS(VER_OFFERED,VER_DATE,"&gt;="&amp;$A39,VER_DATE,"&lt;="&amp;$A39,VER_SITE,$D$3,VER_QUEUE,$D$4,VER_CHAN,$D$5))</f>
        <v/>
      </c>
      <c r="D39" s="63">
        <f>IF($A39="","",SUMIFS(IEX_OFFERED,IEX_DATE,"&gt;="&amp;$A39,IEX_DATE,"&lt;="&amp;$A39,IEX_SITE,$D$3,IEX_QUEUE,$D$4,IEX_CHAN,$D$5))</f>
        <v/>
      </c>
      <c r="E39" s="63">
        <f>IF($A39="","",SUMIFS(VER_HANDLED,VER_DATE,"&gt;="&amp;$A39,VER_DATE,"&lt;="&amp;$A39,VER_SITE,$D$3,VER_QUEUE,$D$4,VER_CHAN,$D$5))</f>
        <v/>
      </c>
      <c r="F39" s="63">
        <f>IF($A39="","",SUMIFS(IEX_HANDLED,IEX_DATE,"&gt;="&amp;$A39,IEX_DATE,"&lt;="&amp;$A39,IEX_SITE,$D$3,IEX_QUEUE,$D$4,IEX_CHAN,$D$5))</f>
        <v/>
      </c>
      <c r="G39" s="63">
        <f>IF($A39="","",SUMIFS(VER_ABAND,VER_DATE,"&gt;="&amp;$A39,VER_DATE,"&lt;="&amp;$A39,VER_SITE,$D$3,VER_QUEUE,$D$4,VER_CHAN,$D$5))</f>
        <v/>
      </c>
      <c r="H39" s="63">
        <f>IF($A39="","",SUMIFS(IEX_ABAND,IEX_DATE,"&gt;="&amp;$A39,IEX_DATE,"&lt;="&amp;$A39,IEX_SITE,$D$3,IEX_QUEUE,$D$4,IEX_CHAN,$D$5))</f>
        <v/>
      </c>
      <c r="I39" s="64">
        <f>IF(C39="","",IFERROR(G39/C39,0))</f>
        <v/>
      </c>
      <c r="J39" s="64">
        <f>IF(D39="","",IFERROR(H39/D39,0))</f>
        <v/>
      </c>
      <c r="K39" s="64">
        <f>IF(C39="","",IFERROR(SUMPRODUCT((((VER_DATE&gt;=$A39)*(VER_DATE&lt;=$A39)))*(((($B$6="ALL")+(VER_SITE=$B$6))&gt;0))*(((($B$7="ALL")+(VER_QUEUE=$B$7))&gt;0))*(((($B$8="ALL")+(VER_CHAN=$B$8))&gt;0))*VER_SL*VER_OFFERED)/C39,0))</f>
        <v/>
      </c>
      <c r="L39" s="64">
        <f>IF(D39="","",IFERROR(SUMPRODUCT((((IEX_DATE&gt;=$A39)*(IEX_DATE&lt;=$A39)))*(((($B$6="ALL")+(IEX_SITE=$B$6))&gt;0))*(((($B$7="ALL")+(IEX_QUEUE=$B$7))&gt;0))*(((($B$8="ALL")+(IEX_CHAN=$B$8))&gt;0))*IEX_SL*IEX_OFFERED)/D39,0))</f>
        <v/>
      </c>
      <c r="M39" s="65">
        <f>IF(C39="","",IFERROR((SUMIFS(VER_TALK,VER_DATE,"&gt;="&amp;$A39,VER_DATE,"&lt;="&amp;$A39,VER_SITE,$D$3,VER_QUEUE,$D$4,VER_CHAN,$D$5)+SUMIFS(VER_HOLD,VER_DATE,"&gt;="&amp;$A39,VER_DATE,"&lt;="&amp;$A39,VER_SITE,$D$3,VER_QUEUE,$D$4,VER_CHAN,$D$5)+SUMIFS(VER_ACW,VER_DATE,"&gt;="&amp;$A39,VER_DATE,"&lt;="&amp;$A39,VER_SITE,$D$3,VER_QUEUE,$D$4,VER_CHAN,$D$5))/E39,0))</f>
        <v/>
      </c>
      <c r="N39" s="65">
        <f>IF(D39="","",IFERROR((SUMIFS(IEX_TALK,IEX_DATE,"&gt;="&amp;$A39,IEX_DATE,"&lt;="&amp;$A39,IEX_SITE,$D$3,IEX_QUEUE,$D$4,IEX_CHAN,$D$5)+SUMIFS(IEX_HOLD,IEX_DATE,"&gt;="&amp;$A39,IEX_DATE,"&lt;="&amp;$A39,IEX_SITE,$D$3,IEX_QUEUE,$D$4,IEX_CHAN,$D$5)+SUMIFS(IEX_ACW,IEX_DATE,"&gt;="&amp;$A39,IEX_DATE,"&lt;="&amp;$A39,IEX_SITE,$D$3,IEX_QUEUE,$D$4,IEX_CHAN,$D$5))/F39,0))</f>
        <v/>
      </c>
    </row>
    <row r="40">
      <c r="A40" s="61">
        <f>IF(OR(A39="",A39+1&gt;$B$4),"",A39+1)</f>
        <v/>
      </c>
      <c r="B40" s="62">
        <f>IF(A40="","",TEXT(A40,"ddd"))</f>
        <v/>
      </c>
      <c r="C40" s="63">
        <f>IF($A40="","",SUMIFS(VER_OFFERED,VER_DATE,"&gt;="&amp;$A40,VER_DATE,"&lt;="&amp;$A40,VER_SITE,$D$3,VER_QUEUE,$D$4,VER_CHAN,$D$5))</f>
        <v/>
      </c>
      <c r="D40" s="63">
        <f>IF($A40="","",SUMIFS(IEX_OFFERED,IEX_DATE,"&gt;="&amp;$A40,IEX_DATE,"&lt;="&amp;$A40,IEX_SITE,$D$3,IEX_QUEUE,$D$4,IEX_CHAN,$D$5))</f>
        <v/>
      </c>
      <c r="E40" s="63">
        <f>IF($A40="","",SUMIFS(VER_HANDLED,VER_DATE,"&gt;="&amp;$A40,VER_DATE,"&lt;="&amp;$A40,VER_SITE,$D$3,VER_QUEUE,$D$4,VER_CHAN,$D$5))</f>
        <v/>
      </c>
      <c r="F40" s="63">
        <f>IF($A40="","",SUMIFS(IEX_HANDLED,IEX_DATE,"&gt;="&amp;$A40,IEX_DATE,"&lt;="&amp;$A40,IEX_SITE,$D$3,IEX_QUEUE,$D$4,IEX_CHAN,$D$5))</f>
        <v/>
      </c>
      <c r="G40" s="63">
        <f>IF($A40="","",SUMIFS(VER_ABAND,VER_DATE,"&gt;="&amp;$A40,VER_DATE,"&lt;="&amp;$A40,VER_SITE,$D$3,VER_QUEUE,$D$4,VER_CHAN,$D$5))</f>
        <v/>
      </c>
      <c r="H40" s="63">
        <f>IF($A40="","",SUMIFS(IEX_ABAND,IEX_DATE,"&gt;="&amp;$A40,IEX_DATE,"&lt;="&amp;$A40,IEX_SITE,$D$3,IEX_QUEUE,$D$4,IEX_CHAN,$D$5))</f>
        <v/>
      </c>
      <c r="I40" s="64">
        <f>IF(C40="","",IFERROR(G40/C40,0))</f>
        <v/>
      </c>
      <c r="J40" s="64">
        <f>IF(D40="","",IFERROR(H40/D40,0))</f>
        <v/>
      </c>
      <c r="K40" s="64">
        <f>IF(C40="","",IFERROR(SUMPRODUCT((((VER_DATE&gt;=$A40)*(VER_DATE&lt;=$A40)))*(((($B$6="ALL")+(VER_SITE=$B$6))&gt;0))*(((($B$7="ALL")+(VER_QUEUE=$B$7))&gt;0))*(((($B$8="ALL")+(VER_CHAN=$B$8))&gt;0))*VER_SL*VER_OFFERED)/C40,0))</f>
        <v/>
      </c>
      <c r="L40" s="64">
        <f>IF(D40="","",IFERROR(SUMPRODUCT((((IEX_DATE&gt;=$A40)*(IEX_DATE&lt;=$A40)))*(((($B$6="ALL")+(IEX_SITE=$B$6))&gt;0))*(((($B$7="ALL")+(IEX_QUEUE=$B$7))&gt;0))*(((($B$8="ALL")+(IEX_CHAN=$B$8))&gt;0))*IEX_SL*IEX_OFFERED)/D40,0))</f>
        <v/>
      </c>
      <c r="M40" s="65">
        <f>IF(C40="","",IFERROR((SUMIFS(VER_TALK,VER_DATE,"&gt;="&amp;$A40,VER_DATE,"&lt;="&amp;$A40,VER_SITE,$D$3,VER_QUEUE,$D$4,VER_CHAN,$D$5)+SUMIFS(VER_HOLD,VER_DATE,"&gt;="&amp;$A40,VER_DATE,"&lt;="&amp;$A40,VER_SITE,$D$3,VER_QUEUE,$D$4,VER_CHAN,$D$5)+SUMIFS(VER_ACW,VER_DATE,"&gt;="&amp;$A40,VER_DATE,"&lt;="&amp;$A40,VER_SITE,$D$3,VER_QUEUE,$D$4,VER_CHAN,$D$5))/E40,0))</f>
        <v/>
      </c>
      <c r="N40" s="65">
        <f>IF(D40="","",IFERROR((SUMIFS(IEX_TALK,IEX_DATE,"&gt;="&amp;$A40,IEX_DATE,"&lt;="&amp;$A40,IEX_SITE,$D$3,IEX_QUEUE,$D$4,IEX_CHAN,$D$5)+SUMIFS(IEX_HOLD,IEX_DATE,"&gt;="&amp;$A40,IEX_DATE,"&lt;="&amp;$A40,IEX_SITE,$D$3,IEX_QUEUE,$D$4,IEX_CHAN,$D$5)+SUMIFS(IEX_ACW,IEX_DATE,"&gt;="&amp;$A40,IEX_DATE,"&lt;="&amp;$A40,IEX_SITE,$D$3,IEX_QUEUE,$D$4,IEX_CHAN,$D$5))/F40,0))</f>
        <v/>
      </c>
    </row>
    <row r="41">
      <c r="A41" s="61">
        <f>IF(OR(A40="",A40+1&gt;$B$4),"",A40+1)</f>
        <v/>
      </c>
      <c r="B41" s="62">
        <f>IF(A41="","",TEXT(A41,"ddd"))</f>
        <v/>
      </c>
      <c r="C41" s="63">
        <f>IF($A41="","",SUMIFS(VER_OFFERED,VER_DATE,"&gt;="&amp;$A41,VER_DATE,"&lt;="&amp;$A41,VER_SITE,$D$3,VER_QUEUE,$D$4,VER_CHAN,$D$5))</f>
        <v/>
      </c>
      <c r="D41" s="63">
        <f>IF($A41="","",SUMIFS(IEX_OFFERED,IEX_DATE,"&gt;="&amp;$A41,IEX_DATE,"&lt;="&amp;$A41,IEX_SITE,$D$3,IEX_QUEUE,$D$4,IEX_CHAN,$D$5))</f>
        <v/>
      </c>
      <c r="E41" s="63">
        <f>IF($A41="","",SUMIFS(VER_HANDLED,VER_DATE,"&gt;="&amp;$A41,VER_DATE,"&lt;="&amp;$A41,VER_SITE,$D$3,VER_QUEUE,$D$4,VER_CHAN,$D$5))</f>
        <v/>
      </c>
      <c r="F41" s="63">
        <f>IF($A41="","",SUMIFS(IEX_HANDLED,IEX_DATE,"&gt;="&amp;$A41,IEX_DATE,"&lt;="&amp;$A41,IEX_SITE,$D$3,IEX_QUEUE,$D$4,IEX_CHAN,$D$5))</f>
        <v/>
      </c>
      <c r="G41" s="63">
        <f>IF($A41="","",SUMIFS(VER_ABAND,VER_DATE,"&gt;="&amp;$A41,VER_DATE,"&lt;="&amp;$A41,VER_SITE,$D$3,VER_QUEUE,$D$4,VER_CHAN,$D$5))</f>
        <v/>
      </c>
      <c r="H41" s="63">
        <f>IF($A41="","",SUMIFS(IEX_ABAND,IEX_DATE,"&gt;="&amp;$A41,IEX_DATE,"&lt;="&amp;$A41,IEX_SITE,$D$3,IEX_QUEUE,$D$4,IEX_CHAN,$D$5))</f>
        <v/>
      </c>
      <c r="I41" s="64">
        <f>IF(C41="","",IFERROR(G41/C41,0))</f>
        <v/>
      </c>
      <c r="J41" s="64">
        <f>IF(D41="","",IFERROR(H41/D41,0))</f>
        <v/>
      </c>
      <c r="K41" s="64">
        <f>IF(C41="","",IFERROR(SUMPRODUCT((((VER_DATE&gt;=$A41)*(VER_DATE&lt;=$A41)))*(((($B$6="ALL")+(VER_SITE=$B$6))&gt;0))*(((($B$7="ALL")+(VER_QUEUE=$B$7))&gt;0))*(((($B$8="ALL")+(VER_CHAN=$B$8))&gt;0))*VER_SL*VER_OFFERED)/C41,0))</f>
        <v/>
      </c>
      <c r="L41" s="64">
        <f>IF(D41="","",IFERROR(SUMPRODUCT((((IEX_DATE&gt;=$A41)*(IEX_DATE&lt;=$A41)))*(((($B$6="ALL")+(IEX_SITE=$B$6))&gt;0))*(((($B$7="ALL")+(IEX_QUEUE=$B$7))&gt;0))*(((($B$8="ALL")+(IEX_CHAN=$B$8))&gt;0))*IEX_SL*IEX_OFFERED)/D41,0))</f>
        <v/>
      </c>
      <c r="M41" s="65">
        <f>IF(C41="","",IFERROR((SUMIFS(VER_TALK,VER_DATE,"&gt;="&amp;$A41,VER_DATE,"&lt;="&amp;$A41,VER_SITE,$D$3,VER_QUEUE,$D$4,VER_CHAN,$D$5)+SUMIFS(VER_HOLD,VER_DATE,"&gt;="&amp;$A41,VER_DATE,"&lt;="&amp;$A41,VER_SITE,$D$3,VER_QUEUE,$D$4,VER_CHAN,$D$5)+SUMIFS(VER_ACW,VER_DATE,"&gt;="&amp;$A41,VER_DATE,"&lt;="&amp;$A41,VER_SITE,$D$3,VER_QUEUE,$D$4,VER_CHAN,$D$5))/E41,0))</f>
        <v/>
      </c>
      <c r="N41" s="65">
        <f>IF(D41="","",IFERROR((SUMIFS(IEX_TALK,IEX_DATE,"&gt;="&amp;$A41,IEX_DATE,"&lt;="&amp;$A41,IEX_SITE,$D$3,IEX_QUEUE,$D$4,IEX_CHAN,$D$5)+SUMIFS(IEX_HOLD,IEX_DATE,"&gt;="&amp;$A41,IEX_DATE,"&lt;="&amp;$A41,IEX_SITE,$D$3,IEX_QUEUE,$D$4,IEX_CHAN,$D$5)+SUMIFS(IEX_ACW,IEX_DATE,"&gt;="&amp;$A41,IEX_DATE,"&lt;="&amp;$A41,IEX_SITE,$D$3,IEX_QUEUE,$D$4,IEX_CHAN,$D$5))/F41,0))</f>
        <v/>
      </c>
    </row>
    <row r="42">
      <c r="A42" s="61">
        <f>IF(OR(A41="",A41+1&gt;$B$4),"",A41+1)</f>
        <v/>
      </c>
      <c r="B42" s="62">
        <f>IF(A42="","",TEXT(A42,"ddd"))</f>
        <v/>
      </c>
      <c r="C42" s="63">
        <f>IF($A42="","",SUMIFS(VER_OFFERED,VER_DATE,"&gt;="&amp;$A42,VER_DATE,"&lt;="&amp;$A42,VER_SITE,$D$3,VER_QUEUE,$D$4,VER_CHAN,$D$5))</f>
        <v/>
      </c>
      <c r="D42" s="63">
        <f>IF($A42="","",SUMIFS(IEX_OFFERED,IEX_DATE,"&gt;="&amp;$A42,IEX_DATE,"&lt;="&amp;$A42,IEX_SITE,$D$3,IEX_QUEUE,$D$4,IEX_CHAN,$D$5))</f>
        <v/>
      </c>
      <c r="E42" s="63">
        <f>IF($A42="","",SUMIFS(VER_HANDLED,VER_DATE,"&gt;="&amp;$A42,VER_DATE,"&lt;="&amp;$A42,VER_SITE,$D$3,VER_QUEUE,$D$4,VER_CHAN,$D$5))</f>
        <v/>
      </c>
      <c r="F42" s="63">
        <f>IF($A42="","",SUMIFS(IEX_HANDLED,IEX_DATE,"&gt;="&amp;$A42,IEX_DATE,"&lt;="&amp;$A42,IEX_SITE,$D$3,IEX_QUEUE,$D$4,IEX_CHAN,$D$5))</f>
        <v/>
      </c>
      <c r="G42" s="63">
        <f>IF($A42="","",SUMIFS(VER_ABAND,VER_DATE,"&gt;="&amp;$A42,VER_DATE,"&lt;="&amp;$A42,VER_SITE,$D$3,VER_QUEUE,$D$4,VER_CHAN,$D$5))</f>
        <v/>
      </c>
      <c r="H42" s="63">
        <f>IF($A42="","",SUMIFS(IEX_ABAND,IEX_DATE,"&gt;="&amp;$A42,IEX_DATE,"&lt;="&amp;$A42,IEX_SITE,$D$3,IEX_QUEUE,$D$4,IEX_CHAN,$D$5))</f>
        <v/>
      </c>
      <c r="I42" s="64">
        <f>IF(C42="","",IFERROR(G42/C42,0))</f>
        <v/>
      </c>
      <c r="J42" s="64">
        <f>IF(D42="","",IFERROR(H42/D42,0))</f>
        <v/>
      </c>
      <c r="K42" s="64">
        <f>IF(C42="","",IFERROR(SUMPRODUCT((((VER_DATE&gt;=$A42)*(VER_DATE&lt;=$A42)))*(((($B$6="ALL")+(VER_SITE=$B$6))&gt;0))*(((($B$7="ALL")+(VER_QUEUE=$B$7))&gt;0))*(((($B$8="ALL")+(VER_CHAN=$B$8))&gt;0))*VER_SL*VER_OFFERED)/C42,0))</f>
        <v/>
      </c>
      <c r="L42" s="64">
        <f>IF(D42="","",IFERROR(SUMPRODUCT((((IEX_DATE&gt;=$A42)*(IEX_DATE&lt;=$A42)))*(((($B$6="ALL")+(IEX_SITE=$B$6))&gt;0))*(((($B$7="ALL")+(IEX_QUEUE=$B$7))&gt;0))*(((($B$8="ALL")+(IEX_CHAN=$B$8))&gt;0))*IEX_SL*IEX_OFFERED)/D42,0))</f>
        <v/>
      </c>
      <c r="M42" s="65">
        <f>IF(C42="","",IFERROR((SUMIFS(VER_TALK,VER_DATE,"&gt;="&amp;$A42,VER_DATE,"&lt;="&amp;$A42,VER_SITE,$D$3,VER_QUEUE,$D$4,VER_CHAN,$D$5)+SUMIFS(VER_HOLD,VER_DATE,"&gt;="&amp;$A42,VER_DATE,"&lt;="&amp;$A42,VER_SITE,$D$3,VER_QUEUE,$D$4,VER_CHAN,$D$5)+SUMIFS(VER_ACW,VER_DATE,"&gt;="&amp;$A42,VER_DATE,"&lt;="&amp;$A42,VER_SITE,$D$3,VER_QUEUE,$D$4,VER_CHAN,$D$5))/E42,0))</f>
        <v/>
      </c>
      <c r="N42" s="65">
        <f>IF(D42="","",IFERROR((SUMIFS(IEX_TALK,IEX_DATE,"&gt;="&amp;$A42,IEX_DATE,"&lt;="&amp;$A42,IEX_SITE,$D$3,IEX_QUEUE,$D$4,IEX_CHAN,$D$5)+SUMIFS(IEX_HOLD,IEX_DATE,"&gt;="&amp;$A42,IEX_DATE,"&lt;="&amp;$A42,IEX_SITE,$D$3,IEX_QUEUE,$D$4,IEX_CHAN,$D$5)+SUMIFS(IEX_ACW,IEX_DATE,"&gt;="&amp;$A42,IEX_DATE,"&lt;="&amp;$A42,IEX_SITE,$D$3,IEX_QUEUE,$D$4,IEX_CHAN,$D$5))/F42,0))</f>
        <v/>
      </c>
    </row>
    <row r="43">
      <c r="A43" s="61">
        <f>IF(OR(A42="",A42+1&gt;$B$4),"",A42+1)</f>
        <v/>
      </c>
      <c r="B43" s="62">
        <f>IF(A43="","",TEXT(A43,"ddd"))</f>
        <v/>
      </c>
      <c r="C43" s="63">
        <f>IF($A43="","",SUMIFS(VER_OFFERED,VER_DATE,"&gt;="&amp;$A43,VER_DATE,"&lt;="&amp;$A43,VER_SITE,$D$3,VER_QUEUE,$D$4,VER_CHAN,$D$5))</f>
        <v/>
      </c>
      <c r="D43" s="63">
        <f>IF($A43="","",SUMIFS(IEX_OFFERED,IEX_DATE,"&gt;="&amp;$A43,IEX_DATE,"&lt;="&amp;$A43,IEX_SITE,$D$3,IEX_QUEUE,$D$4,IEX_CHAN,$D$5))</f>
        <v/>
      </c>
      <c r="E43" s="63">
        <f>IF($A43="","",SUMIFS(VER_HANDLED,VER_DATE,"&gt;="&amp;$A43,VER_DATE,"&lt;="&amp;$A43,VER_SITE,$D$3,VER_QUEUE,$D$4,VER_CHAN,$D$5))</f>
        <v/>
      </c>
      <c r="F43" s="63">
        <f>IF($A43="","",SUMIFS(IEX_HANDLED,IEX_DATE,"&gt;="&amp;$A43,IEX_DATE,"&lt;="&amp;$A43,IEX_SITE,$D$3,IEX_QUEUE,$D$4,IEX_CHAN,$D$5))</f>
        <v/>
      </c>
      <c r="G43" s="63">
        <f>IF($A43="","",SUMIFS(VER_ABAND,VER_DATE,"&gt;="&amp;$A43,VER_DATE,"&lt;="&amp;$A43,VER_SITE,$D$3,VER_QUEUE,$D$4,VER_CHAN,$D$5))</f>
        <v/>
      </c>
      <c r="H43" s="63">
        <f>IF($A43="","",SUMIFS(IEX_ABAND,IEX_DATE,"&gt;="&amp;$A43,IEX_DATE,"&lt;="&amp;$A43,IEX_SITE,$D$3,IEX_QUEUE,$D$4,IEX_CHAN,$D$5))</f>
        <v/>
      </c>
      <c r="I43" s="64">
        <f>IF(C43="","",IFERROR(G43/C43,0))</f>
        <v/>
      </c>
      <c r="J43" s="64">
        <f>IF(D43="","",IFERROR(H43/D43,0))</f>
        <v/>
      </c>
      <c r="K43" s="64">
        <f>IF(C43="","",IFERROR(SUMPRODUCT((((VER_DATE&gt;=$A43)*(VER_DATE&lt;=$A43)))*(((($B$6="ALL")+(VER_SITE=$B$6))&gt;0))*(((($B$7="ALL")+(VER_QUEUE=$B$7))&gt;0))*(((($B$8="ALL")+(VER_CHAN=$B$8))&gt;0))*VER_SL*VER_OFFERED)/C43,0))</f>
        <v/>
      </c>
      <c r="L43" s="64">
        <f>IF(D43="","",IFERROR(SUMPRODUCT((((IEX_DATE&gt;=$A43)*(IEX_DATE&lt;=$A43)))*(((($B$6="ALL")+(IEX_SITE=$B$6))&gt;0))*(((($B$7="ALL")+(IEX_QUEUE=$B$7))&gt;0))*(((($B$8="ALL")+(IEX_CHAN=$B$8))&gt;0))*IEX_SL*IEX_OFFERED)/D43,0))</f>
        <v/>
      </c>
      <c r="M43" s="65">
        <f>IF(C43="","",IFERROR((SUMIFS(VER_TALK,VER_DATE,"&gt;="&amp;$A43,VER_DATE,"&lt;="&amp;$A43,VER_SITE,$D$3,VER_QUEUE,$D$4,VER_CHAN,$D$5)+SUMIFS(VER_HOLD,VER_DATE,"&gt;="&amp;$A43,VER_DATE,"&lt;="&amp;$A43,VER_SITE,$D$3,VER_QUEUE,$D$4,VER_CHAN,$D$5)+SUMIFS(VER_ACW,VER_DATE,"&gt;="&amp;$A43,VER_DATE,"&lt;="&amp;$A43,VER_SITE,$D$3,VER_QUEUE,$D$4,VER_CHAN,$D$5))/E43,0))</f>
        <v/>
      </c>
      <c r="N43" s="65">
        <f>IF(D43="","",IFERROR((SUMIFS(IEX_TALK,IEX_DATE,"&gt;="&amp;$A43,IEX_DATE,"&lt;="&amp;$A43,IEX_SITE,$D$3,IEX_QUEUE,$D$4,IEX_CHAN,$D$5)+SUMIFS(IEX_HOLD,IEX_DATE,"&gt;="&amp;$A43,IEX_DATE,"&lt;="&amp;$A43,IEX_SITE,$D$3,IEX_QUEUE,$D$4,IEX_CHAN,$D$5)+SUMIFS(IEX_ACW,IEX_DATE,"&gt;="&amp;$A43,IEX_DATE,"&lt;="&amp;$A43,IEX_SITE,$D$3,IEX_QUEUE,$D$4,IEX_CHAN,$D$5))/F43,0))</f>
        <v/>
      </c>
    </row>
    <row r="44">
      <c r="A44" s="61">
        <f>IF(OR(A43="",A43+1&gt;$B$4),"",A43+1)</f>
        <v/>
      </c>
      <c r="B44" s="62">
        <f>IF(A44="","",TEXT(A44,"ddd"))</f>
        <v/>
      </c>
      <c r="C44" s="63">
        <f>IF($A44="","",SUMIFS(VER_OFFERED,VER_DATE,"&gt;="&amp;$A44,VER_DATE,"&lt;="&amp;$A44,VER_SITE,$D$3,VER_QUEUE,$D$4,VER_CHAN,$D$5))</f>
        <v/>
      </c>
      <c r="D44" s="63">
        <f>IF($A44="","",SUMIFS(IEX_OFFERED,IEX_DATE,"&gt;="&amp;$A44,IEX_DATE,"&lt;="&amp;$A44,IEX_SITE,$D$3,IEX_QUEUE,$D$4,IEX_CHAN,$D$5))</f>
        <v/>
      </c>
      <c r="E44" s="63">
        <f>IF($A44="","",SUMIFS(VER_HANDLED,VER_DATE,"&gt;="&amp;$A44,VER_DATE,"&lt;="&amp;$A44,VER_SITE,$D$3,VER_QUEUE,$D$4,VER_CHAN,$D$5))</f>
        <v/>
      </c>
      <c r="F44" s="63">
        <f>IF($A44="","",SUMIFS(IEX_HANDLED,IEX_DATE,"&gt;="&amp;$A44,IEX_DATE,"&lt;="&amp;$A44,IEX_SITE,$D$3,IEX_QUEUE,$D$4,IEX_CHAN,$D$5))</f>
        <v/>
      </c>
      <c r="G44" s="63">
        <f>IF($A44="","",SUMIFS(VER_ABAND,VER_DATE,"&gt;="&amp;$A44,VER_DATE,"&lt;="&amp;$A44,VER_SITE,$D$3,VER_QUEUE,$D$4,VER_CHAN,$D$5))</f>
        <v/>
      </c>
      <c r="H44" s="63">
        <f>IF($A44="","",SUMIFS(IEX_ABAND,IEX_DATE,"&gt;="&amp;$A44,IEX_DATE,"&lt;="&amp;$A44,IEX_SITE,$D$3,IEX_QUEUE,$D$4,IEX_CHAN,$D$5))</f>
        <v/>
      </c>
      <c r="I44" s="64">
        <f>IF(C44="","",IFERROR(G44/C44,0))</f>
        <v/>
      </c>
      <c r="J44" s="64">
        <f>IF(D44="","",IFERROR(H44/D44,0))</f>
        <v/>
      </c>
      <c r="K44" s="64">
        <f>IF(C44="","",IFERROR(SUMPRODUCT((((VER_DATE&gt;=$A44)*(VER_DATE&lt;=$A44)))*(((($B$6="ALL")+(VER_SITE=$B$6))&gt;0))*(((($B$7="ALL")+(VER_QUEUE=$B$7))&gt;0))*(((($B$8="ALL")+(VER_CHAN=$B$8))&gt;0))*VER_SL*VER_OFFERED)/C44,0))</f>
        <v/>
      </c>
      <c r="L44" s="64">
        <f>IF(D44="","",IFERROR(SUMPRODUCT((((IEX_DATE&gt;=$A44)*(IEX_DATE&lt;=$A44)))*(((($B$6="ALL")+(IEX_SITE=$B$6))&gt;0))*(((($B$7="ALL")+(IEX_QUEUE=$B$7))&gt;0))*(((($B$8="ALL")+(IEX_CHAN=$B$8))&gt;0))*IEX_SL*IEX_OFFERED)/D44,0))</f>
        <v/>
      </c>
      <c r="M44" s="65">
        <f>IF(C44="","",IFERROR((SUMIFS(VER_TALK,VER_DATE,"&gt;="&amp;$A44,VER_DATE,"&lt;="&amp;$A44,VER_SITE,$D$3,VER_QUEUE,$D$4,VER_CHAN,$D$5)+SUMIFS(VER_HOLD,VER_DATE,"&gt;="&amp;$A44,VER_DATE,"&lt;="&amp;$A44,VER_SITE,$D$3,VER_QUEUE,$D$4,VER_CHAN,$D$5)+SUMIFS(VER_ACW,VER_DATE,"&gt;="&amp;$A44,VER_DATE,"&lt;="&amp;$A44,VER_SITE,$D$3,VER_QUEUE,$D$4,VER_CHAN,$D$5))/E44,0))</f>
        <v/>
      </c>
      <c r="N44" s="65">
        <f>IF(D44="","",IFERROR((SUMIFS(IEX_TALK,IEX_DATE,"&gt;="&amp;$A44,IEX_DATE,"&lt;="&amp;$A44,IEX_SITE,$D$3,IEX_QUEUE,$D$4,IEX_CHAN,$D$5)+SUMIFS(IEX_HOLD,IEX_DATE,"&gt;="&amp;$A44,IEX_DATE,"&lt;="&amp;$A44,IEX_SITE,$D$3,IEX_QUEUE,$D$4,IEX_CHAN,$D$5)+SUMIFS(IEX_ACW,IEX_DATE,"&gt;="&amp;$A44,IEX_DATE,"&lt;="&amp;$A44,IEX_SITE,$D$3,IEX_QUEUE,$D$4,IEX_CHAN,$D$5))/F44,0))</f>
        <v/>
      </c>
    </row>
    <row r="45">
      <c r="A45" s="61">
        <f>IF(OR(A44="",A44+1&gt;$B$4),"",A44+1)</f>
        <v/>
      </c>
      <c r="B45" s="62">
        <f>IF(A45="","",TEXT(A45,"ddd"))</f>
        <v/>
      </c>
      <c r="C45" s="63">
        <f>IF($A45="","",SUMIFS(VER_OFFERED,VER_DATE,"&gt;="&amp;$A45,VER_DATE,"&lt;="&amp;$A45,VER_SITE,$D$3,VER_QUEUE,$D$4,VER_CHAN,$D$5))</f>
        <v/>
      </c>
      <c r="D45" s="63">
        <f>IF($A45="","",SUMIFS(IEX_OFFERED,IEX_DATE,"&gt;="&amp;$A45,IEX_DATE,"&lt;="&amp;$A45,IEX_SITE,$D$3,IEX_QUEUE,$D$4,IEX_CHAN,$D$5))</f>
        <v/>
      </c>
      <c r="E45" s="63">
        <f>IF($A45="","",SUMIFS(VER_HANDLED,VER_DATE,"&gt;="&amp;$A45,VER_DATE,"&lt;="&amp;$A45,VER_SITE,$D$3,VER_QUEUE,$D$4,VER_CHAN,$D$5))</f>
        <v/>
      </c>
      <c r="F45" s="63">
        <f>IF($A45="","",SUMIFS(IEX_HANDLED,IEX_DATE,"&gt;="&amp;$A45,IEX_DATE,"&lt;="&amp;$A45,IEX_SITE,$D$3,IEX_QUEUE,$D$4,IEX_CHAN,$D$5))</f>
        <v/>
      </c>
      <c r="G45" s="63">
        <f>IF($A45="","",SUMIFS(VER_ABAND,VER_DATE,"&gt;="&amp;$A45,VER_DATE,"&lt;="&amp;$A45,VER_SITE,$D$3,VER_QUEUE,$D$4,VER_CHAN,$D$5))</f>
        <v/>
      </c>
      <c r="H45" s="63">
        <f>IF($A45="","",SUMIFS(IEX_ABAND,IEX_DATE,"&gt;="&amp;$A45,IEX_DATE,"&lt;="&amp;$A45,IEX_SITE,$D$3,IEX_QUEUE,$D$4,IEX_CHAN,$D$5))</f>
        <v/>
      </c>
      <c r="I45" s="64">
        <f>IF(C45="","",IFERROR(G45/C45,0))</f>
        <v/>
      </c>
      <c r="J45" s="64">
        <f>IF(D45="","",IFERROR(H45/D45,0))</f>
        <v/>
      </c>
      <c r="K45" s="64">
        <f>IF(C45="","",IFERROR(SUMPRODUCT((((VER_DATE&gt;=$A45)*(VER_DATE&lt;=$A45)))*(((($B$6="ALL")+(VER_SITE=$B$6))&gt;0))*(((($B$7="ALL")+(VER_QUEUE=$B$7))&gt;0))*(((($B$8="ALL")+(VER_CHAN=$B$8))&gt;0))*VER_SL*VER_OFFERED)/C45,0))</f>
        <v/>
      </c>
      <c r="L45" s="64">
        <f>IF(D45="","",IFERROR(SUMPRODUCT((((IEX_DATE&gt;=$A45)*(IEX_DATE&lt;=$A45)))*(((($B$6="ALL")+(IEX_SITE=$B$6))&gt;0))*(((($B$7="ALL")+(IEX_QUEUE=$B$7))&gt;0))*(((($B$8="ALL")+(IEX_CHAN=$B$8))&gt;0))*IEX_SL*IEX_OFFERED)/D45,0))</f>
        <v/>
      </c>
      <c r="M45" s="65">
        <f>IF(C45="","",IFERROR((SUMIFS(VER_TALK,VER_DATE,"&gt;="&amp;$A45,VER_DATE,"&lt;="&amp;$A45,VER_SITE,$D$3,VER_QUEUE,$D$4,VER_CHAN,$D$5)+SUMIFS(VER_HOLD,VER_DATE,"&gt;="&amp;$A45,VER_DATE,"&lt;="&amp;$A45,VER_SITE,$D$3,VER_QUEUE,$D$4,VER_CHAN,$D$5)+SUMIFS(VER_ACW,VER_DATE,"&gt;="&amp;$A45,VER_DATE,"&lt;="&amp;$A45,VER_SITE,$D$3,VER_QUEUE,$D$4,VER_CHAN,$D$5))/E45,0))</f>
        <v/>
      </c>
      <c r="N45" s="65">
        <f>IF(D45="","",IFERROR((SUMIFS(IEX_TALK,IEX_DATE,"&gt;="&amp;$A45,IEX_DATE,"&lt;="&amp;$A45,IEX_SITE,$D$3,IEX_QUEUE,$D$4,IEX_CHAN,$D$5)+SUMIFS(IEX_HOLD,IEX_DATE,"&gt;="&amp;$A45,IEX_DATE,"&lt;="&amp;$A45,IEX_SITE,$D$3,IEX_QUEUE,$D$4,IEX_CHAN,$D$5)+SUMIFS(IEX_ACW,IEX_DATE,"&gt;="&amp;$A45,IEX_DATE,"&lt;="&amp;$A45,IEX_SITE,$D$3,IEX_QUEUE,$D$4,IEX_CHAN,$D$5))/F45,0))</f>
        <v/>
      </c>
    </row>
    <row r="46">
      <c r="A46" s="61">
        <f>IF(OR(A45="",A45+1&gt;$B$4),"",A45+1)</f>
        <v/>
      </c>
      <c r="B46" s="62">
        <f>IF(A46="","",TEXT(A46,"ddd"))</f>
        <v/>
      </c>
      <c r="C46" s="63">
        <f>IF($A46="","",SUMIFS(VER_OFFERED,VER_DATE,"&gt;="&amp;$A46,VER_DATE,"&lt;="&amp;$A46,VER_SITE,$D$3,VER_QUEUE,$D$4,VER_CHAN,$D$5))</f>
        <v/>
      </c>
      <c r="D46" s="63">
        <f>IF($A46="","",SUMIFS(IEX_OFFERED,IEX_DATE,"&gt;="&amp;$A46,IEX_DATE,"&lt;="&amp;$A46,IEX_SITE,$D$3,IEX_QUEUE,$D$4,IEX_CHAN,$D$5))</f>
        <v/>
      </c>
      <c r="E46" s="63">
        <f>IF($A46="","",SUMIFS(VER_HANDLED,VER_DATE,"&gt;="&amp;$A46,VER_DATE,"&lt;="&amp;$A46,VER_SITE,$D$3,VER_QUEUE,$D$4,VER_CHAN,$D$5))</f>
        <v/>
      </c>
      <c r="F46" s="63">
        <f>IF($A46="","",SUMIFS(IEX_HANDLED,IEX_DATE,"&gt;="&amp;$A46,IEX_DATE,"&lt;="&amp;$A46,IEX_SITE,$D$3,IEX_QUEUE,$D$4,IEX_CHAN,$D$5))</f>
        <v/>
      </c>
      <c r="G46" s="63">
        <f>IF($A46="","",SUMIFS(VER_ABAND,VER_DATE,"&gt;="&amp;$A46,VER_DATE,"&lt;="&amp;$A46,VER_SITE,$D$3,VER_QUEUE,$D$4,VER_CHAN,$D$5))</f>
        <v/>
      </c>
      <c r="H46" s="63">
        <f>IF($A46="","",SUMIFS(IEX_ABAND,IEX_DATE,"&gt;="&amp;$A46,IEX_DATE,"&lt;="&amp;$A46,IEX_SITE,$D$3,IEX_QUEUE,$D$4,IEX_CHAN,$D$5))</f>
        <v/>
      </c>
      <c r="I46" s="64">
        <f>IF(C46="","",IFERROR(G46/C46,0))</f>
        <v/>
      </c>
      <c r="J46" s="64">
        <f>IF(D46="","",IFERROR(H46/D46,0))</f>
        <v/>
      </c>
      <c r="K46" s="64">
        <f>IF(C46="","",IFERROR(SUMPRODUCT((((VER_DATE&gt;=$A46)*(VER_DATE&lt;=$A46)))*(((($B$6="ALL")+(VER_SITE=$B$6))&gt;0))*(((($B$7="ALL")+(VER_QUEUE=$B$7))&gt;0))*(((($B$8="ALL")+(VER_CHAN=$B$8))&gt;0))*VER_SL*VER_OFFERED)/C46,0))</f>
        <v/>
      </c>
      <c r="L46" s="64">
        <f>IF(D46="","",IFERROR(SUMPRODUCT((((IEX_DATE&gt;=$A46)*(IEX_DATE&lt;=$A46)))*(((($B$6="ALL")+(IEX_SITE=$B$6))&gt;0))*(((($B$7="ALL")+(IEX_QUEUE=$B$7))&gt;0))*(((($B$8="ALL")+(IEX_CHAN=$B$8))&gt;0))*IEX_SL*IEX_OFFERED)/D46,0))</f>
        <v/>
      </c>
      <c r="M46" s="65">
        <f>IF(C46="","",IFERROR((SUMIFS(VER_TALK,VER_DATE,"&gt;="&amp;$A46,VER_DATE,"&lt;="&amp;$A46,VER_SITE,$D$3,VER_QUEUE,$D$4,VER_CHAN,$D$5)+SUMIFS(VER_HOLD,VER_DATE,"&gt;="&amp;$A46,VER_DATE,"&lt;="&amp;$A46,VER_SITE,$D$3,VER_QUEUE,$D$4,VER_CHAN,$D$5)+SUMIFS(VER_ACW,VER_DATE,"&gt;="&amp;$A46,VER_DATE,"&lt;="&amp;$A46,VER_SITE,$D$3,VER_QUEUE,$D$4,VER_CHAN,$D$5))/E46,0))</f>
        <v/>
      </c>
      <c r="N46" s="65">
        <f>IF(D46="","",IFERROR((SUMIFS(IEX_TALK,IEX_DATE,"&gt;="&amp;$A46,IEX_DATE,"&lt;="&amp;$A46,IEX_SITE,$D$3,IEX_QUEUE,$D$4,IEX_CHAN,$D$5)+SUMIFS(IEX_HOLD,IEX_DATE,"&gt;="&amp;$A46,IEX_DATE,"&lt;="&amp;$A46,IEX_SITE,$D$3,IEX_QUEUE,$D$4,IEX_CHAN,$D$5)+SUMIFS(IEX_ACW,IEX_DATE,"&gt;="&amp;$A46,IEX_DATE,"&lt;="&amp;$A46,IEX_SITE,$D$3,IEX_QUEUE,$D$4,IEX_CHAN,$D$5))/F46,0))</f>
        <v/>
      </c>
    </row>
    <row r="47">
      <c r="A47" s="61">
        <f>IF(OR(A46="",A46+1&gt;$B$4),"",A46+1)</f>
        <v/>
      </c>
      <c r="B47" s="62">
        <f>IF(A47="","",TEXT(A47,"ddd"))</f>
        <v/>
      </c>
      <c r="C47" s="63">
        <f>IF($A47="","",SUMIFS(VER_OFFERED,VER_DATE,"&gt;="&amp;$A47,VER_DATE,"&lt;="&amp;$A47,VER_SITE,$D$3,VER_QUEUE,$D$4,VER_CHAN,$D$5))</f>
        <v/>
      </c>
      <c r="D47" s="63">
        <f>IF($A47="","",SUMIFS(IEX_OFFERED,IEX_DATE,"&gt;="&amp;$A47,IEX_DATE,"&lt;="&amp;$A47,IEX_SITE,$D$3,IEX_QUEUE,$D$4,IEX_CHAN,$D$5))</f>
        <v/>
      </c>
      <c r="E47" s="63">
        <f>IF($A47="","",SUMIFS(VER_HANDLED,VER_DATE,"&gt;="&amp;$A47,VER_DATE,"&lt;="&amp;$A47,VER_SITE,$D$3,VER_QUEUE,$D$4,VER_CHAN,$D$5))</f>
        <v/>
      </c>
      <c r="F47" s="63">
        <f>IF($A47="","",SUMIFS(IEX_HANDLED,IEX_DATE,"&gt;="&amp;$A47,IEX_DATE,"&lt;="&amp;$A47,IEX_SITE,$D$3,IEX_QUEUE,$D$4,IEX_CHAN,$D$5))</f>
        <v/>
      </c>
      <c r="G47" s="63">
        <f>IF($A47="","",SUMIFS(VER_ABAND,VER_DATE,"&gt;="&amp;$A47,VER_DATE,"&lt;="&amp;$A47,VER_SITE,$D$3,VER_QUEUE,$D$4,VER_CHAN,$D$5))</f>
        <v/>
      </c>
      <c r="H47" s="63">
        <f>IF($A47="","",SUMIFS(IEX_ABAND,IEX_DATE,"&gt;="&amp;$A47,IEX_DATE,"&lt;="&amp;$A47,IEX_SITE,$D$3,IEX_QUEUE,$D$4,IEX_CHAN,$D$5))</f>
        <v/>
      </c>
      <c r="I47" s="64">
        <f>IF(C47="","",IFERROR(G47/C47,0))</f>
        <v/>
      </c>
      <c r="J47" s="64">
        <f>IF(D47="","",IFERROR(H47/D47,0))</f>
        <v/>
      </c>
      <c r="K47" s="64">
        <f>IF(C47="","",IFERROR(SUMPRODUCT((((VER_DATE&gt;=$A47)*(VER_DATE&lt;=$A47)))*(((($B$6="ALL")+(VER_SITE=$B$6))&gt;0))*(((($B$7="ALL")+(VER_QUEUE=$B$7))&gt;0))*(((($B$8="ALL")+(VER_CHAN=$B$8))&gt;0))*VER_SL*VER_OFFERED)/C47,0))</f>
        <v/>
      </c>
      <c r="L47" s="64">
        <f>IF(D47="","",IFERROR(SUMPRODUCT((((IEX_DATE&gt;=$A47)*(IEX_DATE&lt;=$A47)))*(((($B$6="ALL")+(IEX_SITE=$B$6))&gt;0))*(((($B$7="ALL")+(IEX_QUEUE=$B$7))&gt;0))*(((($B$8="ALL")+(IEX_CHAN=$B$8))&gt;0))*IEX_SL*IEX_OFFERED)/D47,0))</f>
        <v/>
      </c>
      <c r="M47" s="65">
        <f>IF(C47="","",IFERROR((SUMIFS(VER_TALK,VER_DATE,"&gt;="&amp;$A47,VER_DATE,"&lt;="&amp;$A47,VER_SITE,$D$3,VER_QUEUE,$D$4,VER_CHAN,$D$5)+SUMIFS(VER_HOLD,VER_DATE,"&gt;="&amp;$A47,VER_DATE,"&lt;="&amp;$A47,VER_SITE,$D$3,VER_QUEUE,$D$4,VER_CHAN,$D$5)+SUMIFS(VER_ACW,VER_DATE,"&gt;="&amp;$A47,VER_DATE,"&lt;="&amp;$A47,VER_SITE,$D$3,VER_QUEUE,$D$4,VER_CHAN,$D$5))/E47,0))</f>
        <v/>
      </c>
      <c r="N47" s="65">
        <f>IF(D47="","",IFERROR((SUMIFS(IEX_TALK,IEX_DATE,"&gt;="&amp;$A47,IEX_DATE,"&lt;="&amp;$A47,IEX_SITE,$D$3,IEX_QUEUE,$D$4,IEX_CHAN,$D$5)+SUMIFS(IEX_HOLD,IEX_DATE,"&gt;="&amp;$A47,IEX_DATE,"&lt;="&amp;$A47,IEX_SITE,$D$3,IEX_QUEUE,$D$4,IEX_CHAN,$D$5)+SUMIFS(IEX_ACW,IEX_DATE,"&gt;="&amp;$A47,IEX_DATE,"&lt;="&amp;$A47,IEX_SITE,$D$3,IEX_QUEUE,$D$4,IEX_CHAN,$D$5))/F47,0))</f>
        <v/>
      </c>
    </row>
    <row r="48">
      <c r="A48" s="61">
        <f>IF(OR(A47="",A47+1&gt;$B$4),"",A47+1)</f>
        <v/>
      </c>
      <c r="B48" s="62">
        <f>IF(A48="","",TEXT(A48,"ddd"))</f>
        <v/>
      </c>
      <c r="C48" s="63">
        <f>IF($A48="","",SUMIFS(VER_OFFERED,VER_DATE,"&gt;="&amp;$A48,VER_DATE,"&lt;="&amp;$A48,VER_SITE,$D$3,VER_QUEUE,$D$4,VER_CHAN,$D$5))</f>
        <v/>
      </c>
      <c r="D48" s="63">
        <f>IF($A48="","",SUMIFS(IEX_OFFERED,IEX_DATE,"&gt;="&amp;$A48,IEX_DATE,"&lt;="&amp;$A48,IEX_SITE,$D$3,IEX_QUEUE,$D$4,IEX_CHAN,$D$5))</f>
        <v/>
      </c>
      <c r="E48" s="63">
        <f>IF($A48="","",SUMIFS(VER_HANDLED,VER_DATE,"&gt;="&amp;$A48,VER_DATE,"&lt;="&amp;$A48,VER_SITE,$D$3,VER_QUEUE,$D$4,VER_CHAN,$D$5))</f>
        <v/>
      </c>
      <c r="F48" s="63">
        <f>IF($A48="","",SUMIFS(IEX_HANDLED,IEX_DATE,"&gt;="&amp;$A48,IEX_DATE,"&lt;="&amp;$A48,IEX_SITE,$D$3,IEX_QUEUE,$D$4,IEX_CHAN,$D$5))</f>
        <v/>
      </c>
      <c r="G48" s="63">
        <f>IF($A48="","",SUMIFS(VER_ABAND,VER_DATE,"&gt;="&amp;$A48,VER_DATE,"&lt;="&amp;$A48,VER_SITE,$D$3,VER_QUEUE,$D$4,VER_CHAN,$D$5))</f>
        <v/>
      </c>
      <c r="H48" s="63">
        <f>IF($A48="","",SUMIFS(IEX_ABAND,IEX_DATE,"&gt;="&amp;$A48,IEX_DATE,"&lt;="&amp;$A48,IEX_SITE,$D$3,IEX_QUEUE,$D$4,IEX_CHAN,$D$5))</f>
        <v/>
      </c>
      <c r="I48" s="64">
        <f>IF(C48="","",IFERROR(G48/C48,0))</f>
        <v/>
      </c>
      <c r="J48" s="64">
        <f>IF(D48="","",IFERROR(H48/D48,0))</f>
        <v/>
      </c>
      <c r="K48" s="64">
        <f>IF(C48="","",IFERROR(SUMPRODUCT((((VER_DATE&gt;=$A48)*(VER_DATE&lt;=$A48)))*(((($B$6="ALL")+(VER_SITE=$B$6))&gt;0))*(((($B$7="ALL")+(VER_QUEUE=$B$7))&gt;0))*(((($B$8="ALL")+(VER_CHAN=$B$8))&gt;0))*VER_SL*VER_OFFERED)/C48,0))</f>
        <v/>
      </c>
      <c r="L48" s="64">
        <f>IF(D48="","",IFERROR(SUMPRODUCT((((IEX_DATE&gt;=$A48)*(IEX_DATE&lt;=$A48)))*(((($B$6="ALL")+(IEX_SITE=$B$6))&gt;0))*(((($B$7="ALL")+(IEX_QUEUE=$B$7))&gt;0))*(((($B$8="ALL")+(IEX_CHAN=$B$8))&gt;0))*IEX_SL*IEX_OFFERED)/D48,0))</f>
        <v/>
      </c>
      <c r="M48" s="65">
        <f>IF(C48="","",IFERROR((SUMIFS(VER_TALK,VER_DATE,"&gt;="&amp;$A48,VER_DATE,"&lt;="&amp;$A48,VER_SITE,$D$3,VER_QUEUE,$D$4,VER_CHAN,$D$5)+SUMIFS(VER_HOLD,VER_DATE,"&gt;="&amp;$A48,VER_DATE,"&lt;="&amp;$A48,VER_SITE,$D$3,VER_QUEUE,$D$4,VER_CHAN,$D$5)+SUMIFS(VER_ACW,VER_DATE,"&gt;="&amp;$A48,VER_DATE,"&lt;="&amp;$A48,VER_SITE,$D$3,VER_QUEUE,$D$4,VER_CHAN,$D$5))/E48,0))</f>
        <v/>
      </c>
      <c r="N48" s="65">
        <f>IF(D48="","",IFERROR((SUMIFS(IEX_TALK,IEX_DATE,"&gt;="&amp;$A48,IEX_DATE,"&lt;="&amp;$A48,IEX_SITE,$D$3,IEX_QUEUE,$D$4,IEX_CHAN,$D$5)+SUMIFS(IEX_HOLD,IEX_DATE,"&gt;="&amp;$A48,IEX_DATE,"&lt;="&amp;$A48,IEX_SITE,$D$3,IEX_QUEUE,$D$4,IEX_CHAN,$D$5)+SUMIFS(IEX_ACW,IEX_DATE,"&gt;="&amp;$A48,IEX_DATE,"&lt;="&amp;$A48,IEX_SITE,$D$3,IEX_QUEUE,$D$4,IEX_CHAN,$D$5))/F48,0))</f>
        <v/>
      </c>
    </row>
    <row r="49">
      <c r="A49" s="61">
        <f>IF(OR(A48="",A48+1&gt;$B$4),"",A48+1)</f>
        <v/>
      </c>
      <c r="B49" s="62">
        <f>IF(A49="","",TEXT(A49,"ddd"))</f>
        <v/>
      </c>
      <c r="C49" s="63">
        <f>IF($A49="","",SUMIFS(VER_OFFERED,VER_DATE,"&gt;="&amp;$A49,VER_DATE,"&lt;="&amp;$A49,VER_SITE,$D$3,VER_QUEUE,$D$4,VER_CHAN,$D$5))</f>
        <v/>
      </c>
      <c r="D49" s="63">
        <f>IF($A49="","",SUMIFS(IEX_OFFERED,IEX_DATE,"&gt;="&amp;$A49,IEX_DATE,"&lt;="&amp;$A49,IEX_SITE,$D$3,IEX_QUEUE,$D$4,IEX_CHAN,$D$5))</f>
        <v/>
      </c>
      <c r="E49" s="63">
        <f>IF($A49="","",SUMIFS(VER_HANDLED,VER_DATE,"&gt;="&amp;$A49,VER_DATE,"&lt;="&amp;$A49,VER_SITE,$D$3,VER_QUEUE,$D$4,VER_CHAN,$D$5))</f>
        <v/>
      </c>
      <c r="F49" s="63">
        <f>IF($A49="","",SUMIFS(IEX_HANDLED,IEX_DATE,"&gt;="&amp;$A49,IEX_DATE,"&lt;="&amp;$A49,IEX_SITE,$D$3,IEX_QUEUE,$D$4,IEX_CHAN,$D$5))</f>
        <v/>
      </c>
      <c r="G49" s="63">
        <f>IF($A49="","",SUMIFS(VER_ABAND,VER_DATE,"&gt;="&amp;$A49,VER_DATE,"&lt;="&amp;$A49,VER_SITE,$D$3,VER_QUEUE,$D$4,VER_CHAN,$D$5))</f>
        <v/>
      </c>
      <c r="H49" s="63">
        <f>IF($A49="","",SUMIFS(IEX_ABAND,IEX_DATE,"&gt;="&amp;$A49,IEX_DATE,"&lt;="&amp;$A49,IEX_SITE,$D$3,IEX_QUEUE,$D$4,IEX_CHAN,$D$5))</f>
        <v/>
      </c>
      <c r="I49" s="64">
        <f>IF(C49="","",IFERROR(G49/C49,0))</f>
        <v/>
      </c>
      <c r="J49" s="64">
        <f>IF(D49="","",IFERROR(H49/D49,0))</f>
        <v/>
      </c>
      <c r="K49" s="64">
        <f>IF(C49="","",IFERROR(SUMPRODUCT((((VER_DATE&gt;=$A49)*(VER_DATE&lt;=$A49)))*(((($B$6="ALL")+(VER_SITE=$B$6))&gt;0))*(((($B$7="ALL")+(VER_QUEUE=$B$7))&gt;0))*(((($B$8="ALL")+(VER_CHAN=$B$8))&gt;0))*VER_SL*VER_OFFERED)/C49,0))</f>
        <v/>
      </c>
      <c r="L49" s="64">
        <f>IF(D49="","",IFERROR(SUMPRODUCT((((IEX_DATE&gt;=$A49)*(IEX_DATE&lt;=$A49)))*(((($B$6="ALL")+(IEX_SITE=$B$6))&gt;0))*(((($B$7="ALL")+(IEX_QUEUE=$B$7))&gt;0))*(((($B$8="ALL")+(IEX_CHAN=$B$8))&gt;0))*IEX_SL*IEX_OFFERED)/D49,0))</f>
        <v/>
      </c>
      <c r="M49" s="65">
        <f>IF(C49="","",IFERROR((SUMIFS(VER_TALK,VER_DATE,"&gt;="&amp;$A49,VER_DATE,"&lt;="&amp;$A49,VER_SITE,$D$3,VER_QUEUE,$D$4,VER_CHAN,$D$5)+SUMIFS(VER_HOLD,VER_DATE,"&gt;="&amp;$A49,VER_DATE,"&lt;="&amp;$A49,VER_SITE,$D$3,VER_QUEUE,$D$4,VER_CHAN,$D$5)+SUMIFS(VER_ACW,VER_DATE,"&gt;="&amp;$A49,VER_DATE,"&lt;="&amp;$A49,VER_SITE,$D$3,VER_QUEUE,$D$4,VER_CHAN,$D$5))/E49,0))</f>
        <v/>
      </c>
      <c r="N49" s="65">
        <f>IF(D49="","",IFERROR((SUMIFS(IEX_TALK,IEX_DATE,"&gt;="&amp;$A49,IEX_DATE,"&lt;="&amp;$A49,IEX_SITE,$D$3,IEX_QUEUE,$D$4,IEX_CHAN,$D$5)+SUMIFS(IEX_HOLD,IEX_DATE,"&gt;="&amp;$A49,IEX_DATE,"&lt;="&amp;$A49,IEX_SITE,$D$3,IEX_QUEUE,$D$4,IEX_CHAN,$D$5)+SUMIFS(IEX_ACW,IEX_DATE,"&gt;="&amp;$A49,IEX_DATE,"&lt;="&amp;$A49,IEX_SITE,$D$3,IEX_QUEUE,$D$4,IEX_CHAN,$D$5))/F49,0))</f>
        <v/>
      </c>
    </row>
    <row r="50">
      <c r="A50" s="61">
        <f>IF(OR(A49="",A49+1&gt;$B$4),"",A49+1)</f>
        <v/>
      </c>
      <c r="B50" s="62">
        <f>IF(A50="","",TEXT(A50,"ddd"))</f>
        <v/>
      </c>
      <c r="C50" s="63">
        <f>IF($A50="","",SUMIFS(VER_OFFERED,VER_DATE,"&gt;="&amp;$A50,VER_DATE,"&lt;="&amp;$A50,VER_SITE,$D$3,VER_QUEUE,$D$4,VER_CHAN,$D$5))</f>
        <v/>
      </c>
      <c r="D50" s="63">
        <f>IF($A50="","",SUMIFS(IEX_OFFERED,IEX_DATE,"&gt;="&amp;$A50,IEX_DATE,"&lt;="&amp;$A50,IEX_SITE,$D$3,IEX_QUEUE,$D$4,IEX_CHAN,$D$5))</f>
        <v/>
      </c>
      <c r="E50" s="63">
        <f>IF($A50="","",SUMIFS(VER_HANDLED,VER_DATE,"&gt;="&amp;$A50,VER_DATE,"&lt;="&amp;$A50,VER_SITE,$D$3,VER_QUEUE,$D$4,VER_CHAN,$D$5))</f>
        <v/>
      </c>
      <c r="F50" s="63">
        <f>IF($A50="","",SUMIFS(IEX_HANDLED,IEX_DATE,"&gt;="&amp;$A50,IEX_DATE,"&lt;="&amp;$A50,IEX_SITE,$D$3,IEX_QUEUE,$D$4,IEX_CHAN,$D$5))</f>
        <v/>
      </c>
      <c r="G50" s="63">
        <f>IF($A50="","",SUMIFS(VER_ABAND,VER_DATE,"&gt;="&amp;$A50,VER_DATE,"&lt;="&amp;$A50,VER_SITE,$D$3,VER_QUEUE,$D$4,VER_CHAN,$D$5))</f>
        <v/>
      </c>
      <c r="H50" s="63">
        <f>IF($A50="","",SUMIFS(IEX_ABAND,IEX_DATE,"&gt;="&amp;$A50,IEX_DATE,"&lt;="&amp;$A50,IEX_SITE,$D$3,IEX_QUEUE,$D$4,IEX_CHAN,$D$5))</f>
        <v/>
      </c>
      <c r="I50" s="64">
        <f>IF(C50="","",IFERROR(G50/C50,0))</f>
        <v/>
      </c>
      <c r="J50" s="64">
        <f>IF(D50="","",IFERROR(H50/D50,0))</f>
        <v/>
      </c>
      <c r="K50" s="64">
        <f>IF(C50="","",IFERROR(SUMPRODUCT((((VER_DATE&gt;=$A50)*(VER_DATE&lt;=$A50)))*(((($B$6="ALL")+(VER_SITE=$B$6))&gt;0))*(((($B$7="ALL")+(VER_QUEUE=$B$7))&gt;0))*(((($B$8="ALL")+(VER_CHAN=$B$8))&gt;0))*VER_SL*VER_OFFERED)/C50,0))</f>
        <v/>
      </c>
      <c r="L50" s="64">
        <f>IF(D50="","",IFERROR(SUMPRODUCT((((IEX_DATE&gt;=$A50)*(IEX_DATE&lt;=$A50)))*(((($B$6="ALL")+(IEX_SITE=$B$6))&gt;0))*(((($B$7="ALL")+(IEX_QUEUE=$B$7))&gt;0))*(((($B$8="ALL")+(IEX_CHAN=$B$8))&gt;0))*IEX_SL*IEX_OFFERED)/D50,0))</f>
        <v/>
      </c>
      <c r="M50" s="65">
        <f>IF(C50="","",IFERROR((SUMIFS(VER_TALK,VER_DATE,"&gt;="&amp;$A50,VER_DATE,"&lt;="&amp;$A50,VER_SITE,$D$3,VER_QUEUE,$D$4,VER_CHAN,$D$5)+SUMIFS(VER_HOLD,VER_DATE,"&gt;="&amp;$A50,VER_DATE,"&lt;="&amp;$A50,VER_SITE,$D$3,VER_QUEUE,$D$4,VER_CHAN,$D$5)+SUMIFS(VER_ACW,VER_DATE,"&gt;="&amp;$A50,VER_DATE,"&lt;="&amp;$A50,VER_SITE,$D$3,VER_QUEUE,$D$4,VER_CHAN,$D$5))/E50,0))</f>
        <v/>
      </c>
      <c r="N50" s="65">
        <f>IF(D50="","",IFERROR((SUMIFS(IEX_TALK,IEX_DATE,"&gt;="&amp;$A50,IEX_DATE,"&lt;="&amp;$A50,IEX_SITE,$D$3,IEX_QUEUE,$D$4,IEX_CHAN,$D$5)+SUMIFS(IEX_HOLD,IEX_DATE,"&gt;="&amp;$A50,IEX_DATE,"&lt;="&amp;$A50,IEX_SITE,$D$3,IEX_QUEUE,$D$4,IEX_CHAN,$D$5)+SUMIFS(IEX_ACW,IEX_DATE,"&gt;="&amp;$A50,IEX_DATE,"&lt;="&amp;$A50,IEX_SITE,$D$3,IEX_QUEUE,$D$4,IEX_CHAN,$D$5))/F50,0))</f>
        <v/>
      </c>
    </row>
    <row r="51">
      <c r="A51" s="61">
        <f>IF(OR(A50="",A50+1&gt;$B$4),"",A50+1)</f>
        <v/>
      </c>
      <c r="B51" s="62">
        <f>IF(A51="","",TEXT(A51,"ddd"))</f>
        <v/>
      </c>
      <c r="C51" s="63">
        <f>IF($A51="","",SUMIFS(VER_OFFERED,VER_DATE,"&gt;="&amp;$A51,VER_DATE,"&lt;="&amp;$A51,VER_SITE,$D$3,VER_QUEUE,$D$4,VER_CHAN,$D$5))</f>
        <v/>
      </c>
      <c r="D51" s="63">
        <f>IF($A51="","",SUMIFS(IEX_OFFERED,IEX_DATE,"&gt;="&amp;$A51,IEX_DATE,"&lt;="&amp;$A51,IEX_SITE,$D$3,IEX_QUEUE,$D$4,IEX_CHAN,$D$5))</f>
        <v/>
      </c>
      <c r="E51" s="63">
        <f>IF($A51="","",SUMIFS(VER_HANDLED,VER_DATE,"&gt;="&amp;$A51,VER_DATE,"&lt;="&amp;$A51,VER_SITE,$D$3,VER_QUEUE,$D$4,VER_CHAN,$D$5))</f>
        <v/>
      </c>
      <c r="F51" s="63">
        <f>IF($A51="","",SUMIFS(IEX_HANDLED,IEX_DATE,"&gt;="&amp;$A51,IEX_DATE,"&lt;="&amp;$A51,IEX_SITE,$D$3,IEX_QUEUE,$D$4,IEX_CHAN,$D$5))</f>
        <v/>
      </c>
      <c r="G51" s="63">
        <f>IF($A51="","",SUMIFS(VER_ABAND,VER_DATE,"&gt;="&amp;$A51,VER_DATE,"&lt;="&amp;$A51,VER_SITE,$D$3,VER_QUEUE,$D$4,VER_CHAN,$D$5))</f>
        <v/>
      </c>
      <c r="H51" s="63">
        <f>IF($A51="","",SUMIFS(IEX_ABAND,IEX_DATE,"&gt;="&amp;$A51,IEX_DATE,"&lt;="&amp;$A51,IEX_SITE,$D$3,IEX_QUEUE,$D$4,IEX_CHAN,$D$5))</f>
        <v/>
      </c>
      <c r="I51" s="64">
        <f>IF(C51="","",IFERROR(G51/C51,0))</f>
        <v/>
      </c>
      <c r="J51" s="64">
        <f>IF(D51="","",IFERROR(H51/D51,0))</f>
        <v/>
      </c>
      <c r="K51" s="64">
        <f>IF(C51="","",IFERROR(SUMPRODUCT((((VER_DATE&gt;=$A51)*(VER_DATE&lt;=$A51)))*(((($B$6="ALL")+(VER_SITE=$B$6))&gt;0))*(((($B$7="ALL")+(VER_QUEUE=$B$7))&gt;0))*(((($B$8="ALL")+(VER_CHAN=$B$8))&gt;0))*VER_SL*VER_OFFERED)/C51,0))</f>
        <v/>
      </c>
      <c r="L51" s="64">
        <f>IF(D51="","",IFERROR(SUMPRODUCT((((IEX_DATE&gt;=$A51)*(IEX_DATE&lt;=$A51)))*(((($B$6="ALL")+(IEX_SITE=$B$6))&gt;0))*(((($B$7="ALL")+(IEX_QUEUE=$B$7))&gt;0))*(((($B$8="ALL")+(IEX_CHAN=$B$8))&gt;0))*IEX_SL*IEX_OFFERED)/D51,0))</f>
        <v/>
      </c>
      <c r="M51" s="65">
        <f>IF(C51="","",IFERROR((SUMIFS(VER_TALK,VER_DATE,"&gt;="&amp;$A51,VER_DATE,"&lt;="&amp;$A51,VER_SITE,$D$3,VER_QUEUE,$D$4,VER_CHAN,$D$5)+SUMIFS(VER_HOLD,VER_DATE,"&gt;="&amp;$A51,VER_DATE,"&lt;="&amp;$A51,VER_SITE,$D$3,VER_QUEUE,$D$4,VER_CHAN,$D$5)+SUMIFS(VER_ACW,VER_DATE,"&gt;="&amp;$A51,VER_DATE,"&lt;="&amp;$A51,VER_SITE,$D$3,VER_QUEUE,$D$4,VER_CHAN,$D$5))/E51,0))</f>
        <v/>
      </c>
      <c r="N51" s="65">
        <f>IF(D51="","",IFERROR((SUMIFS(IEX_TALK,IEX_DATE,"&gt;="&amp;$A51,IEX_DATE,"&lt;="&amp;$A51,IEX_SITE,$D$3,IEX_QUEUE,$D$4,IEX_CHAN,$D$5)+SUMIFS(IEX_HOLD,IEX_DATE,"&gt;="&amp;$A51,IEX_DATE,"&lt;="&amp;$A51,IEX_SITE,$D$3,IEX_QUEUE,$D$4,IEX_CHAN,$D$5)+SUMIFS(IEX_ACW,IEX_DATE,"&gt;="&amp;$A51,IEX_DATE,"&lt;="&amp;$A51,IEX_SITE,$D$3,IEX_QUEUE,$D$4,IEX_CHAN,$D$5))/F51,0))</f>
        <v/>
      </c>
    </row>
    <row r="52">
      <c r="A52" s="61">
        <f>IF(OR(A51="",A51+1&gt;$B$4),"",A51+1)</f>
        <v/>
      </c>
      <c r="B52" s="62">
        <f>IF(A52="","",TEXT(A52,"ddd"))</f>
        <v/>
      </c>
      <c r="C52" s="63">
        <f>IF($A52="","",SUMIFS(VER_OFFERED,VER_DATE,"&gt;="&amp;$A52,VER_DATE,"&lt;="&amp;$A52,VER_SITE,$D$3,VER_QUEUE,$D$4,VER_CHAN,$D$5))</f>
        <v/>
      </c>
      <c r="D52" s="63">
        <f>IF($A52="","",SUMIFS(IEX_OFFERED,IEX_DATE,"&gt;="&amp;$A52,IEX_DATE,"&lt;="&amp;$A52,IEX_SITE,$D$3,IEX_QUEUE,$D$4,IEX_CHAN,$D$5))</f>
        <v/>
      </c>
      <c r="E52" s="63">
        <f>IF($A52="","",SUMIFS(VER_HANDLED,VER_DATE,"&gt;="&amp;$A52,VER_DATE,"&lt;="&amp;$A52,VER_SITE,$D$3,VER_QUEUE,$D$4,VER_CHAN,$D$5))</f>
        <v/>
      </c>
      <c r="F52" s="63">
        <f>IF($A52="","",SUMIFS(IEX_HANDLED,IEX_DATE,"&gt;="&amp;$A52,IEX_DATE,"&lt;="&amp;$A52,IEX_SITE,$D$3,IEX_QUEUE,$D$4,IEX_CHAN,$D$5))</f>
        <v/>
      </c>
      <c r="G52" s="63">
        <f>IF($A52="","",SUMIFS(VER_ABAND,VER_DATE,"&gt;="&amp;$A52,VER_DATE,"&lt;="&amp;$A52,VER_SITE,$D$3,VER_QUEUE,$D$4,VER_CHAN,$D$5))</f>
        <v/>
      </c>
      <c r="H52" s="63">
        <f>IF($A52="","",SUMIFS(IEX_ABAND,IEX_DATE,"&gt;="&amp;$A52,IEX_DATE,"&lt;="&amp;$A52,IEX_SITE,$D$3,IEX_QUEUE,$D$4,IEX_CHAN,$D$5))</f>
        <v/>
      </c>
      <c r="I52" s="64">
        <f>IF(C52="","",IFERROR(G52/C52,0))</f>
        <v/>
      </c>
      <c r="J52" s="64">
        <f>IF(D52="","",IFERROR(H52/D52,0))</f>
        <v/>
      </c>
      <c r="K52" s="64">
        <f>IF(C52="","",IFERROR(SUMPRODUCT((((VER_DATE&gt;=$A52)*(VER_DATE&lt;=$A52)))*(((($B$6="ALL")+(VER_SITE=$B$6))&gt;0))*(((($B$7="ALL")+(VER_QUEUE=$B$7))&gt;0))*(((($B$8="ALL")+(VER_CHAN=$B$8))&gt;0))*VER_SL*VER_OFFERED)/C52,0))</f>
        <v/>
      </c>
      <c r="L52" s="64">
        <f>IF(D52="","",IFERROR(SUMPRODUCT((((IEX_DATE&gt;=$A52)*(IEX_DATE&lt;=$A52)))*(((($B$6="ALL")+(IEX_SITE=$B$6))&gt;0))*(((($B$7="ALL")+(IEX_QUEUE=$B$7))&gt;0))*(((($B$8="ALL")+(IEX_CHAN=$B$8))&gt;0))*IEX_SL*IEX_OFFERED)/D52,0))</f>
        <v/>
      </c>
      <c r="M52" s="65">
        <f>IF(C52="","",IFERROR((SUMIFS(VER_TALK,VER_DATE,"&gt;="&amp;$A52,VER_DATE,"&lt;="&amp;$A52,VER_SITE,$D$3,VER_QUEUE,$D$4,VER_CHAN,$D$5)+SUMIFS(VER_HOLD,VER_DATE,"&gt;="&amp;$A52,VER_DATE,"&lt;="&amp;$A52,VER_SITE,$D$3,VER_QUEUE,$D$4,VER_CHAN,$D$5)+SUMIFS(VER_ACW,VER_DATE,"&gt;="&amp;$A52,VER_DATE,"&lt;="&amp;$A52,VER_SITE,$D$3,VER_QUEUE,$D$4,VER_CHAN,$D$5))/E52,0))</f>
        <v/>
      </c>
      <c r="N52" s="65">
        <f>IF(D52="","",IFERROR((SUMIFS(IEX_TALK,IEX_DATE,"&gt;="&amp;$A52,IEX_DATE,"&lt;="&amp;$A52,IEX_SITE,$D$3,IEX_QUEUE,$D$4,IEX_CHAN,$D$5)+SUMIFS(IEX_HOLD,IEX_DATE,"&gt;="&amp;$A52,IEX_DATE,"&lt;="&amp;$A52,IEX_SITE,$D$3,IEX_QUEUE,$D$4,IEX_CHAN,$D$5)+SUMIFS(IEX_ACW,IEX_DATE,"&gt;="&amp;$A52,IEX_DATE,"&lt;="&amp;$A52,IEX_SITE,$D$3,IEX_QUEUE,$D$4,IEX_CHAN,$D$5))/F52,0))</f>
        <v/>
      </c>
    </row>
    <row r="53">
      <c r="A53" s="61">
        <f>IF(OR(A52="",A52+1&gt;$B$4),"",A52+1)</f>
        <v/>
      </c>
      <c r="B53" s="62">
        <f>IF(A53="","",TEXT(A53,"ddd"))</f>
        <v/>
      </c>
      <c r="C53" s="63">
        <f>IF($A53="","",SUMIFS(VER_OFFERED,VER_DATE,"&gt;="&amp;$A53,VER_DATE,"&lt;="&amp;$A53,VER_SITE,$D$3,VER_QUEUE,$D$4,VER_CHAN,$D$5))</f>
        <v/>
      </c>
      <c r="D53" s="63">
        <f>IF($A53="","",SUMIFS(IEX_OFFERED,IEX_DATE,"&gt;="&amp;$A53,IEX_DATE,"&lt;="&amp;$A53,IEX_SITE,$D$3,IEX_QUEUE,$D$4,IEX_CHAN,$D$5))</f>
        <v/>
      </c>
      <c r="E53" s="63">
        <f>IF($A53="","",SUMIFS(VER_HANDLED,VER_DATE,"&gt;="&amp;$A53,VER_DATE,"&lt;="&amp;$A53,VER_SITE,$D$3,VER_QUEUE,$D$4,VER_CHAN,$D$5))</f>
        <v/>
      </c>
      <c r="F53" s="63">
        <f>IF($A53="","",SUMIFS(IEX_HANDLED,IEX_DATE,"&gt;="&amp;$A53,IEX_DATE,"&lt;="&amp;$A53,IEX_SITE,$D$3,IEX_QUEUE,$D$4,IEX_CHAN,$D$5))</f>
        <v/>
      </c>
      <c r="G53" s="63">
        <f>IF($A53="","",SUMIFS(VER_ABAND,VER_DATE,"&gt;="&amp;$A53,VER_DATE,"&lt;="&amp;$A53,VER_SITE,$D$3,VER_QUEUE,$D$4,VER_CHAN,$D$5))</f>
        <v/>
      </c>
      <c r="H53" s="63">
        <f>IF($A53="","",SUMIFS(IEX_ABAND,IEX_DATE,"&gt;="&amp;$A53,IEX_DATE,"&lt;="&amp;$A53,IEX_SITE,$D$3,IEX_QUEUE,$D$4,IEX_CHAN,$D$5))</f>
        <v/>
      </c>
      <c r="I53" s="64">
        <f>IF(C53="","",IFERROR(G53/C53,0))</f>
        <v/>
      </c>
      <c r="J53" s="64">
        <f>IF(D53="","",IFERROR(H53/D53,0))</f>
        <v/>
      </c>
      <c r="K53" s="64">
        <f>IF(C53="","",IFERROR(SUMPRODUCT((((VER_DATE&gt;=$A53)*(VER_DATE&lt;=$A53)))*(((($B$6="ALL")+(VER_SITE=$B$6))&gt;0))*(((($B$7="ALL")+(VER_QUEUE=$B$7))&gt;0))*(((($B$8="ALL")+(VER_CHAN=$B$8))&gt;0))*VER_SL*VER_OFFERED)/C53,0))</f>
        <v/>
      </c>
      <c r="L53" s="64">
        <f>IF(D53="","",IFERROR(SUMPRODUCT((((IEX_DATE&gt;=$A53)*(IEX_DATE&lt;=$A53)))*(((($B$6="ALL")+(IEX_SITE=$B$6))&gt;0))*(((($B$7="ALL")+(IEX_QUEUE=$B$7))&gt;0))*(((($B$8="ALL")+(IEX_CHAN=$B$8))&gt;0))*IEX_SL*IEX_OFFERED)/D53,0))</f>
        <v/>
      </c>
      <c r="M53" s="65">
        <f>IF(C53="","",IFERROR((SUMIFS(VER_TALK,VER_DATE,"&gt;="&amp;$A53,VER_DATE,"&lt;="&amp;$A53,VER_SITE,$D$3,VER_QUEUE,$D$4,VER_CHAN,$D$5)+SUMIFS(VER_HOLD,VER_DATE,"&gt;="&amp;$A53,VER_DATE,"&lt;="&amp;$A53,VER_SITE,$D$3,VER_QUEUE,$D$4,VER_CHAN,$D$5)+SUMIFS(VER_ACW,VER_DATE,"&gt;="&amp;$A53,VER_DATE,"&lt;="&amp;$A53,VER_SITE,$D$3,VER_QUEUE,$D$4,VER_CHAN,$D$5))/E53,0))</f>
        <v/>
      </c>
      <c r="N53" s="65">
        <f>IF(D53="","",IFERROR((SUMIFS(IEX_TALK,IEX_DATE,"&gt;="&amp;$A53,IEX_DATE,"&lt;="&amp;$A53,IEX_SITE,$D$3,IEX_QUEUE,$D$4,IEX_CHAN,$D$5)+SUMIFS(IEX_HOLD,IEX_DATE,"&gt;="&amp;$A53,IEX_DATE,"&lt;="&amp;$A53,IEX_SITE,$D$3,IEX_QUEUE,$D$4,IEX_CHAN,$D$5)+SUMIFS(IEX_ACW,IEX_DATE,"&gt;="&amp;$A53,IEX_DATE,"&lt;="&amp;$A53,IEX_SITE,$D$3,IEX_QUEUE,$D$4,IEX_CHAN,$D$5))/F53,0))</f>
        <v/>
      </c>
    </row>
    <row r="54">
      <c r="A54" s="61">
        <f>IF(OR(A53="",A53+1&gt;$B$4),"",A53+1)</f>
        <v/>
      </c>
      <c r="B54" s="62">
        <f>IF(A54="","",TEXT(A54,"ddd"))</f>
        <v/>
      </c>
      <c r="C54" s="63">
        <f>IF($A54="","",SUMIFS(VER_OFFERED,VER_DATE,"&gt;="&amp;$A54,VER_DATE,"&lt;="&amp;$A54,VER_SITE,$D$3,VER_QUEUE,$D$4,VER_CHAN,$D$5))</f>
        <v/>
      </c>
      <c r="D54" s="63">
        <f>IF($A54="","",SUMIFS(IEX_OFFERED,IEX_DATE,"&gt;="&amp;$A54,IEX_DATE,"&lt;="&amp;$A54,IEX_SITE,$D$3,IEX_QUEUE,$D$4,IEX_CHAN,$D$5))</f>
        <v/>
      </c>
      <c r="E54" s="63">
        <f>IF($A54="","",SUMIFS(VER_HANDLED,VER_DATE,"&gt;="&amp;$A54,VER_DATE,"&lt;="&amp;$A54,VER_SITE,$D$3,VER_QUEUE,$D$4,VER_CHAN,$D$5))</f>
        <v/>
      </c>
      <c r="F54" s="63">
        <f>IF($A54="","",SUMIFS(IEX_HANDLED,IEX_DATE,"&gt;="&amp;$A54,IEX_DATE,"&lt;="&amp;$A54,IEX_SITE,$D$3,IEX_QUEUE,$D$4,IEX_CHAN,$D$5))</f>
        <v/>
      </c>
      <c r="G54" s="63">
        <f>IF($A54="","",SUMIFS(VER_ABAND,VER_DATE,"&gt;="&amp;$A54,VER_DATE,"&lt;="&amp;$A54,VER_SITE,$D$3,VER_QUEUE,$D$4,VER_CHAN,$D$5))</f>
        <v/>
      </c>
      <c r="H54" s="63">
        <f>IF($A54="","",SUMIFS(IEX_ABAND,IEX_DATE,"&gt;="&amp;$A54,IEX_DATE,"&lt;="&amp;$A54,IEX_SITE,$D$3,IEX_QUEUE,$D$4,IEX_CHAN,$D$5))</f>
        <v/>
      </c>
      <c r="I54" s="64">
        <f>IF(C54="","",IFERROR(G54/C54,0))</f>
        <v/>
      </c>
      <c r="J54" s="64">
        <f>IF(D54="","",IFERROR(H54/D54,0))</f>
        <v/>
      </c>
      <c r="K54" s="64">
        <f>IF(C54="","",IFERROR(SUMPRODUCT((((VER_DATE&gt;=$A54)*(VER_DATE&lt;=$A54)))*(((($B$6="ALL")+(VER_SITE=$B$6))&gt;0))*(((($B$7="ALL")+(VER_QUEUE=$B$7))&gt;0))*(((($B$8="ALL")+(VER_CHAN=$B$8))&gt;0))*VER_SL*VER_OFFERED)/C54,0))</f>
        <v/>
      </c>
      <c r="L54" s="64">
        <f>IF(D54="","",IFERROR(SUMPRODUCT((((IEX_DATE&gt;=$A54)*(IEX_DATE&lt;=$A54)))*(((($B$6="ALL")+(IEX_SITE=$B$6))&gt;0))*(((($B$7="ALL")+(IEX_QUEUE=$B$7))&gt;0))*(((($B$8="ALL")+(IEX_CHAN=$B$8))&gt;0))*IEX_SL*IEX_OFFERED)/D54,0))</f>
        <v/>
      </c>
      <c r="M54" s="65">
        <f>IF(C54="","",IFERROR((SUMIFS(VER_TALK,VER_DATE,"&gt;="&amp;$A54,VER_DATE,"&lt;="&amp;$A54,VER_SITE,$D$3,VER_QUEUE,$D$4,VER_CHAN,$D$5)+SUMIFS(VER_HOLD,VER_DATE,"&gt;="&amp;$A54,VER_DATE,"&lt;="&amp;$A54,VER_SITE,$D$3,VER_QUEUE,$D$4,VER_CHAN,$D$5)+SUMIFS(VER_ACW,VER_DATE,"&gt;="&amp;$A54,VER_DATE,"&lt;="&amp;$A54,VER_SITE,$D$3,VER_QUEUE,$D$4,VER_CHAN,$D$5))/E54,0))</f>
        <v/>
      </c>
      <c r="N54" s="65">
        <f>IF(D54="","",IFERROR((SUMIFS(IEX_TALK,IEX_DATE,"&gt;="&amp;$A54,IEX_DATE,"&lt;="&amp;$A54,IEX_SITE,$D$3,IEX_QUEUE,$D$4,IEX_CHAN,$D$5)+SUMIFS(IEX_HOLD,IEX_DATE,"&gt;="&amp;$A54,IEX_DATE,"&lt;="&amp;$A54,IEX_SITE,$D$3,IEX_QUEUE,$D$4,IEX_CHAN,$D$5)+SUMIFS(IEX_ACW,IEX_DATE,"&gt;="&amp;$A54,IEX_DATE,"&lt;="&amp;$A54,IEX_SITE,$D$3,IEX_QUEUE,$D$4,IEX_CHAN,$D$5))/F54,0))</f>
        <v/>
      </c>
    </row>
    <row r="55">
      <c r="A55" s="61">
        <f>IF(OR(A54="",A54+1&gt;$B$4),"",A54+1)</f>
        <v/>
      </c>
      <c r="B55" s="62">
        <f>IF(A55="","",TEXT(A55,"ddd"))</f>
        <v/>
      </c>
      <c r="C55" s="63">
        <f>IF($A55="","",SUMIFS(VER_OFFERED,VER_DATE,"&gt;="&amp;$A55,VER_DATE,"&lt;="&amp;$A55,VER_SITE,$D$3,VER_QUEUE,$D$4,VER_CHAN,$D$5))</f>
        <v/>
      </c>
      <c r="D55" s="63">
        <f>IF($A55="","",SUMIFS(IEX_OFFERED,IEX_DATE,"&gt;="&amp;$A55,IEX_DATE,"&lt;="&amp;$A55,IEX_SITE,$D$3,IEX_QUEUE,$D$4,IEX_CHAN,$D$5))</f>
        <v/>
      </c>
      <c r="E55" s="63">
        <f>IF($A55="","",SUMIFS(VER_HANDLED,VER_DATE,"&gt;="&amp;$A55,VER_DATE,"&lt;="&amp;$A55,VER_SITE,$D$3,VER_QUEUE,$D$4,VER_CHAN,$D$5))</f>
        <v/>
      </c>
      <c r="F55" s="63">
        <f>IF($A55="","",SUMIFS(IEX_HANDLED,IEX_DATE,"&gt;="&amp;$A55,IEX_DATE,"&lt;="&amp;$A55,IEX_SITE,$D$3,IEX_QUEUE,$D$4,IEX_CHAN,$D$5))</f>
        <v/>
      </c>
      <c r="G55" s="63">
        <f>IF($A55="","",SUMIFS(VER_ABAND,VER_DATE,"&gt;="&amp;$A55,VER_DATE,"&lt;="&amp;$A55,VER_SITE,$D$3,VER_QUEUE,$D$4,VER_CHAN,$D$5))</f>
        <v/>
      </c>
      <c r="H55" s="63">
        <f>IF($A55="","",SUMIFS(IEX_ABAND,IEX_DATE,"&gt;="&amp;$A55,IEX_DATE,"&lt;="&amp;$A55,IEX_SITE,$D$3,IEX_QUEUE,$D$4,IEX_CHAN,$D$5))</f>
        <v/>
      </c>
      <c r="I55" s="64">
        <f>IF(C55="","",IFERROR(G55/C55,0))</f>
        <v/>
      </c>
      <c r="J55" s="64">
        <f>IF(D55="","",IFERROR(H55/D55,0))</f>
        <v/>
      </c>
      <c r="K55" s="64">
        <f>IF(C55="","",IFERROR(SUMPRODUCT((((VER_DATE&gt;=$A55)*(VER_DATE&lt;=$A55)))*(((($B$6="ALL")+(VER_SITE=$B$6))&gt;0))*(((($B$7="ALL")+(VER_QUEUE=$B$7))&gt;0))*(((($B$8="ALL")+(VER_CHAN=$B$8))&gt;0))*VER_SL*VER_OFFERED)/C55,0))</f>
        <v/>
      </c>
      <c r="L55" s="64">
        <f>IF(D55="","",IFERROR(SUMPRODUCT((((IEX_DATE&gt;=$A55)*(IEX_DATE&lt;=$A55)))*(((($B$6="ALL")+(IEX_SITE=$B$6))&gt;0))*(((($B$7="ALL")+(IEX_QUEUE=$B$7))&gt;0))*(((($B$8="ALL")+(IEX_CHAN=$B$8))&gt;0))*IEX_SL*IEX_OFFERED)/D55,0))</f>
        <v/>
      </c>
      <c r="M55" s="65">
        <f>IF(C55="","",IFERROR((SUMIFS(VER_TALK,VER_DATE,"&gt;="&amp;$A55,VER_DATE,"&lt;="&amp;$A55,VER_SITE,$D$3,VER_QUEUE,$D$4,VER_CHAN,$D$5)+SUMIFS(VER_HOLD,VER_DATE,"&gt;="&amp;$A55,VER_DATE,"&lt;="&amp;$A55,VER_SITE,$D$3,VER_QUEUE,$D$4,VER_CHAN,$D$5)+SUMIFS(VER_ACW,VER_DATE,"&gt;="&amp;$A55,VER_DATE,"&lt;="&amp;$A55,VER_SITE,$D$3,VER_QUEUE,$D$4,VER_CHAN,$D$5))/E55,0))</f>
        <v/>
      </c>
      <c r="N55" s="65">
        <f>IF(D55="","",IFERROR((SUMIFS(IEX_TALK,IEX_DATE,"&gt;="&amp;$A55,IEX_DATE,"&lt;="&amp;$A55,IEX_SITE,$D$3,IEX_QUEUE,$D$4,IEX_CHAN,$D$5)+SUMIFS(IEX_HOLD,IEX_DATE,"&gt;="&amp;$A55,IEX_DATE,"&lt;="&amp;$A55,IEX_SITE,$D$3,IEX_QUEUE,$D$4,IEX_CHAN,$D$5)+SUMIFS(IEX_ACW,IEX_DATE,"&gt;="&amp;$A55,IEX_DATE,"&lt;="&amp;$A55,IEX_SITE,$D$3,IEX_QUEUE,$D$4,IEX_CHAN,$D$5))/F55,0))</f>
        <v/>
      </c>
    </row>
    <row r="56">
      <c r="A56" s="61">
        <f>IF(OR(A55="",A55+1&gt;$B$4),"",A55+1)</f>
        <v/>
      </c>
      <c r="B56" s="62">
        <f>IF(A56="","",TEXT(A56,"ddd"))</f>
        <v/>
      </c>
      <c r="C56" s="63">
        <f>IF($A56="","",SUMIFS(VER_OFFERED,VER_DATE,"&gt;="&amp;$A56,VER_DATE,"&lt;="&amp;$A56,VER_SITE,$D$3,VER_QUEUE,$D$4,VER_CHAN,$D$5))</f>
        <v/>
      </c>
      <c r="D56" s="63">
        <f>IF($A56="","",SUMIFS(IEX_OFFERED,IEX_DATE,"&gt;="&amp;$A56,IEX_DATE,"&lt;="&amp;$A56,IEX_SITE,$D$3,IEX_QUEUE,$D$4,IEX_CHAN,$D$5))</f>
        <v/>
      </c>
      <c r="E56" s="63">
        <f>IF($A56="","",SUMIFS(VER_HANDLED,VER_DATE,"&gt;="&amp;$A56,VER_DATE,"&lt;="&amp;$A56,VER_SITE,$D$3,VER_QUEUE,$D$4,VER_CHAN,$D$5))</f>
        <v/>
      </c>
      <c r="F56" s="63">
        <f>IF($A56="","",SUMIFS(IEX_HANDLED,IEX_DATE,"&gt;="&amp;$A56,IEX_DATE,"&lt;="&amp;$A56,IEX_SITE,$D$3,IEX_QUEUE,$D$4,IEX_CHAN,$D$5))</f>
        <v/>
      </c>
      <c r="G56" s="63">
        <f>IF($A56="","",SUMIFS(VER_ABAND,VER_DATE,"&gt;="&amp;$A56,VER_DATE,"&lt;="&amp;$A56,VER_SITE,$D$3,VER_QUEUE,$D$4,VER_CHAN,$D$5))</f>
        <v/>
      </c>
      <c r="H56" s="63">
        <f>IF($A56="","",SUMIFS(IEX_ABAND,IEX_DATE,"&gt;="&amp;$A56,IEX_DATE,"&lt;="&amp;$A56,IEX_SITE,$D$3,IEX_QUEUE,$D$4,IEX_CHAN,$D$5))</f>
        <v/>
      </c>
      <c r="I56" s="64">
        <f>IF(C56="","",IFERROR(G56/C56,0))</f>
        <v/>
      </c>
      <c r="J56" s="64">
        <f>IF(D56="","",IFERROR(H56/D56,0))</f>
        <v/>
      </c>
      <c r="K56" s="64">
        <f>IF(C56="","",IFERROR(SUMPRODUCT((((VER_DATE&gt;=$A56)*(VER_DATE&lt;=$A56)))*(((($B$6="ALL")+(VER_SITE=$B$6))&gt;0))*(((($B$7="ALL")+(VER_QUEUE=$B$7))&gt;0))*(((($B$8="ALL")+(VER_CHAN=$B$8))&gt;0))*VER_SL*VER_OFFERED)/C56,0))</f>
        <v/>
      </c>
      <c r="L56" s="64">
        <f>IF(D56="","",IFERROR(SUMPRODUCT((((IEX_DATE&gt;=$A56)*(IEX_DATE&lt;=$A56)))*(((($B$6="ALL")+(IEX_SITE=$B$6))&gt;0))*(((($B$7="ALL")+(IEX_QUEUE=$B$7))&gt;0))*(((($B$8="ALL")+(IEX_CHAN=$B$8))&gt;0))*IEX_SL*IEX_OFFERED)/D56,0))</f>
        <v/>
      </c>
      <c r="M56" s="65">
        <f>IF(C56="","",IFERROR((SUMIFS(VER_TALK,VER_DATE,"&gt;="&amp;$A56,VER_DATE,"&lt;="&amp;$A56,VER_SITE,$D$3,VER_QUEUE,$D$4,VER_CHAN,$D$5)+SUMIFS(VER_HOLD,VER_DATE,"&gt;="&amp;$A56,VER_DATE,"&lt;="&amp;$A56,VER_SITE,$D$3,VER_QUEUE,$D$4,VER_CHAN,$D$5)+SUMIFS(VER_ACW,VER_DATE,"&gt;="&amp;$A56,VER_DATE,"&lt;="&amp;$A56,VER_SITE,$D$3,VER_QUEUE,$D$4,VER_CHAN,$D$5))/E56,0))</f>
        <v/>
      </c>
      <c r="N56" s="65">
        <f>IF(D56="","",IFERROR((SUMIFS(IEX_TALK,IEX_DATE,"&gt;="&amp;$A56,IEX_DATE,"&lt;="&amp;$A56,IEX_SITE,$D$3,IEX_QUEUE,$D$4,IEX_CHAN,$D$5)+SUMIFS(IEX_HOLD,IEX_DATE,"&gt;="&amp;$A56,IEX_DATE,"&lt;="&amp;$A56,IEX_SITE,$D$3,IEX_QUEUE,$D$4,IEX_CHAN,$D$5)+SUMIFS(IEX_ACW,IEX_DATE,"&gt;="&amp;$A56,IEX_DATE,"&lt;="&amp;$A56,IEX_SITE,$D$3,IEX_QUEUE,$D$4,IEX_CHAN,$D$5))/F56,0))</f>
        <v/>
      </c>
    </row>
    <row r="57">
      <c r="A57" s="61">
        <f>IF(OR(A56="",A56+1&gt;$B$4),"",A56+1)</f>
        <v/>
      </c>
      <c r="B57" s="62">
        <f>IF(A57="","",TEXT(A57,"ddd"))</f>
        <v/>
      </c>
      <c r="C57" s="63">
        <f>IF($A57="","",SUMIFS(VER_OFFERED,VER_DATE,"&gt;="&amp;$A57,VER_DATE,"&lt;="&amp;$A57,VER_SITE,$D$3,VER_QUEUE,$D$4,VER_CHAN,$D$5))</f>
        <v/>
      </c>
      <c r="D57" s="63">
        <f>IF($A57="","",SUMIFS(IEX_OFFERED,IEX_DATE,"&gt;="&amp;$A57,IEX_DATE,"&lt;="&amp;$A57,IEX_SITE,$D$3,IEX_QUEUE,$D$4,IEX_CHAN,$D$5))</f>
        <v/>
      </c>
      <c r="E57" s="63">
        <f>IF($A57="","",SUMIFS(VER_HANDLED,VER_DATE,"&gt;="&amp;$A57,VER_DATE,"&lt;="&amp;$A57,VER_SITE,$D$3,VER_QUEUE,$D$4,VER_CHAN,$D$5))</f>
        <v/>
      </c>
      <c r="F57" s="63">
        <f>IF($A57="","",SUMIFS(IEX_HANDLED,IEX_DATE,"&gt;="&amp;$A57,IEX_DATE,"&lt;="&amp;$A57,IEX_SITE,$D$3,IEX_QUEUE,$D$4,IEX_CHAN,$D$5))</f>
        <v/>
      </c>
      <c r="G57" s="63">
        <f>IF($A57="","",SUMIFS(VER_ABAND,VER_DATE,"&gt;="&amp;$A57,VER_DATE,"&lt;="&amp;$A57,VER_SITE,$D$3,VER_QUEUE,$D$4,VER_CHAN,$D$5))</f>
        <v/>
      </c>
      <c r="H57" s="63">
        <f>IF($A57="","",SUMIFS(IEX_ABAND,IEX_DATE,"&gt;="&amp;$A57,IEX_DATE,"&lt;="&amp;$A57,IEX_SITE,$D$3,IEX_QUEUE,$D$4,IEX_CHAN,$D$5))</f>
        <v/>
      </c>
      <c r="I57" s="64">
        <f>IF(C57="","",IFERROR(G57/C57,0))</f>
        <v/>
      </c>
      <c r="J57" s="64">
        <f>IF(D57="","",IFERROR(H57/D57,0))</f>
        <v/>
      </c>
      <c r="K57" s="64">
        <f>IF(C57="","",IFERROR(SUMPRODUCT((((VER_DATE&gt;=$A57)*(VER_DATE&lt;=$A57)))*(((($B$6="ALL")+(VER_SITE=$B$6))&gt;0))*(((($B$7="ALL")+(VER_QUEUE=$B$7))&gt;0))*(((($B$8="ALL")+(VER_CHAN=$B$8))&gt;0))*VER_SL*VER_OFFERED)/C57,0))</f>
        <v/>
      </c>
      <c r="L57" s="64">
        <f>IF(D57="","",IFERROR(SUMPRODUCT((((IEX_DATE&gt;=$A57)*(IEX_DATE&lt;=$A57)))*(((($B$6="ALL")+(IEX_SITE=$B$6))&gt;0))*(((($B$7="ALL")+(IEX_QUEUE=$B$7))&gt;0))*(((($B$8="ALL")+(IEX_CHAN=$B$8))&gt;0))*IEX_SL*IEX_OFFERED)/D57,0))</f>
        <v/>
      </c>
      <c r="M57" s="65">
        <f>IF(C57="","",IFERROR((SUMIFS(VER_TALK,VER_DATE,"&gt;="&amp;$A57,VER_DATE,"&lt;="&amp;$A57,VER_SITE,$D$3,VER_QUEUE,$D$4,VER_CHAN,$D$5)+SUMIFS(VER_HOLD,VER_DATE,"&gt;="&amp;$A57,VER_DATE,"&lt;="&amp;$A57,VER_SITE,$D$3,VER_QUEUE,$D$4,VER_CHAN,$D$5)+SUMIFS(VER_ACW,VER_DATE,"&gt;="&amp;$A57,VER_DATE,"&lt;="&amp;$A57,VER_SITE,$D$3,VER_QUEUE,$D$4,VER_CHAN,$D$5))/E57,0))</f>
        <v/>
      </c>
      <c r="N57" s="65">
        <f>IF(D57="","",IFERROR((SUMIFS(IEX_TALK,IEX_DATE,"&gt;="&amp;$A57,IEX_DATE,"&lt;="&amp;$A57,IEX_SITE,$D$3,IEX_QUEUE,$D$4,IEX_CHAN,$D$5)+SUMIFS(IEX_HOLD,IEX_DATE,"&gt;="&amp;$A57,IEX_DATE,"&lt;="&amp;$A57,IEX_SITE,$D$3,IEX_QUEUE,$D$4,IEX_CHAN,$D$5)+SUMIFS(IEX_ACW,IEX_DATE,"&gt;="&amp;$A57,IEX_DATE,"&lt;="&amp;$A57,IEX_SITE,$D$3,IEX_QUEUE,$D$4,IEX_CHAN,$D$5))/F57,0))</f>
        <v/>
      </c>
    </row>
    <row r="58">
      <c r="A58" s="61">
        <f>IF(OR(A57="",A57+1&gt;$B$4),"",A57+1)</f>
        <v/>
      </c>
      <c r="B58" s="62">
        <f>IF(A58="","",TEXT(A58,"ddd"))</f>
        <v/>
      </c>
      <c r="C58" s="63">
        <f>IF($A58="","",SUMIFS(VER_OFFERED,VER_DATE,"&gt;="&amp;$A58,VER_DATE,"&lt;="&amp;$A58,VER_SITE,$D$3,VER_QUEUE,$D$4,VER_CHAN,$D$5))</f>
        <v/>
      </c>
      <c r="D58" s="63">
        <f>IF($A58="","",SUMIFS(IEX_OFFERED,IEX_DATE,"&gt;="&amp;$A58,IEX_DATE,"&lt;="&amp;$A58,IEX_SITE,$D$3,IEX_QUEUE,$D$4,IEX_CHAN,$D$5))</f>
        <v/>
      </c>
      <c r="E58" s="63">
        <f>IF($A58="","",SUMIFS(VER_HANDLED,VER_DATE,"&gt;="&amp;$A58,VER_DATE,"&lt;="&amp;$A58,VER_SITE,$D$3,VER_QUEUE,$D$4,VER_CHAN,$D$5))</f>
        <v/>
      </c>
      <c r="F58" s="63">
        <f>IF($A58="","",SUMIFS(IEX_HANDLED,IEX_DATE,"&gt;="&amp;$A58,IEX_DATE,"&lt;="&amp;$A58,IEX_SITE,$D$3,IEX_QUEUE,$D$4,IEX_CHAN,$D$5))</f>
        <v/>
      </c>
      <c r="G58" s="63">
        <f>IF($A58="","",SUMIFS(VER_ABAND,VER_DATE,"&gt;="&amp;$A58,VER_DATE,"&lt;="&amp;$A58,VER_SITE,$D$3,VER_QUEUE,$D$4,VER_CHAN,$D$5))</f>
        <v/>
      </c>
      <c r="H58" s="63">
        <f>IF($A58="","",SUMIFS(IEX_ABAND,IEX_DATE,"&gt;="&amp;$A58,IEX_DATE,"&lt;="&amp;$A58,IEX_SITE,$D$3,IEX_QUEUE,$D$4,IEX_CHAN,$D$5))</f>
        <v/>
      </c>
      <c r="I58" s="64">
        <f>IF(C58="","",IFERROR(G58/C58,0))</f>
        <v/>
      </c>
      <c r="J58" s="64">
        <f>IF(D58="","",IFERROR(H58/D58,0))</f>
        <v/>
      </c>
      <c r="K58" s="64">
        <f>IF(C58="","",IFERROR(SUMPRODUCT((((VER_DATE&gt;=$A58)*(VER_DATE&lt;=$A58)))*(((($B$6="ALL")+(VER_SITE=$B$6))&gt;0))*(((($B$7="ALL")+(VER_QUEUE=$B$7))&gt;0))*(((($B$8="ALL")+(VER_CHAN=$B$8))&gt;0))*VER_SL*VER_OFFERED)/C58,0))</f>
        <v/>
      </c>
      <c r="L58" s="64">
        <f>IF(D58="","",IFERROR(SUMPRODUCT((((IEX_DATE&gt;=$A58)*(IEX_DATE&lt;=$A58)))*(((($B$6="ALL")+(IEX_SITE=$B$6))&gt;0))*(((($B$7="ALL")+(IEX_QUEUE=$B$7))&gt;0))*(((($B$8="ALL")+(IEX_CHAN=$B$8))&gt;0))*IEX_SL*IEX_OFFERED)/D58,0))</f>
        <v/>
      </c>
      <c r="M58" s="65">
        <f>IF(C58="","",IFERROR((SUMIFS(VER_TALK,VER_DATE,"&gt;="&amp;$A58,VER_DATE,"&lt;="&amp;$A58,VER_SITE,$D$3,VER_QUEUE,$D$4,VER_CHAN,$D$5)+SUMIFS(VER_HOLD,VER_DATE,"&gt;="&amp;$A58,VER_DATE,"&lt;="&amp;$A58,VER_SITE,$D$3,VER_QUEUE,$D$4,VER_CHAN,$D$5)+SUMIFS(VER_ACW,VER_DATE,"&gt;="&amp;$A58,VER_DATE,"&lt;="&amp;$A58,VER_SITE,$D$3,VER_QUEUE,$D$4,VER_CHAN,$D$5))/E58,0))</f>
        <v/>
      </c>
      <c r="N58" s="65">
        <f>IF(D58="","",IFERROR((SUMIFS(IEX_TALK,IEX_DATE,"&gt;="&amp;$A58,IEX_DATE,"&lt;="&amp;$A58,IEX_SITE,$D$3,IEX_QUEUE,$D$4,IEX_CHAN,$D$5)+SUMIFS(IEX_HOLD,IEX_DATE,"&gt;="&amp;$A58,IEX_DATE,"&lt;="&amp;$A58,IEX_SITE,$D$3,IEX_QUEUE,$D$4,IEX_CHAN,$D$5)+SUMIFS(IEX_ACW,IEX_DATE,"&gt;="&amp;$A58,IEX_DATE,"&lt;="&amp;$A58,IEX_SITE,$D$3,IEX_QUEUE,$D$4,IEX_CHAN,$D$5))/F58,0))</f>
        <v/>
      </c>
    </row>
    <row r="59">
      <c r="A59" s="61">
        <f>IF(OR(A58="",A58+1&gt;$B$4),"",A58+1)</f>
        <v/>
      </c>
      <c r="B59" s="62">
        <f>IF(A59="","",TEXT(A59,"ddd"))</f>
        <v/>
      </c>
      <c r="C59" s="63">
        <f>IF($A59="","",SUMIFS(VER_OFFERED,VER_DATE,"&gt;="&amp;$A59,VER_DATE,"&lt;="&amp;$A59,VER_SITE,$D$3,VER_QUEUE,$D$4,VER_CHAN,$D$5))</f>
        <v/>
      </c>
      <c r="D59" s="63">
        <f>IF($A59="","",SUMIFS(IEX_OFFERED,IEX_DATE,"&gt;="&amp;$A59,IEX_DATE,"&lt;="&amp;$A59,IEX_SITE,$D$3,IEX_QUEUE,$D$4,IEX_CHAN,$D$5))</f>
        <v/>
      </c>
      <c r="E59" s="63">
        <f>IF($A59="","",SUMIFS(VER_HANDLED,VER_DATE,"&gt;="&amp;$A59,VER_DATE,"&lt;="&amp;$A59,VER_SITE,$D$3,VER_QUEUE,$D$4,VER_CHAN,$D$5))</f>
        <v/>
      </c>
      <c r="F59" s="63">
        <f>IF($A59="","",SUMIFS(IEX_HANDLED,IEX_DATE,"&gt;="&amp;$A59,IEX_DATE,"&lt;="&amp;$A59,IEX_SITE,$D$3,IEX_QUEUE,$D$4,IEX_CHAN,$D$5))</f>
        <v/>
      </c>
      <c r="G59" s="63">
        <f>IF($A59="","",SUMIFS(VER_ABAND,VER_DATE,"&gt;="&amp;$A59,VER_DATE,"&lt;="&amp;$A59,VER_SITE,$D$3,VER_QUEUE,$D$4,VER_CHAN,$D$5))</f>
        <v/>
      </c>
      <c r="H59" s="63">
        <f>IF($A59="","",SUMIFS(IEX_ABAND,IEX_DATE,"&gt;="&amp;$A59,IEX_DATE,"&lt;="&amp;$A59,IEX_SITE,$D$3,IEX_QUEUE,$D$4,IEX_CHAN,$D$5))</f>
        <v/>
      </c>
      <c r="I59" s="64">
        <f>IF(C59="","",IFERROR(G59/C59,0))</f>
        <v/>
      </c>
      <c r="J59" s="64">
        <f>IF(D59="","",IFERROR(H59/D59,0))</f>
        <v/>
      </c>
      <c r="K59" s="64">
        <f>IF(C59="","",IFERROR(SUMPRODUCT((((VER_DATE&gt;=$A59)*(VER_DATE&lt;=$A59)))*(((($B$6="ALL")+(VER_SITE=$B$6))&gt;0))*(((($B$7="ALL")+(VER_QUEUE=$B$7))&gt;0))*(((($B$8="ALL")+(VER_CHAN=$B$8))&gt;0))*VER_SL*VER_OFFERED)/C59,0))</f>
        <v/>
      </c>
      <c r="L59" s="64">
        <f>IF(D59="","",IFERROR(SUMPRODUCT((((IEX_DATE&gt;=$A59)*(IEX_DATE&lt;=$A59)))*(((($B$6="ALL")+(IEX_SITE=$B$6))&gt;0))*(((($B$7="ALL")+(IEX_QUEUE=$B$7))&gt;0))*(((($B$8="ALL")+(IEX_CHAN=$B$8))&gt;0))*IEX_SL*IEX_OFFERED)/D59,0))</f>
        <v/>
      </c>
      <c r="M59" s="65">
        <f>IF(C59="","",IFERROR((SUMIFS(VER_TALK,VER_DATE,"&gt;="&amp;$A59,VER_DATE,"&lt;="&amp;$A59,VER_SITE,$D$3,VER_QUEUE,$D$4,VER_CHAN,$D$5)+SUMIFS(VER_HOLD,VER_DATE,"&gt;="&amp;$A59,VER_DATE,"&lt;="&amp;$A59,VER_SITE,$D$3,VER_QUEUE,$D$4,VER_CHAN,$D$5)+SUMIFS(VER_ACW,VER_DATE,"&gt;="&amp;$A59,VER_DATE,"&lt;="&amp;$A59,VER_SITE,$D$3,VER_QUEUE,$D$4,VER_CHAN,$D$5))/E59,0))</f>
        <v/>
      </c>
      <c r="N59" s="65">
        <f>IF(D59="","",IFERROR((SUMIFS(IEX_TALK,IEX_DATE,"&gt;="&amp;$A59,IEX_DATE,"&lt;="&amp;$A59,IEX_SITE,$D$3,IEX_QUEUE,$D$4,IEX_CHAN,$D$5)+SUMIFS(IEX_HOLD,IEX_DATE,"&gt;="&amp;$A59,IEX_DATE,"&lt;="&amp;$A59,IEX_SITE,$D$3,IEX_QUEUE,$D$4,IEX_CHAN,$D$5)+SUMIFS(IEX_ACW,IEX_DATE,"&gt;="&amp;$A59,IEX_DATE,"&lt;="&amp;$A59,IEX_SITE,$D$3,IEX_QUEUE,$D$4,IEX_CHAN,$D$5))/F59,0))</f>
        <v/>
      </c>
    </row>
    <row r="60">
      <c r="A60" s="61">
        <f>IF(OR(A59="",A59+1&gt;$B$4),"",A59+1)</f>
        <v/>
      </c>
      <c r="B60" s="62">
        <f>IF(A60="","",TEXT(A60,"ddd"))</f>
        <v/>
      </c>
      <c r="C60" s="63">
        <f>IF($A60="","",SUMIFS(VER_OFFERED,VER_DATE,"&gt;="&amp;$A60,VER_DATE,"&lt;="&amp;$A60,VER_SITE,$D$3,VER_QUEUE,$D$4,VER_CHAN,$D$5))</f>
        <v/>
      </c>
      <c r="D60" s="63">
        <f>IF($A60="","",SUMIFS(IEX_OFFERED,IEX_DATE,"&gt;="&amp;$A60,IEX_DATE,"&lt;="&amp;$A60,IEX_SITE,$D$3,IEX_QUEUE,$D$4,IEX_CHAN,$D$5))</f>
        <v/>
      </c>
      <c r="E60" s="63">
        <f>IF($A60="","",SUMIFS(VER_HANDLED,VER_DATE,"&gt;="&amp;$A60,VER_DATE,"&lt;="&amp;$A60,VER_SITE,$D$3,VER_QUEUE,$D$4,VER_CHAN,$D$5))</f>
        <v/>
      </c>
      <c r="F60" s="63">
        <f>IF($A60="","",SUMIFS(IEX_HANDLED,IEX_DATE,"&gt;="&amp;$A60,IEX_DATE,"&lt;="&amp;$A60,IEX_SITE,$D$3,IEX_QUEUE,$D$4,IEX_CHAN,$D$5))</f>
        <v/>
      </c>
      <c r="G60" s="63">
        <f>IF($A60="","",SUMIFS(VER_ABAND,VER_DATE,"&gt;="&amp;$A60,VER_DATE,"&lt;="&amp;$A60,VER_SITE,$D$3,VER_QUEUE,$D$4,VER_CHAN,$D$5))</f>
        <v/>
      </c>
      <c r="H60" s="63">
        <f>IF($A60="","",SUMIFS(IEX_ABAND,IEX_DATE,"&gt;="&amp;$A60,IEX_DATE,"&lt;="&amp;$A60,IEX_SITE,$D$3,IEX_QUEUE,$D$4,IEX_CHAN,$D$5))</f>
        <v/>
      </c>
      <c r="I60" s="64">
        <f>IF(C60="","",IFERROR(G60/C60,0))</f>
        <v/>
      </c>
      <c r="J60" s="64">
        <f>IF(D60="","",IFERROR(H60/D60,0))</f>
        <v/>
      </c>
      <c r="K60" s="64">
        <f>IF(C60="","",IFERROR(SUMPRODUCT((((VER_DATE&gt;=$A60)*(VER_DATE&lt;=$A60)))*(((($B$6="ALL")+(VER_SITE=$B$6))&gt;0))*(((($B$7="ALL")+(VER_QUEUE=$B$7))&gt;0))*(((($B$8="ALL")+(VER_CHAN=$B$8))&gt;0))*VER_SL*VER_OFFERED)/C60,0))</f>
        <v/>
      </c>
      <c r="L60" s="64">
        <f>IF(D60="","",IFERROR(SUMPRODUCT((((IEX_DATE&gt;=$A60)*(IEX_DATE&lt;=$A60)))*(((($B$6="ALL")+(IEX_SITE=$B$6))&gt;0))*(((($B$7="ALL")+(IEX_QUEUE=$B$7))&gt;0))*(((($B$8="ALL")+(IEX_CHAN=$B$8))&gt;0))*IEX_SL*IEX_OFFERED)/D60,0))</f>
        <v/>
      </c>
      <c r="M60" s="65">
        <f>IF(C60="","",IFERROR((SUMIFS(VER_TALK,VER_DATE,"&gt;="&amp;$A60,VER_DATE,"&lt;="&amp;$A60,VER_SITE,$D$3,VER_QUEUE,$D$4,VER_CHAN,$D$5)+SUMIFS(VER_HOLD,VER_DATE,"&gt;="&amp;$A60,VER_DATE,"&lt;="&amp;$A60,VER_SITE,$D$3,VER_QUEUE,$D$4,VER_CHAN,$D$5)+SUMIFS(VER_ACW,VER_DATE,"&gt;="&amp;$A60,VER_DATE,"&lt;="&amp;$A60,VER_SITE,$D$3,VER_QUEUE,$D$4,VER_CHAN,$D$5))/E60,0))</f>
        <v/>
      </c>
      <c r="N60" s="65">
        <f>IF(D60="","",IFERROR((SUMIFS(IEX_TALK,IEX_DATE,"&gt;="&amp;$A60,IEX_DATE,"&lt;="&amp;$A60,IEX_SITE,$D$3,IEX_QUEUE,$D$4,IEX_CHAN,$D$5)+SUMIFS(IEX_HOLD,IEX_DATE,"&gt;="&amp;$A60,IEX_DATE,"&lt;="&amp;$A60,IEX_SITE,$D$3,IEX_QUEUE,$D$4,IEX_CHAN,$D$5)+SUMIFS(IEX_ACW,IEX_DATE,"&gt;="&amp;$A60,IEX_DATE,"&lt;="&amp;$A60,IEX_SITE,$D$3,IEX_QUEUE,$D$4,IEX_CHAN,$D$5))/F60,0))</f>
        <v/>
      </c>
    </row>
    <row r="61">
      <c r="A61" s="61">
        <f>IF(OR(A60="",A60+1&gt;$B$4),"",A60+1)</f>
        <v/>
      </c>
      <c r="B61" s="62">
        <f>IF(A61="","",TEXT(A61,"ddd"))</f>
        <v/>
      </c>
      <c r="C61" s="63">
        <f>IF($A61="","",SUMIFS(VER_OFFERED,VER_DATE,"&gt;="&amp;$A61,VER_DATE,"&lt;="&amp;$A61,VER_SITE,$D$3,VER_QUEUE,$D$4,VER_CHAN,$D$5))</f>
        <v/>
      </c>
      <c r="D61" s="63">
        <f>IF($A61="","",SUMIFS(IEX_OFFERED,IEX_DATE,"&gt;="&amp;$A61,IEX_DATE,"&lt;="&amp;$A61,IEX_SITE,$D$3,IEX_QUEUE,$D$4,IEX_CHAN,$D$5))</f>
        <v/>
      </c>
      <c r="E61" s="63">
        <f>IF($A61="","",SUMIFS(VER_HANDLED,VER_DATE,"&gt;="&amp;$A61,VER_DATE,"&lt;="&amp;$A61,VER_SITE,$D$3,VER_QUEUE,$D$4,VER_CHAN,$D$5))</f>
        <v/>
      </c>
      <c r="F61" s="63">
        <f>IF($A61="","",SUMIFS(IEX_HANDLED,IEX_DATE,"&gt;="&amp;$A61,IEX_DATE,"&lt;="&amp;$A61,IEX_SITE,$D$3,IEX_QUEUE,$D$4,IEX_CHAN,$D$5))</f>
        <v/>
      </c>
      <c r="G61" s="63">
        <f>IF($A61="","",SUMIFS(VER_ABAND,VER_DATE,"&gt;="&amp;$A61,VER_DATE,"&lt;="&amp;$A61,VER_SITE,$D$3,VER_QUEUE,$D$4,VER_CHAN,$D$5))</f>
        <v/>
      </c>
      <c r="H61" s="63">
        <f>IF($A61="","",SUMIFS(IEX_ABAND,IEX_DATE,"&gt;="&amp;$A61,IEX_DATE,"&lt;="&amp;$A61,IEX_SITE,$D$3,IEX_QUEUE,$D$4,IEX_CHAN,$D$5))</f>
        <v/>
      </c>
      <c r="I61" s="64">
        <f>IF(C61="","",IFERROR(G61/C61,0))</f>
        <v/>
      </c>
      <c r="J61" s="64">
        <f>IF(D61="","",IFERROR(H61/D61,0))</f>
        <v/>
      </c>
      <c r="K61" s="64">
        <f>IF(C61="","",IFERROR(SUMPRODUCT((((VER_DATE&gt;=$A61)*(VER_DATE&lt;=$A61)))*(((($B$6="ALL")+(VER_SITE=$B$6))&gt;0))*(((($B$7="ALL")+(VER_QUEUE=$B$7))&gt;0))*(((($B$8="ALL")+(VER_CHAN=$B$8))&gt;0))*VER_SL*VER_OFFERED)/C61,0))</f>
        <v/>
      </c>
      <c r="L61" s="64">
        <f>IF(D61="","",IFERROR(SUMPRODUCT((((IEX_DATE&gt;=$A61)*(IEX_DATE&lt;=$A61)))*(((($B$6="ALL")+(IEX_SITE=$B$6))&gt;0))*(((($B$7="ALL")+(IEX_QUEUE=$B$7))&gt;0))*(((($B$8="ALL")+(IEX_CHAN=$B$8))&gt;0))*IEX_SL*IEX_OFFERED)/D61,0))</f>
        <v/>
      </c>
      <c r="M61" s="65">
        <f>IF(C61="","",IFERROR((SUMIFS(VER_TALK,VER_DATE,"&gt;="&amp;$A61,VER_DATE,"&lt;="&amp;$A61,VER_SITE,$D$3,VER_QUEUE,$D$4,VER_CHAN,$D$5)+SUMIFS(VER_HOLD,VER_DATE,"&gt;="&amp;$A61,VER_DATE,"&lt;="&amp;$A61,VER_SITE,$D$3,VER_QUEUE,$D$4,VER_CHAN,$D$5)+SUMIFS(VER_ACW,VER_DATE,"&gt;="&amp;$A61,VER_DATE,"&lt;="&amp;$A61,VER_SITE,$D$3,VER_QUEUE,$D$4,VER_CHAN,$D$5))/E61,0))</f>
        <v/>
      </c>
      <c r="N61" s="65">
        <f>IF(D61="","",IFERROR((SUMIFS(IEX_TALK,IEX_DATE,"&gt;="&amp;$A61,IEX_DATE,"&lt;="&amp;$A61,IEX_SITE,$D$3,IEX_QUEUE,$D$4,IEX_CHAN,$D$5)+SUMIFS(IEX_HOLD,IEX_DATE,"&gt;="&amp;$A61,IEX_DATE,"&lt;="&amp;$A61,IEX_SITE,$D$3,IEX_QUEUE,$D$4,IEX_CHAN,$D$5)+SUMIFS(IEX_ACW,IEX_DATE,"&gt;="&amp;$A61,IEX_DATE,"&lt;="&amp;$A61,IEX_SITE,$D$3,IEX_QUEUE,$D$4,IEX_CHAN,$D$5))/F61,0))</f>
        <v/>
      </c>
    </row>
    <row r="62">
      <c r="A62" s="61">
        <f>IF(OR(A61="",A61+1&gt;$B$4),"",A61+1)</f>
        <v/>
      </c>
      <c r="B62" s="62">
        <f>IF(A62="","",TEXT(A62,"ddd"))</f>
        <v/>
      </c>
      <c r="C62" s="63">
        <f>IF($A62="","",SUMIFS(VER_OFFERED,VER_DATE,"&gt;="&amp;$A62,VER_DATE,"&lt;="&amp;$A62,VER_SITE,$D$3,VER_QUEUE,$D$4,VER_CHAN,$D$5))</f>
        <v/>
      </c>
      <c r="D62" s="63">
        <f>IF($A62="","",SUMIFS(IEX_OFFERED,IEX_DATE,"&gt;="&amp;$A62,IEX_DATE,"&lt;="&amp;$A62,IEX_SITE,$D$3,IEX_QUEUE,$D$4,IEX_CHAN,$D$5))</f>
        <v/>
      </c>
      <c r="E62" s="63">
        <f>IF($A62="","",SUMIFS(VER_HANDLED,VER_DATE,"&gt;="&amp;$A62,VER_DATE,"&lt;="&amp;$A62,VER_SITE,$D$3,VER_QUEUE,$D$4,VER_CHAN,$D$5))</f>
        <v/>
      </c>
      <c r="F62" s="63">
        <f>IF($A62="","",SUMIFS(IEX_HANDLED,IEX_DATE,"&gt;="&amp;$A62,IEX_DATE,"&lt;="&amp;$A62,IEX_SITE,$D$3,IEX_QUEUE,$D$4,IEX_CHAN,$D$5))</f>
        <v/>
      </c>
      <c r="G62" s="63">
        <f>IF($A62="","",SUMIFS(VER_ABAND,VER_DATE,"&gt;="&amp;$A62,VER_DATE,"&lt;="&amp;$A62,VER_SITE,$D$3,VER_QUEUE,$D$4,VER_CHAN,$D$5))</f>
        <v/>
      </c>
      <c r="H62" s="63">
        <f>IF($A62="","",SUMIFS(IEX_ABAND,IEX_DATE,"&gt;="&amp;$A62,IEX_DATE,"&lt;="&amp;$A62,IEX_SITE,$D$3,IEX_QUEUE,$D$4,IEX_CHAN,$D$5))</f>
        <v/>
      </c>
      <c r="I62" s="64">
        <f>IF(C62="","",IFERROR(G62/C62,0))</f>
        <v/>
      </c>
      <c r="J62" s="64">
        <f>IF(D62="","",IFERROR(H62/D62,0))</f>
        <v/>
      </c>
      <c r="K62" s="64">
        <f>IF(C62="","",IFERROR(SUMPRODUCT((((VER_DATE&gt;=$A62)*(VER_DATE&lt;=$A62)))*(((($B$6="ALL")+(VER_SITE=$B$6))&gt;0))*(((($B$7="ALL")+(VER_QUEUE=$B$7))&gt;0))*(((($B$8="ALL")+(VER_CHAN=$B$8))&gt;0))*VER_SL*VER_OFFERED)/C62,0))</f>
        <v/>
      </c>
      <c r="L62" s="64">
        <f>IF(D62="","",IFERROR(SUMPRODUCT((((IEX_DATE&gt;=$A62)*(IEX_DATE&lt;=$A62)))*(((($B$6="ALL")+(IEX_SITE=$B$6))&gt;0))*(((($B$7="ALL")+(IEX_QUEUE=$B$7))&gt;0))*(((($B$8="ALL")+(IEX_CHAN=$B$8))&gt;0))*IEX_SL*IEX_OFFERED)/D62,0))</f>
        <v/>
      </c>
      <c r="M62" s="65">
        <f>IF(C62="","",IFERROR((SUMIFS(VER_TALK,VER_DATE,"&gt;="&amp;$A62,VER_DATE,"&lt;="&amp;$A62,VER_SITE,$D$3,VER_QUEUE,$D$4,VER_CHAN,$D$5)+SUMIFS(VER_HOLD,VER_DATE,"&gt;="&amp;$A62,VER_DATE,"&lt;="&amp;$A62,VER_SITE,$D$3,VER_QUEUE,$D$4,VER_CHAN,$D$5)+SUMIFS(VER_ACW,VER_DATE,"&gt;="&amp;$A62,VER_DATE,"&lt;="&amp;$A62,VER_SITE,$D$3,VER_QUEUE,$D$4,VER_CHAN,$D$5))/E62,0))</f>
        <v/>
      </c>
      <c r="N62" s="65">
        <f>IF(D62="","",IFERROR((SUMIFS(IEX_TALK,IEX_DATE,"&gt;="&amp;$A62,IEX_DATE,"&lt;="&amp;$A62,IEX_SITE,$D$3,IEX_QUEUE,$D$4,IEX_CHAN,$D$5)+SUMIFS(IEX_HOLD,IEX_DATE,"&gt;="&amp;$A62,IEX_DATE,"&lt;="&amp;$A62,IEX_SITE,$D$3,IEX_QUEUE,$D$4,IEX_CHAN,$D$5)+SUMIFS(IEX_ACW,IEX_DATE,"&gt;="&amp;$A62,IEX_DATE,"&lt;="&amp;$A62,IEX_SITE,$D$3,IEX_QUEUE,$D$4,IEX_CHAN,$D$5))/F62,0))</f>
        <v/>
      </c>
    </row>
    <row r="63" ht="20" customHeight="1">
      <c r="A63" s="3" t="inlineStr">
        <is>
          <t>3. INTERVAL PROFILE (average day shape)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5">
      <c r="A65" s="60" t="inlineStr">
        <is>
          <t>Interval Start</t>
        </is>
      </c>
      <c r="B65" s="60" t="inlineStr">
        <is>
          <t>Interval</t>
        </is>
      </c>
      <c r="C65" s="60" t="inlineStr">
        <is>
          <t>VERINT Offered</t>
        </is>
      </c>
      <c r="D65" s="60" t="inlineStr">
        <is>
          <t>IEX Offered</t>
        </is>
      </c>
      <c r="E65" s="60" t="inlineStr">
        <is>
          <t>VERINT Avg Staffed</t>
        </is>
      </c>
      <c r="F65" s="60" t="inlineStr">
        <is>
          <t>IEX Avg Staffed</t>
        </is>
      </c>
      <c r="G65" s="60" t="inlineStr">
        <is>
          <t>VERINT Avg Required</t>
        </is>
      </c>
      <c r="H65" s="60" t="inlineStr">
        <is>
          <t>IEX Avg Required</t>
        </is>
      </c>
    </row>
    <row r="66">
      <c r="A66" s="66">
        <f>0</f>
        <v/>
      </c>
      <c r="B66" s="67">
        <f>TEXT(A66,"h:mm AM/PM")&amp;" - "&amp;TEXT(A66+$B$5/1440,"h:mm AM/PM")</f>
        <v/>
      </c>
      <c r="C66" s="65">
        <f>IFERROR(SUMIFS(VER_OFFERED,VER_DATE,"&gt;="&amp;$B$3,VER_DATE,"&lt;="&amp;$B$4,VER_SITE,$D$3,VER_QUEUE,$D$4,VER_CHAN,$D$5,VER_TIME,"&gt;="&amp;ROUND($A66,6),VER_TIME,"&lt;"&amp;ROUND($A66+$B$5/1440,6)),0)</f>
        <v/>
      </c>
      <c r="D66" s="65">
        <f>IFERROR(SUMIFS(IEX_OFFERED,IEX_DATE,"&gt;="&amp;$B$3,IEX_DATE,"&lt;="&amp;$B$4,IEX_SITE,$D$3,IEX_QUEUE,$D$4,IEX_CHAN,$D$5,IEX_TIME,"&gt;="&amp;ROUND($A66,6),IEX_TIME,"&lt;"&amp;ROUND($A66+$B$5/1440,6)),0)</f>
        <v/>
      </c>
      <c r="E66" s="65">
        <f>IFERROR(SUMIFS(VER_STAFFED,VER_DATE,"&gt;="&amp;$B$3,VER_DATE,"&lt;="&amp;$B$4,VER_SITE,$D$3,VER_QUEUE,$D$4,VER_CHAN,$D$5,VER_TIME,"&gt;="&amp;ROUND($A66,6),VER_TIME,"&lt;"&amp;ROUND($A66+$B$5/1440,6))/($B$4-$B$3+1),0)</f>
        <v/>
      </c>
      <c r="F66" s="65">
        <f>IFERROR(SUMIFS(IEX_STAFFED,IEX_DATE,"&gt;="&amp;$B$3,IEX_DATE,"&lt;="&amp;$B$4,IEX_SITE,$D$3,IEX_QUEUE,$D$4,IEX_CHAN,$D$5,IEX_TIME,"&gt;="&amp;ROUND($A66,6),IEX_TIME,"&lt;"&amp;ROUND($A66+$B$5/1440,6))/($B$4-$B$3+1),0)</f>
        <v/>
      </c>
      <c r="G66" s="65">
        <f>IFERROR(SUMIFS(VER_REQ,VER_DATE,"&gt;="&amp;$B$3,VER_DATE,"&lt;="&amp;$B$4,VER_SITE,$D$3,VER_QUEUE,$D$4,VER_CHAN,$D$5,VER_TIME,"&gt;="&amp;ROUND($A66,6),VER_TIME,"&lt;"&amp;ROUND($A66+$B$5/1440,6))/($B$4-$B$3+1),0)</f>
        <v/>
      </c>
      <c r="H66" s="65">
        <f>IFERROR(SUMIFS(IEX_REQ,IEX_DATE,"&gt;="&amp;$B$3,IEX_DATE,"&lt;="&amp;$B$4,IEX_SITE,$D$3,IEX_QUEUE,$D$4,IEX_CHAN,$D$5,IEX_TIME,"&gt;="&amp;ROUND($A66,6),IEX_TIME,"&lt;"&amp;ROUND($A66+$B$5/1440,6))/($B$4-$B$3+1),0)</f>
        <v/>
      </c>
    </row>
    <row r="67">
      <c r="A67" s="66">
        <f>A66+$B$5/1440</f>
        <v/>
      </c>
      <c r="B67" s="67">
        <f>TEXT(A67,"h:mm AM/PM")&amp;" - "&amp;TEXT(A67+$B$5/1440,"h:mm AM/PM")</f>
        <v/>
      </c>
      <c r="C67" s="65">
        <f>IFERROR(SUMIFS(VER_OFFERED,VER_DATE,"&gt;="&amp;$B$3,VER_DATE,"&lt;="&amp;$B$4,VER_SITE,$D$3,VER_QUEUE,$D$4,VER_CHAN,$D$5,VER_TIME,"&gt;="&amp;ROUND($A67,6),VER_TIME,"&lt;"&amp;ROUND($A67+$B$5/1440,6)),0)</f>
        <v/>
      </c>
      <c r="D67" s="65">
        <f>IFERROR(SUMIFS(IEX_OFFERED,IEX_DATE,"&gt;="&amp;$B$3,IEX_DATE,"&lt;="&amp;$B$4,IEX_SITE,$D$3,IEX_QUEUE,$D$4,IEX_CHAN,$D$5,IEX_TIME,"&gt;="&amp;ROUND($A67,6),IEX_TIME,"&lt;"&amp;ROUND($A67+$B$5/1440,6)),0)</f>
        <v/>
      </c>
      <c r="E67" s="65">
        <f>IFERROR(SUMIFS(VER_STAFFED,VER_DATE,"&gt;="&amp;$B$3,VER_DATE,"&lt;="&amp;$B$4,VER_SITE,$D$3,VER_QUEUE,$D$4,VER_CHAN,$D$5,VER_TIME,"&gt;="&amp;ROUND($A67,6),VER_TIME,"&lt;"&amp;ROUND($A67+$B$5/1440,6))/($B$4-$B$3+1),0)</f>
        <v/>
      </c>
      <c r="F67" s="65">
        <f>IFERROR(SUMIFS(IEX_STAFFED,IEX_DATE,"&gt;="&amp;$B$3,IEX_DATE,"&lt;="&amp;$B$4,IEX_SITE,$D$3,IEX_QUEUE,$D$4,IEX_CHAN,$D$5,IEX_TIME,"&gt;="&amp;ROUND($A67,6),IEX_TIME,"&lt;"&amp;ROUND($A67+$B$5/1440,6))/($B$4-$B$3+1),0)</f>
        <v/>
      </c>
      <c r="G67" s="65">
        <f>IFERROR(SUMIFS(VER_REQ,VER_DATE,"&gt;="&amp;$B$3,VER_DATE,"&lt;="&amp;$B$4,VER_SITE,$D$3,VER_QUEUE,$D$4,VER_CHAN,$D$5,VER_TIME,"&gt;="&amp;ROUND($A67,6),VER_TIME,"&lt;"&amp;ROUND($A67+$B$5/1440,6))/($B$4-$B$3+1),0)</f>
        <v/>
      </c>
      <c r="H67" s="65">
        <f>IFERROR(SUMIFS(IEX_REQ,IEX_DATE,"&gt;="&amp;$B$3,IEX_DATE,"&lt;="&amp;$B$4,IEX_SITE,$D$3,IEX_QUEUE,$D$4,IEX_CHAN,$D$5,IEX_TIME,"&gt;="&amp;ROUND($A67,6),IEX_TIME,"&lt;"&amp;ROUND($A67+$B$5/1440,6))/($B$4-$B$3+1),0)</f>
        <v/>
      </c>
    </row>
    <row r="68">
      <c r="A68" s="66">
        <f>A67+$B$5/1440</f>
        <v/>
      </c>
      <c r="B68" s="67">
        <f>TEXT(A68,"h:mm AM/PM")&amp;" - "&amp;TEXT(A68+$B$5/1440,"h:mm AM/PM")</f>
        <v/>
      </c>
      <c r="C68" s="65">
        <f>IFERROR(SUMIFS(VER_OFFERED,VER_DATE,"&gt;="&amp;$B$3,VER_DATE,"&lt;="&amp;$B$4,VER_SITE,$D$3,VER_QUEUE,$D$4,VER_CHAN,$D$5,VER_TIME,"&gt;="&amp;ROUND($A68,6),VER_TIME,"&lt;"&amp;ROUND($A68+$B$5/1440,6)),0)</f>
        <v/>
      </c>
      <c r="D68" s="65">
        <f>IFERROR(SUMIFS(IEX_OFFERED,IEX_DATE,"&gt;="&amp;$B$3,IEX_DATE,"&lt;="&amp;$B$4,IEX_SITE,$D$3,IEX_QUEUE,$D$4,IEX_CHAN,$D$5,IEX_TIME,"&gt;="&amp;ROUND($A68,6),IEX_TIME,"&lt;"&amp;ROUND($A68+$B$5/1440,6)),0)</f>
        <v/>
      </c>
      <c r="E68" s="65">
        <f>IFERROR(SUMIFS(VER_STAFFED,VER_DATE,"&gt;="&amp;$B$3,VER_DATE,"&lt;="&amp;$B$4,VER_SITE,$D$3,VER_QUEUE,$D$4,VER_CHAN,$D$5,VER_TIME,"&gt;="&amp;ROUND($A68,6),VER_TIME,"&lt;"&amp;ROUND($A68+$B$5/1440,6))/($B$4-$B$3+1),0)</f>
        <v/>
      </c>
      <c r="F68" s="65">
        <f>IFERROR(SUMIFS(IEX_STAFFED,IEX_DATE,"&gt;="&amp;$B$3,IEX_DATE,"&lt;="&amp;$B$4,IEX_SITE,$D$3,IEX_QUEUE,$D$4,IEX_CHAN,$D$5,IEX_TIME,"&gt;="&amp;ROUND($A68,6),IEX_TIME,"&lt;"&amp;ROUND($A68+$B$5/1440,6))/($B$4-$B$3+1),0)</f>
        <v/>
      </c>
      <c r="G68" s="65">
        <f>IFERROR(SUMIFS(VER_REQ,VER_DATE,"&gt;="&amp;$B$3,VER_DATE,"&lt;="&amp;$B$4,VER_SITE,$D$3,VER_QUEUE,$D$4,VER_CHAN,$D$5,VER_TIME,"&gt;="&amp;ROUND($A68,6),VER_TIME,"&lt;"&amp;ROUND($A68+$B$5/1440,6))/($B$4-$B$3+1),0)</f>
        <v/>
      </c>
      <c r="H68" s="65">
        <f>IFERROR(SUMIFS(IEX_REQ,IEX_DATE,"&gt;="&amp;$B$3,IEX_DATE,"&lt;="&amp;$B$4,IEX_SITE,$D$3,IEX_QUEUE,$D$4,IEX_CHAN,$D$5,IEX_TIME,"&gt;="&amp;ROUND($A68,6),IEX_TIME,"&lt;"&amp;ROUND($A68+$B$5/1440,6))/($B$4-$B$3+1),0)</f>
        <v/>
      </c>
    </row>
    <row r="69">
      <c r="A69" s="66">
        <f>A68+$B$5/1440</f>
        <v/>
      </c>
      <c r="B69" s="67">
        <f>TEXT(A69,"h:mm AM/PM")&amp;" - "&amp;TEXT(A69+$B$5/1440,"h:mm AM/PM")</f>
        <v/>
      </c>
      <c r="C69" s="65">
        <f>IFERROR(SUMIFS(VER_OFFERED,VER_DATE,"&gt;="&amp;$B$3,VER_DATE,"&lt;="&amp;$B$4,VER_SITE,$D$3,VER_QUEUE,$D$4,VER_CHAN,$D$5,VER_TIME,"&gt;="&amp;ROUND($A69,6),VER_TIME,"&lt;"&amp;ROUND($A69+$B$5/1440,6)),0)</f>
        <v/>
      </c>
      <c r="D69" s="65">
        <f>IFERROR(SUMIFS(IEX_OFFERED,IEX_DATE,"&gt;="&amp;$B$3,IEX_DATE,"&lt;="&amp;$B$4,IEX_SITE,$D$3,IEX_QUEUE,$D$4,IEX_CHAN,$D$5,IEX_TIME,"&gt;="&amp;ROUND($A69,6),IEX_TIME,"&lt;"&amp;ROUND($A69+$B$5/1440,6)),0)</f>
        <v/>
      </c>
      <c r="E69" s="65">
        <f>IFERROR(SUMIFS(VER_STAFFED,VER_DATE,"&gt;="&amp;$B$3,VER_DATE,"&lt;="&amp;$B$4,VER_SITE,$D$3,VER_QUEUE,$D$4,VER_CHAN,$D$5,VER_TIME,"&gt;="&amp;ROUND($A69,6),VER_TIME,"&lt;"&amp;ROUND($A69+$B$5/1440,6))/($B$4-$B$3+1),0)</f>
        <v/>
      </c>
      <c r="F69" s="65">
        <f>IFERROR(SUMIFS(IEX_STAFFED,IEX_DATE,"&gt;="&amp;$B$3,IEX_DATE,"&lt;="&amp;$B$4,IEX_SITE,$D$3,IEX_QUEUE,$D$4,IEX_CHAN,$D$5,IEX_TIME,"&gt;="&amp;ROUND($A69,6),IEX_TIME,"&lt;"&amp;ROUND($A69+$B$5/1440,6))/($B$4-$B$3+1),0)</f>
        <v/>
      </c>
      <c r="G69" s="65">
        <f>IFERROR(SUMIFS(VER_REQ,VER_DATE,"&gt;="&amp;$B$3,VER_DATE,"&lt;="&amp;$B$4,VER_SITE,$D$3,VER_QUEUE,$D$4,VER_CHAN,$D$5,VER_TIME,"&gt;="&amp;ROUND($A69,6),VER_TIME,"&lt;"&amp;ROUND($A69+$B$5/1440,6))/($B$4-$B$3+1),0)</f>
        <v/>
      </c>
      <c r="H69" s="65">
        <f>IFERROR(SUMIFS(IEX_REQ,IEX_DATE,"&gt;="&amp;$B$3,IEX_DATE,"&lt;="&amp;$B$4,IEX_SITE,$D$3,IEX_QUEUE,$D$4,IEX_CHAN,$D$5,IEX_TIME,"&gt;="&amp;ROUND($A69,6),IEX_TIME,"&lt;"&amp;ROUND($A69+$B$5/1440,6))/($B$4-$B$3+1),0)</f>
        <v/>
      </c>
    </row>
    <row r="70">
      <c r="A70" s="66">
        <f>A69+$B$5/1440</f>
        <v/>
      </c>
      <c r="B70" s="67">
        <f>TEXT(A70,"h:mm AM/PM")&amp;" - "&amp;TEXT(A70+$B$5/1440,"h:mm AM/PM")</f>
        <v/>
      </c>
      <c r="C70" s="65">
        <f>IFERROR(SUMIFS(VER_OFFERED,VER_DATE,"&gt;="&amp;$B$3,VER_DATE,"&lt;="&amp;$B$4,VER_SITE,$D$3,VER_QUEUE,$D$4,VER_CHAN,$D$5,VER_TIME,"&gt;="&amp;ROUND($A70,6),VER_TIME,"&lt;"&amp;ROUND($A70+$B$5/1440,6)),0)</f>
        <v/>
      </c>
      <c r="D70" s="65">
        <f>IFERROR(SUMIFS(IEX_OFFERED,IEX_DATE,"&gt;="&amp;$B$3,IEX_DATE,"&lt;="&amp;$B$4,IEX_SITE,$D$3,IEX_QUEUE,$D$4,IEX_CHAN,$D$5,IEX_TIME,"&gt;="&amp;ROUND($A70,6),IEX_TIME,"&lt;"&amp;ROUND($A70+$B$5/1440,6)),0)</f>
        <v/>
      </c>
      <c r="E70" s="65">
        <f>IFERROR(SUMIFS(VER_STAFFED,VER_DATE,"&gt;="&amp;$B$3,VER_DATE,"&lt;="&amp;$B$4,VER_SITE,$D$3,VER_QUEUE,$D$4,VER_CHAN,$D$5,VER_TIME,"&gt;="&amp;ROUND($A70,6),VER_TIME,"&lt;"&amp;ROUND($A70+$B$5/1440,6))/($B$4-$B$3+1),0)</f>
        <v/>
      </c>
      <c r="F70" s="65">
        <f>IFERROR(SUMIFS(IEX_STAFFED,IEX_DATE,"&gt;="&amp;$B$3,IEX_DATE,"&lt;="&amp;$B$4,IEX_SITE,$D$3,IEX_QUEUE,$D$4,IEX_CHAN,$D$5,IEX_TIME,"&gt;="&amp;ROUND($A70,6),IEX_TIME,"&lt;"&amp;ROUND($A70+$B$5/1440,6))/($B$4-$B$3+1),0)</f>
        <v/>
      </c>
      <c r="G70" s="65">
        <f>IFERROR(SUMIFS(VER_REQ,VER_DATE,"&gt;="&amp;$B$3,VER_DATE,"&lt;="&amp;$B$4,VER_SITE,$D$3,VER_QUEUE,$D$4,VER_CHAN,$D$5,VER_TIME,"&gt;="&amp;ROUND($A70,6),VER_TIME,"&lt;"&amp;ROUND($A70+$B$5/1440,6))/($B$4-$B$3+1),0)</f>
        <v/>
      </c>
      <c r="H70" s="65">
        <f>IFERROR(SUMIFS(IEX_REQ,IEX_DATE,"&gt;="&amp;$B$3,IEX_DATE,"&lt;="&amp;$B$4,IEX_SITE,$D$3,IEX_QUEUE,$D$4,IEX_CHAN,$D$5,IEX_TIME,"&gt;="&amp;ROUND($A70,6),IEX_TIME,"&lt;"&amp;ROUND($A70+$B$5/1440,6))/($B$4-$B$3+1),0)</f>
        <v/>
      </c>
    </row>
    <row r="71">
      <c r="A71" s="66">
        <f>A70+$B$5/1440</f>
        <v/>
      </c>
      <c r="B71" s="67">
        <f>TEXT(A71,"h:mm AM/PM")&amp;" - "&amp;TEXT(A71+$B$5/1440,"h:mm AM/PM")</f>
        <v/>
      </c>
      <c r="C71" s="65">
        <f>IFERROR(SUMIFS(VER_OFFERED,VER_DATE,"&gt;="&amp;$B$3,VER_DATE,"&lt;="&amp;$B$4,VER_SITE,$D$3,VER_QUEUE,$D$4,VER_CHAN,$D$5,VER_TIME,"&gt;="&amp;ROUND($A71,6),VER_TIME,"&lt;"&amp;ROUND($A71+$B$5/1440,6)),0)</f>
        <v/>
      </c>
      <c r="D71" s="65">
        <f>IFERROR(SUMIFS(IEX_OFFERED,IEX_DATE,"&gt;="&amp;$B$3,IEX_DATE,"&lt;="&amp;$B$4,IEX_SITE,$D$3,IEX_QUEUE,$D$4,IEX_CHAN,$D$5,IEX_TIME,"&gt;="&amp;ROUND($A71,6),IEX_TIME,"&lt;"&amp;ROUND($A71+$B$5/1440,6)),0)</f>
        <v/>
      </c>
      <c r="E71" s="65">
        <f>IFERROR(SUMIFS(VER_STAFFED,VER_DATE,"&gt;="&amp;$B$3,VER_DATE,"&lt;="&amp;$B$4,VER_SITE,$D$3,VER_QUEUE,$D$4,VER_CHAN,$D$5,VER_TIME,"&gt;="&amp;ROUND($A71,6),VER_TIME,"&lt;"&amp;ROUND($A71+$B$5/1440,6))/($B$4-$B$3+1),0)</f>
        <v/>
      </c>
      <c r="F71" s="65">
        <f>IFERROR(SUMIFS(IEX_STAFFED,IEX_DATE,"&gt;="&amp;$B$3,IEX_DATE,"&lt;="&amp;$B$4,IEX_SITE,$D$3,IEX_QUEUE,$D$4,IEX_CHAN,$D$5,IEX_TIME,"&gt;="&amp;ROUND($A71,6),IEX_TIME,"&lt;"&amp;ROUND($A71+$B$5/1440,6))/($B$4-$B$3+1),0)</f>
        <v/>
      </c>
      <c r="G71" s="65">
        <f>IFERROR(SUMIFS(VER_REQ,VER_DATE,"&gt;="&amp;$B$3,VER_DATE,"&lt;="&amp;$B$4,VER_SITE,$D$3,VER_QUEUE,$D$4,VER_CHAN,$D$5,VER_TIME,"&gt;="&amp;ROUND($A71,6),VER_TIME,"&lt;"&amp;ROUND($A71+$B$5/1440,6))/($B$4-$B$3+1),0)</f>
        <v/>
      </c>
      <c r="H71" s="65">
        <f>IFERROR(SUMIFS(IEX_REQ,IEX_DATE,"&gt;="&amp;$B$3,IEX_DATE,"&lt;="&amp;$B$4,IEX_SITE,$D$3,IEX_QUEUE,$D$4,IEX_CHAN,$D$5,IEX_TIME,"&gt;="&amp;ROUND($A71,6),IEX_TIME,"&lt;"&amp;ROUND($A71+$B$5/1440,6))/($B$4-$B$3+1),0)</f>
        <v/>
      </c>
    </row>
    <row r="72">
      <c r="A72" s="66">
        <f>A71+$B$5/1440</f>
        <v/>
      </c>
      <c r="B72" s="67">
        <f>TEXT(A72,"h:mm AM/PM")&amp;" - "&amp;TEXT(A72+$B$5/1440,"h:mm AM/PM")</f>
        <v/>
      </c>
      <c r="C72" s="65">
        <f>IFERROR(SUMIFS(VER_OFFERED,VER_DATE,"&gt;="&amp;$B$3,VER_DATE,"&lt;="&amp;$B$4,VER_SITE,$D$3,VER_QUEUE,$D$4,VER_CHAN,$D$5,VER_TIME,"&gt;="&amp;ROUND($A72,6),VER_TIME,"&lt;"&amp;ROUND($A72+$B$5/1440,6)),0)</f>
        <v/>
      </c>
      <c r="D72" s="65">
        <f>IFERROR(SUMIFS(IEX_OFFERED,IEX_DATE,"&gt;="&amp;$B$3,IEX_DATE,"&lt;="&amp;$B$4,IEX_SITE,$D$3,IEX_QUEUE,$D$4,IEX_CHAN,$D$5,IEX_TIME,"&gt;="&amp;ROUND($A72,6),IEX_TIME,"&lt;"&amp;ROUND($A72+$B$5/1440,6)),0)</f>
        <v/>
      </c>
      <c r="E72" s="65">
        <f>IFERROR(SUMIFS(VER_STAFFED,VER_DATE,"&gt;="&amp;$B$3,VER_DATE,"&lt;="&amp;$B$4,VER_SITE,$D$3,VER_QUEUE,$D$4,VER_CHAN,$D$5,VER_TIME,"&gt;="&amp;ROUND($A72,6),VER_TIME,"&lt;"&amp;ROUND($A72+$B$5/1440,6))/($B$4-$B$3+1),0)</f>
        <v/>
      </c>
      <c r="F72" s="65">
        <f>IFERROR(SUMIFS(IEX_STAFFED,IEX_DATE,"&gt;="&amp;$B$3,IEX_DATE,"&lt;="&amp;$B$4,IEX_SITE,$D$3,IEX_QUEUE,$D$4,IEX_CHAN,$D$5,IEX_TIME,"&gt;="&amp;ROUND($A72,6),IEX_TIME,"&lt;"&amp;ROUND($A72+$B$5/1440,6))/($B$4-$B$3+1),0)</f>
        <v/>
      </c>
      <c r="G72" s="65">
        <f>IFERROR(SUMIFS(VER_REQ,VER_DATE,"&gt;="&amp;$B$3,VER_DATE,"&lt;="&amp;$B$4,VER_SITE,$D$3,VER_QUEUE,$D$4,VER_CHAN,$D$5,VER_TIME,"&gt;="&amp;ROUND($A72,6),VER_TIME,"&lt;"&amp;ROUND($A72+$B$5/1440,6))/($B$4-$B$3+1),0)</f>
        <v/>
      </c>
      <c r="H72" s="65">
        <f>IFERROR(SUMIFS(IEX_REQ,IEX_DATE,"&gt;="&amp;$B$3,IEX_DATE,"&lt;="&amp;$B$4,IEX_SITE,$D$3,IEX_QUEUE,$D$4,IEX_CHAN,$D$5,IEX_TIME,"&gt;="&amp;ROUND($A72,6),IEX_TIME,"&lt;"&amp;ROUND($A72+$B$5/1440,6))/($B$4-$B$3+1),0)</f>
        <v/>
      </c>
    </row>
    <row r="73">
      <c r="A73" s="66">
        <f>A72+$B$5/1440</f>
        <v/>
      </c>
      <c r="B73" s="67">
        <f>TEXT(A73,"h:mm AM/PM")&amp;" - "&amp;TEXT(A73+$B$5/1440,"h:mm AM/PM")</f>
        <v/>
      </c>
      <c r="C73" s="65">
        <f>IFERROR(SUMIFS(VER_OFFERED,VER_DATE,"&gt;="&amp;$B$3,VER_DATE,"&lt;="&amp;$B$4,VER_SITE,$D$3,VER_QUEUE,$D$4,VER_CHAN,$D$5,VER_TIME,"&gt;="&amp;ROUND($A73,6),VER_TIME,"&lt;"&amp;ROUND($A73+$B$5/1440,6)),0)</f>
        <v/>
      </c>
      <c r="D73" s="65">
        <f>IFERROR(SUMIFS(IEX_OFFERED,IEX_DATE,"&gt;="&amp;$B$3,IEX_DATE,"&lt;="&amp;$B$4,IEX_SITE,$D$3,IEX_QUEUE,$D$4,IEX_CHAN,$D$5,IEX_TIME,"&gt;="&amp;ROUND($A73,6),IEX_TIME,"&lt;"&amp;ROUND($A73+$B$5/1440,6)),0)</f>
        <v/>
      </c>
      <c r="E73" s="65">
        <f>IFERROR(SUMIFS(VER_STAFFED,VER_DATE,"&gt;="&amp;$B$3,VER_DATE,"&lt;="&amp;$B$4,VER_SITE,$D$3,VER_QUEUE,$D$4,VER_CHAN,$D$5,VER_TIME,"&gt;="&amp;ROUND($A73,6),VER_TIME,"&lt;"&amp;ROUND($A73+$B$5/1440,6))/($B$4-$B$3+1),0)</f>
        <v/>
      </c>
      <c r="F73" s="65">
        <f>IFERROR(SUMIFS(IEX_STAFFED,IEX_DATE,"&gt;="&amp;$B$3,IEX_DATE,"&lt;="&amp;$B$4,IEX_SITE,$D$3,IEX_QUEUE,$D$4,IEX_CHAN,$D$5,IEX_TIME,"&gt;="&amp;ROUND($A73,6),IEX_TIME,"&lt;"&amp;ROUND($A73+$B$5/1440,6))/($B$4-$B$3+1),0)</f>
        <v/>
      </c>
      <c r="G73" s="65">
        <f>IFERROR(SUMIFS(VER_REQ,VER_DATE,"&gt;="&amp;$B$3,VER_DATE,"&lt;="&amp;$B$4,VER_SITE,$D$3,VER_QUEUE,$D$4,VER_CHAN,$D$5,VER_TIME,"&gt;="&amp;ROUND($A73,6),VER_TIME,"&lt;"&amp;ROUND($A73+$B$5/1440,6))/($B$4-$B$3+1),0)</f>
        <v/>
      </c>
      <c r="H73" s="65">
        <f>IFERROR(SUMIFS(IEX_REQ,IEX_DATE,"&gt;="&amp;$B$3,IEX_DATE,"&lt;="&amp;$B$4,IEX_SITE,$D$3,IEX_QUEUE,$D$4,IEX_CHAN,$D$5,IEX_TIME,"&gt;="&amp;ROUND($A73,6),IEX_TIME,"&lt;"&amp;ROUND($A73+$B$5/1440,6))/($B$4-$B$3+1),0)</f>
        <v/>
      </c>
    </row>
    <row r="74">
      <c r="A74" s="66">
        <f>A73+$B$5/1440</f>
        <v/>
      </c>
      <c r="B74" s="67">
        <f>TEXT(A74,"h:mm AM/PM")&amp;" - "&amp;TEXT(A74+$B$5/1440,"h:mm AM/PM")</f>
        <v/>
      </c>
      <c r="C74" s="65">
        <f>IFERROR(SUMIFS(VER_OFFERED,VER_DATE,"&gt;="&amp;$B$3,VER_DATE,"&lt;="&amp;$B$4,VER_SITE,$D$3,VER_QUEUE,$D$4,VER_CHAN,$D$5,VER_TIME,"&gt;="&amp;ROUND($A74,6),VER_TIME,"&lt;"&amp;ROUND($A74+$B$5/1440,6)),0)</f>
        <v/>
      </c>
      <c r="D74" s="65">
        <f>IFERROR(SUMIFS(IEX_OFFERED,IEX_DATE,"&gt;="&amp;$B$3,IEX_DATE,"&lt;="&amp;$B$4,IEX_SITE,$D$3,IEX_QUEUE,$D$4,IEX_CHAN,$D$5,IEX_TIME,"&gt;="&amp;ROUND($A74,6),IEX_TIME,"&lt;"&amp;ROUND($A74+$B$5/1440,6)),0)</f>
        <v/>
      </c>
      <c r="E74" s="65">
        <f>IFERROR(SUMIFS(VER_STAFFED,VER_DATE,"&gt;="&amp;$B$3,VER_DATE,"&lt;="&amp;$B$4,VER_SITE,$D$3,VER_QUEUE,$D$4,VER_CHAN,$D$5,VER_TIME,"&gt;="&amp;ROUND($A74,6),VER_TIME,"&lt;"&amp;ROUND($A74+$B$5/1440,6))/($B$4-$B$3+1),0)</f>
        <v/>
      </c>
      <c r="F74" s="65">
        <f>IFERROR(SUMIFS(IEX_STAFFED,IEX_DATE,"&gt;="&amp;$B$3,IEX_DATE,"&lt;="&amp;$B$4,IEX_SITE,$D$3,IEX_QUEUE,$D$4,IEX_CHAN,$D$5,IEX_TIME,"&gt;="&amp;ROUND($A74,6),IEX_TIME,"&lt;"&amp;ROUND($A74+$B$5/1440,6))/($B$4-$B$3+1),0)</f>
        <v/>
      </c>
      <c r="G74" s="65">
        <f>IFERROR(SUMIFS(VER_REQ,VER_DATE,"&gt;="&amp;$B$3,VER_DATE,"&lt;="&amp;$B$4,VER_SITE,$D$3,VER_QUEUE,$D$4,VER_CHAN,$D$5,VER_TIME,"&gt;="&amp;ROUND($A74,6),VER_TIME,"&lt;"&amp;ROUND($A74+$B$5/1440,6))/($B$4-$B$3+1),0)</f>
        <v/>
      </c>
      <c r="H74" s="65">
        <f>IFERROR(SUMIFS(IEX_REQ,IEX_DATE,"&gt;="&amp;$B$3,IEX_DATE,"&lt;="&amp;$B$4,IEX_SITE,$D$3,IEX_QUEUE,$D$4,IEX_CHAN,$D$5,IEX_TIME,"&gt;="&amp;ROUND($A74,6),IEX_TIME,"&lt;"&amp;ROUND($A74+$B$5/1440,6))/($B$4-$B$3+1),0)</f>
        <v/>
      </c>
    </row>
    <row r="75">
      <c r="A75" s="66">
        <f>A74+$B$5/1440</f>
        <v/>
      </c>
      <c r="B75" s="67">
        <f>TEXT(A75,"h:mm AM/PM")&amp;" - "&amp;TEXT(A75+$B$5/1440,"h:mm AM/PM")</f>
        <v/>
      </c>
      <c r="C75" s="65">
        <f>IFERROR(SUMIFS(VER_OFFERED,VER_DATE,"&gt;="&amp;$B$3,VER_DATE,"&lt;="&amp;$B$4,VER_SITE,$D$3,VER_QUEUE,$D$4,VER_CHAN,$D$5,VER_TIME,"&gt;="&amp;ROUND($A75,6),VER_TIME,"&lt;"&amp;ROUND($A75+$B$5/1440,6)),0)</f>
        <v/>
      </c>
      <c r="D75" s="65">
        <f>IFERROR(SUMIFS(IEX_OFFERED,IEX_DATE,"&gt;="&amp;$B$3,IEX_DATE,"&lt;="&amp;$B$4,IEX_SITE,$D$3,IEX_QUEUE,$D$4,IEX_CHAN,$D$5,IEX_TIME,"&gt;="&amp;ROUND($A75,6),IEX_TIME,"&lt;"&amp;ROUND($A75+$B$5/1440,6)),0)</f>
        <v/>
      </c>
      <c r="E75" s="65">
        <f>IFERROR(SUMIFS(VER_STAFFED,VER_DATE,"&gt;="&amp;$B$3,VER_DATE,"&lt;="&amp;$B$4,VER_SITE,$D$3,VER_QUEUE,$D$4,VER_CHAN,$D$5,VER_TIME,"&gt;="&amp;ROUND($A75,6),VER_TIME,"&lt;"&amp;ROUND($A75+$B$5/1440,6))/($B$4-$B$3+1),0)</f>
        <v/>
      </c>
      <c r="F75" s="65">
        <f>IFERROR(SUMIFS(IEX_STAFFED,IEX_DATE,"&gt;="&amp;$B$3,IEX_DATE,"&lt;="&amp;$B$4,IEX_SITE,$D$3,IEX_QUEUE,$D$4,IEX_CHAN,$D$5,IEX_TIME,"&gt;="&amp;ROUND($A75,6),IEX_TIME,"&lt;"&amp;ROUND($A75+$B$5/1440,6))/($B$4-$B$3+1),0)</f>
        <v/>
      </c>
      <c r="G75" s="65">
        <f>IFERROR(SUMIFS(VER_REQ,VER_DATE,"&gt;="&amp;$B$3,VER_DATE,"&lt;="&amp;$B$4,VER_SITE,$D$3,VER_QUEUE,$D$4,VER_CHAN,$D$5,VER_TIME,"&gt;="&amp;ROUND($A75,6),VER_TIME,"&lt;"&amp;ROUND($A75+$B$5/1440,6))/($B$4-$B$3+1),0)</f>
        <v/>
      </c>
      <c r="H75" s="65">
        <f>IFERROR(SUMIFS(IEX_REQ,IEX_DATE,"&gt;="&amp;$B$3,IEX_DATE,"&lt;="&amp;$B$4,IEX_SITE,$D$3,IEX_QUEUE,$D$4,IEX_CHAN,$D$5,IEX_TIME,"&gt;="&amp;ROUND($A75,6),IEX_TIME,"&lt;"&amp;ROUND($A75+$B$5/1440,6))/($B$4-$B$3+1),0)</f>
        <v/>
      </c>
    </row>
    <row r="76">
      <c r="A76" s="66">
        <f>A75+$B$5/1440</f>
        <v/>
      </c>
      <c r="B76" s="67">
        <f>TEXT(A76,"h:mm AM/PM")&amp;" - "&amp;TEXT(A76+$B$5/1440,"h:mm AM/PM")</f>
        <v/>
      </c>
      <c r="C76" s="65">
        <f>IFERROR(SUMIFS(VER_OFFERED,VER_DATE,"&gt;="&amp;$B$3,VER_DATE,"&lt;="&amp;$B$4,VER_SITE,$D$3,VER_QUEUE,$D$4,VER_CHAN,$D$5,VER_TIME,"&gt;="&amp;ROUND($A76,6),VER_TIME,"&lt;"&amp;ROUND($A76+$B$5/1440,6)),0)</f>
        <v/>
      </c>
      <c r="D76" s="65">
        <f>IFERROR(SUMIFS(IEX_OFFERED,IEX_DATE,"&gt;="&amp;$B$3,IEX_DATE,"&lt;="&amp;$B$4,IEX_SITE,$D$3,IEX_QUEUE,$D$4,IEX_CHAN,$D$5,IEX_TIME,"&gt;="&amp;ROUND($A76,6),IEX_TIME,"&lt;"&amp;ROUND($A76+$B$5/1440,6)),0)</f>
        <v/>
      </c>
      <c r="E76" s="65">
        <f>IFERROR(SUMIFS(VER_STAFFED,VER_DATE,"&gt;="&amp;$B$3,VER_DATE,"&lt;="&amp;$B$4,VER_SITE,$D$3,VER_QUEUE,$D$4,VER_CHAN,$D$5,VER_TIME,"&gt;="&amp;ROUND($A76,6),VER_TIME,"&lt;"&amp;ROUND($A76+$B$5/1440,6))/($B$4-$B$3+1),0)</f>
        <v/>
      </c>
      <c r="F76" s="65">
        <f>IFERROR(SUMIFS(IEX_STAFFED,IEX_DATE,"&gt;="&amp;$B$3,IEX_DATE,"&lt;="&amp;$B$4,IEX_SITE,$D$3,IEX_QUEUE,$D$4,IEX_CHAN,$D$5,IEX_TIME,"&gt;="&amp;ROUND($A76,6),IEX_TIME,"&lt;"&amp;ROUND($A76+$B$5/1440,6))/($B$4-$B$3+1),0)</f>
        <v/>
      </c>
      <c r="G76" s="65">
        <f>IFERROR(SUMIFS(VER_REQ,VER_DATE,"&gt;="&amp;$B$3,VER_DATE,"&lt;="&amp;$B$4,VER_SITE,$D$3,VER_QUEUE,$D$4,VER_CHAN,$D$5,VER_TIME,"&gt;="&amp;ROUND($A76,6),VER_TIME,"&lt;"&amp;ROUND($A76+$B$5/1440,6))/($B$4-$B$3+1),0)</f>
        <v/>
      </c>
      <c r="H76" s="65">
        <f>IFERROR(SUMIFS(IEX_REQ,IEX_DATE,"&gt;="&amp;$B$3,IEX_DATE,"&lt;="&amp;$B$4,IEX_SITE,$D$3,IEX_QUEUE,$D$4,IEX_CHAN,$D$5,IEX_TIME,"&gt;="&amp;ROUND($A76,6),IEX_TIME,"&lt;"&amp;ROUND($A76+$B$5/1440,6))/($B$4-$B$3+1),0)</f>
        <v/>
      </c>
    </row>
    <row r="77">
      <c r="A77" s="66">
        <f>A76+$B$5/1440</f>
        <v/>
      </c>
      <c r="B77" s="67">
        <f>TEXT(A77,"h:mm AM/PM")&amp;" - "&amp;TEXT(A77+$B$5/1440,"h:mm AM/PM")</f>
        <v/>
      </c>
      <c r="C77" s="65">
        <f>IFERROR(SUMIFS(VER_OFFERED,VER_DATE,"&gt;="&amp;$B$3,VER_DATE,"&lt;="&amp;$B$4,VER_SITE,$D$3,VER_QUEUE,$D$4,VER_CHAN,$D$5,VER_TIME,"&gt;="&amp;ROUND($A77,6),VER_TIME,"&lt;"&amp;ROUND($A77+$B$5/1440,6)),0)</f>
        <v/>
      </c>
      <c r="D77" s="65">
        <f>IFERROR(SUMIFS(IEX_OFFERED,IEX_DATE,"&gt;="&amp;$B$3,IEX_DATE,"&lt;="&amp;$B$4,IEX_SITE,$D$3,IEX_QUEUE,$D$4,IEX_CHAN,$D$5,IEX_TIME,"&gt;="&amp;ROUND($A77,6),IEX_TIME,"&lt;"&amp;ROUND($A77+$B$5/1440,6)),0)</f>
        <v/>
      </c>
      <c r="E77" s="65">
        <f>IFERROR(SUMIFS(VER_STAFFED,VER_DATE,"&gt;="&amp;$B$3,VER_DATE,"&lt;="&amp;$B$4,VER_SITE,$D$3,VER_QUEUE,$D$4,VER_CHAN,$D$5,VER_TIME,"&gt;="&amp;ROUND($A77,6),VER_TIME,"&lt;"&amp;ROUND($A77+$B$5/1440,6))/($B$4-$B$3+1),0)</f>
        <v/>
      </c>
      <c r="F77" s="65">
        <f>IFERROR(SUMIFS(IEX_STAFFED,IEX_DATE,"&gt;="&amp;$B$3,IEX_DATE,"&lt;="&amp;$B$4,IEX_SITE,$D$3,IEX_QUEUE,$D$4,IEX_CHAN,$D$5,IEX_TIME,"&gt;="&amp;ROUND($A77,6),IEX_TIME,"&lt;"&amp;ROUND($A77+$B$5/1440,6))/($B$4-$B$3+1),0)</f>
        <v/>
      </c>
      <c r="G77" s="65">
        <f>IFERROR(SUMIFS(VER_REQ,VER_DATE,"&gt;="&amp;$B$3,VER_DATE,"&lt;="&amp;$B$4,VER_SITE,$D$3,VER_QUEUE,$D$4,VER_CHAN,$D$5,VER_TIME,"&gt;="&amp;ROUND($A77,6),VER_TIME,"&lt;"&amp;ROUND($A77+$B$5/1440,6))/($B$4-$B$3+1),0)</f>
        <v/>
      </c>
      <c r="H77" s="65">
        <f>IFERROR(SUMIFS(IEX_REQ,IEX_DATE,"&gt;="&amp;$B$3,IEX_DATE,"&lt;="&amp;$B$4,IEX_SITE,$D$3,IEX_QUEUE,$D$4,IEX_CHAN,$D$5,IEX_TIME,"&gt;="&amp;ROUND($A77,6),IEX_TIME,"&lt;"&amp;ROUND($A77+$B$5/1440,6))/($B$4-$B$3+1),0)</f>
        <v/>
      </c>
    </row>
    <row r="78">
      <c r="A78" s="66">
        <f>A77+$B$5/1440</f>
        <v/>
      </c>
      <c r="B78" s="67">
        <f>TEXT(A78,"h:mm AM/PM")&amp;" - "&amp;TEXT(A78+$B$5/1440,"h:mm AM/PM")</f>
        <v/>
      </c>
      <c r="C78" s="65">
        <f>IFERROR(SUMIFS(VER_OFFERED,VER_DATE,"&gt;="&amp;$B$3,VER_DATE,"&lt;="&amp;$B$4,VER_SITE,$D$3,VER_QUEUE,$D$4,VER_CHAN,$D$5,VER_TIME,"&gt;="&amp;ROUND($A78,6),VER_TIME,"&lt;"&amp;ROUND($A78+$B$5/1440,6)),0)</f>
        <v/>
      </c>
      <c r="D78" s="65">
        <f>IFERROR(SUMIFS(IEX_OFFERED,IEX_DATE,"&gt;="&amp;$B$3,IEX_DATE,"&lt;="&amp;$B$4,IEX_SITE,$D$3,IEX_QUEUE,$D$4,IEX_CHAN,$D$5,IEX_TIME,"&gt;="&amp;ROUND($A78,6),IEX_TIME,"&lt;"&amp;ROUND($A78+$B$5/1440,6)),0)</f>
        <v/>
      </c>
      <c r="E78" s="65">
        <f>IFERROR(SUMIFS(VER_STAFFED,VER_DATE,"&gt;="&amp;$B$3,VER_DATE,"&lt;="&amp;$B$4,VER_SITE,$D$3,VER_QUEUE,$D$4,VER_CHAN,$D$5,VER_TIME,"&gt;="&amp;ROUND($A78,6),VER_TIME,"&lt;"&amp;ROUND($A78+$B$5/1440,6))/($B$4-$B$3+1),0)</f>
        <v/>
      </c>
      <c r="F78" s="65">
        <f>IFERROR(SUMIFS(IEX_STAFFED,IEX_DATE,"&gt;="&amp;$B$3,IEX_DATE,"&lt;="&amp;$B$4,IEX_SITE,$D$3,IEX_QUEUE,$D$4,IEX_CHAN,$D$5,IEX_TIME,"&gt;="&amp;ROUND($A78,6),IEX_TIME,"&lt;"&amp;ROUND($A78+$B$5/1440,6))/($B$4-$B$3+1),0)</f>
        <v/>
      </c>
      <c r="G78" s="65">
        <f>IFERROR(SUMIFS(VER_REQ,VER_DATE,"&gt;="&amp;$B$3,VER_DATE,"&lt;="&amp;$B$4,VER_SITE,$D$3,VER_QUEUE,$D$4,VER_CHAN,$D$5,VER_TIME,"&gt;="&amp;ROUND($A78,6),VER_TIME,"&lt;"&amp;ROUND($A78+$B$5/1440,6))/($B$4-$B$3+1),0)</f>
        <v/>
      </c>
      <c r="H78" s="65">
        <f>IFERROR(SUMIFS(IEX_REQ,IEX_DATE,"&gt;="&amp;$B$3,IEX_DATE,"&lt;="&amp;$B$4,IEX_SITE,$D$3,IEX_QUEUE,$D$4,IEX_CHAN,$D$5,IEX_TIME,"&gt;="&amp;ROUND($A78,6),IEX_TIME,"&lt;"&amp;ROUND($A78+$B$5/1440,6))/($B$4-$B$3+1),0)</f>
        <v/>
      </c>
    </row>
    <row r="79">
      <c r="A79" s="66">
        <f>A78+$B$5/1440</f>
        <v/>
      </c>
      <c r="B79" s="67">
        <f>TEXT(A79,"h:mm AM/PM")&amp;" - "&amp;TEXT(A79+$B$5/1440,"h:mm AM/PM")</f>
        <v/>
      </c>
      <c r="C79" s="65">
        <f>IFERROR(SUMIFS(VER_OFFERED,VER_DATE,"&gt;="&amp;$B$3,VER_DATE,"&lt;="&amp;$B$4,VER_SITE,$D$3,VER_QUEUE,$D$4,VER_CHAN,$D$5,VER_TIME,"&gt;="&amp;ROUND($A79,6),VER_TIME,"&lt;"&amp;ROUND($A79+$B$5/1440,6)),0)</f>
        <v/>
      </c>
      <c r="D79" s="65">
        <f>IFERROR(SUMIFS(IEX_OFFERED,IEX_DATE,"&gt;="&amp;$B$3,IEX_DATE,"&lt;="&amp;$B$4,IEX_SITE,$D$3,IEX_QUEUE,$D$4,IEX_CHAN,$D$5,IEX_TIME,"&gt;="&amp;ROUND($A79,6),IEX_TIME,"&lt;"&amp;ROUND($A79+$B$5/1440,6)),0)</f>
        <v/>
      </c>
      <c r="E79" s="65">
        <f>IFERROR(SUMIFS(VER_STAFFED,VER_DATE,"&gt;="&amp;$B$3,VER_DATE,"&lt;="&amp;$B$4,VER_SITE,$D$3,VER_QUEUE,$D$4,VER_CHAN,$D$5,VER_TIME,"&gt;="&amp;ROUND($A79,6),VER_TIME,"&lt;"&amp;ROUND($A79+$B$5/1440,6))/($B$4-$B$3+1),0)</f>
        <v/>
      </c>
      <c r="F79" s="65">
        <f>IFERROR(SUMIFS(IEX_STAFFED,IEX_DATE,"&gt;="&amp;$B$3,IEX_DATE,"&lt;="&amp;$B$4,IEX_SITE,$D$3,IEX_QUEUE,$D$4,IEX_CHAN,$D$5,IEX_TIME,"&gt;="&amp;ROUND($A79,6),IEX_TIME,"&lt;"&amp;ROUND($A79+$B$5/1440,6))/($B$4-$B$3+1),0)</f>
        <v/>
      </c>
      <c r="G79" s="65">
        <f>IFERROR(SUMIFS(VER_REQ,VER_DATE,"&gt;="&amp;$B$3,VER_DATE,"&lt;="&amp;$B$4,VER_SITE,$D$3,VER_QUEUE,$D$4,VER_CHAN,$D$5,VER_TIME,"&gt;="&amp;ROUND($A79,6),VER_TIME,"&lt;"&amp;ROUND($A79+$B$5/1440,6))/($B$4-$B$3+1),0)</f>
        <v/>
      </c>
      <c r="H79" s="65">
        <f>IFERROR(SUMIFS(IEX_REQ,IEX_DATE,"&gt;="&amp;$B$3,IEX_DATE,"&lt;="&amp;$B$4,IEX_SITE,$D$3,IEX_QUEUE,$D$4,IEX_CHAN,$D$5,IEX_TIME,"&gt;="&amp;ROUND($A79,6),IEX_TIME,"&lt;"&amp;ROUND($A79+$B$5/1440,6))/($B$4-$B$3+1),0)</f>
        <v/>
      </c>
    </row>
    <row r="80">
      <c r="A80" s="66">
        <f>A79+$B$5/1440</f>
        <v/>
      </c>
      <c r="B80" s="67">
        <f>TEXT(A80,"h:mm AM/PM")&amp;" - "&amp;TEXT(A80+$B$5/1440,"h:mm AM/PM")</f>
        <v/>
      </c>
      <c r="C80" s="65">
        <f>IFERROR(SUMIFS(VER_OFFERED,VER_DATE,"&gt;="&amp;$B$3,VER_DATE,"&lt;="&amp;$B$4,VER_SITE,$D$3,VER_QUEUE,$D$4,VER_CHAN,$D$5,VER_TIME,"&gt;="&amp;ROUND($A80,6),VER_TIME,"&lt;"&amp;ROUND($A80+$B$5/1440,6)),0)</f>
        <v/>
      </c>
      <c r="D80" s="65">
        <f>IFERROR(SUMIFS(IEX_OFFERED,IEX_DATE,"&gt;="&amp;$B$3,IEX_DATE,"&lt;="&amp;$B$4,IEX_SITE,$D$3,IEX_QUEUE,$D$4,IEX_CHAN,$D$5,IEX_TIME,"&gt;="&amp;ROUND($A80,6),IEX_TIME,"&lt;"&amp;ROUND($A80+$B$5/1440,6)),0)</f>
        <v/>
      </c>
      <c r="E80" s="65">
        <f>IFERROR(SUMIFS(VER_STAFFED,VER_DATE,"&gt;="&amp;$B$3,VER_DATE,"&lt;="&amp;$B$4,VER_SITE,$D$3,VER_QUEUE,$D$4,VER_CHAN,$D$5,VER_TIME,"&gt;="&amp;ROUND($A80,6),VER_TIME,"&lt;"&amp;ROUND($A80+$B$5/1440,6))/($B$4-$B$3+1),0)</f>
        <v/>
      </c>
      <c r="F80" s="65">
        <f>IFERROR(SUMIFS(IEX_STAFFED,IEX_DATE,"&gt;="&amp;$B$3,IEX_DATE,"&lt;="&amp;$B$4,IEX_SITE,$D$3,IEX_QUEUE,$D$4,IEX_CHAN,$D$5,IEX_TIME,"&gt;="&amp;ROUND($A80,6),IEX_TIME,"&lt;"&amp;ROUND($A80+$B$5/1440,6))/($B$4-$B$3+1),0)</f>
        <v/>
      </c>
      <c r="G80" s="65">
        <f>IFERROR(SUMIFS(VER_REQ,VER_DATE,"&gt;="&amp;$B$3,VER_DATE,"&lt;="&amp;$B$4,VER_SITE,$D$3,VER_QUEUE,$D$4,VER_CHAN,$D$5,VER_TIME,"&gt;="&amp;ROUND($A80,6),VER_TIME,"&lt;"&amp;ROUND($A80+$B$5/1440,6))/($B$4-$B$3+1),0)</f>
        <v/>
      </c>
      <c r="H80" s="65">
        <f>IFERROR(SUMIFS(IEX_REQ,IEX_DATE,"&gt;="&amp;$B$3,IEX_DATE,"&lt;="&amp;$B$4,IEX_SITE,$D$3,IEX_QUEUE,$D$4,IEX_CHAN,$D$5,IEX_TIME,"&gt;="&amp;ROUND($A80,6),IEX_TIME,"&lt;"&amp;ROUND($A80+$B$5/1440,6))/($B$4-$B$3+1),0)</f>
        <v/>
      </c>
    </row>
    <row r="81">
      <c r="A81" s="66">
        <f>A80+$B$5/1440</f>
        <v/>
      </c>
      <c r="B81" s="67">
        <f>TEXT(A81,"h:mm AM/PM")&amp;" - "&amp;TEXT(A81+$B$5/1440,"h:mm AM/PM")</f>
        <v/>
      </c>
      <c r="C81" s="65">
        <f>IFERROR(SUMIFS(VER_OFFERED,VER_DATE,"&gt;="&amp;$B$3,VER_DATE,"&lt;="&amp;$B$4,VER_SITE,$D$3,VER_QUEUE,$D$4,VER_CHAN,$D$5,VER_TIME,"&gt;="&amp;ROUND($A81,6),VER_TIME,"&lt;"&amp;ROUND($A81+$B$5/1440,6)),0)</f>
        <v/>
      </c>
      <c r="D81" s="65">
        <f>IFERROR(SUMIFS(IEX_OFFERED,IEX_DATE,"&gt;="&amp;$B$3,IEX_DATE,"&lt;="&amp;$B$4,IEX_SITE,$D$3,IEX_QUEUE,$D$4,IEX_CHAN,$D$5,IEX_TIME,"&gt;="&amp;ROUND($A81,6),IEX_TIME,"&lt;"&amp;ROUND($A81+$B$5/1440,6)),0)</f>
        <v/>
      </c>
      <c r="E81" s="65">
        <f>IFERROR(SUMIFS(VER_STAFFED,VER_DATE,"&gt;="&amp;$B$3,VER_DATE,"&lt;="&amp;$B$4,VER_SITE,$D$3,VER_QUEUE,$D$4,VER_CHAN,$D$5,VER_TIME,"&gt;="&amp;ROUND($A81,6),VER_TIME,"&lt;"&amp;ROUND($A81+$B$5/1440,6))/($B$4-$B$3+1),0)</f>
        <v/>
      </c>
      <c r="F81" s="65">
        <f>IFERROR(SUMIFS(IEX_STAFFED,IEX_DATE,"&gt;="&amp;$B$3,IEX_DATE,"&lt;="&amp;$B$4,IEX_SITE,$D$3,IEX_QUEUE,$D$4,IEX_CHAN,$D$5,IEX_TIME,"&gt;="&amp;ROUND($A81,6),IEX_TIME,"&lt;"&amp;ROUND($A81+$B$5/1440,6))/($B$4-$B$3+1),0)</f>
        <v/>
      </c>
      <c r="G81" s="65">
        <f>IFERROR(SUMIFS(VER_REQ,VER_DATE,"&gt;="&amp;$B$3,VER_DATE,"&lt;="&amp;$B$4,VER_SITE,$D$3,VER_QUEUE,$D$4,VER_CHAN,$D$5,VER_TIME,"&gt;="&amp;ROUND($A81,6),VER_TIME,"&lt;"&amp;ROUND($A81+$B$5/1440,6))/($B$4-$B$3+1),0)</f>
        <v/>
      </c>
      <c r="H81" s="65">
        <f>IFERROR(SUMIFS(IEX_REQ,IEX_DATE,"&gt;="&amp;$B$3,IEX_DATE,"&lt;="&amp;$B$4,IEX_SITE,$D$3,IEX_QUEUE,$D$4,IEX_CHAN,$D$5,IEX_TIME,"&gt;="&amp;ROUND($A81,6),IEX_TIME,"&lt;"&amp;ROUND($A81+$B$5/1440,6))/($B$4-$B$3+1),0)</f>
        <v/>
      </c>
    </row>
    <row r="82">
      <c r="A82" s="66">
        <f>A81+$B$5/1440</f>
        <v/>
      </c>
      <c r="B82" s="67">
        <f>TEXT(A82,"h:mm AM/PM")&amp;" - "&amp;TEXT(A82+$B$5/1440,"h:mm AM/PM")</f>
        <v/>
      </c>
      <c r="C82" s="65">
        <f>IFERROR(SUMIFS(VER_OFFERED,VER_DATE,"&gt;="&amp;$B$3,VER_DATE,"&lt;="&amp;$B$4,VER_SITE,$D$3,VER_QUEUE,$D$4,VER_CHAN,$D$5,VER_TIME,"&gt;="&amp;ROUND($A82,6),VER_TIME,"&lt;"&amp;ROUND($A82+$B$5/1440,6)),0)</f>
        <v/>
      </c>
      <c r="D82" s="65">
        <f>IFERROR(SUMIFS(IEX_OFFERED,IEX_DATE,"&gt;="&amp;$B$3,IEX_DATE,"&lt;="&amp;$B$4,IEX_SITE,$D$3,IEX_QUEUE,$D$4,IEX_CHAN,$D$5,IEX_TIME,"&gt;="&amp;ROUND($A82,6),IEX_TIME,"&lt;"&amp;ROUND($A82+$B$5/1440,6)),0)</f>
        <v/>
      </c>
      <c r="E82" s="65">
        <f>IFERROR(SUMIFS(VER_STAFFED,VER_DATE,"&gt;="&amp;$B$3,VER_DATE,"&lt;="&amp;$B$4,VER_SITE,$D$3,VER_QUEUE,$D$4,VER_CHAN,$D$5,VER_TIME,"&gt;="&amp;ROUND($A82,6),VER_TIME,"&lt;"&amp;ROUND($A82+$B$5/1440,6))/($B$4-$B$3+1),0)</f>
        <v/>
      </c>
      <c r="F82" s="65">
        <f>IFERROR(SUMIFS(IEX_STAFFED,IEX_DATE,"&gt;="&amp;$B$3,IEX_DATE,"&lt;="&amp;$B$4,IEX_SITE,$D$3,IEX_QUEUE,$D$4,IEX_CHAN,$D$5,IEX_TIME,"&gt;="&amp;ROUND($A82,6),IEX_TIME,"&lt;"&amp;ROUND($A82+$B$5/1440,6))/($B$4-$B$3+1),0)</f>
        <v/>
      </c>
      <c r="G82" s="65">
        <f>IFERROR(SUMIFS(VER_REQ,VER_DATE,"&gt;="&amp;$B$3,VER_DATE,"&lt;="&amp;$B$4,VER_SITE,$D$3,VER_QUEUE,$D$4,VER_CHAN,$D$5,VER_TIME,"&gt;="&amp;ROUND($A82,6),VER_TIME,"&lt;"&amp;ROUND($A82+$B$5/1440,6))/($B$4-$B$3+1),0)</f>
        <v/>
      </c>
      <c r="H82" s="65">
        <f>IFERROR(SUMIFS(IEX_REQ,IEX_DATE,"&gt;="&amp;$B$3,IEX_DATE,"&lt;="&amp;$B$4,IEX_SITE,$D$3,IEX_QUEUE,$D$4,IEX_CHAN,$D$5,IEX_TIME,"&gt;="&amp;ROUND($A82,6),IEX_TIME,"&lt;"&amp;ROUND($A82+$B$5/1440,6))/($B$4-$B$3+1),0)</f>
        <v/>
      </c>
    </row>
    <row r="83">
      <c r="A83" s="66">
        <f>A82+$B$5/1440</f>
        <v/>
      </c>
      <c r="B83" s="67">
        <f>TEXT(A83,"h:mm AM/PM")&amp;" - "&amp;TEXT(A83+$B$5/1440,"h:mm AM/PM")</f>
        <v/>
      </c>
      <c r="C83" s="65">
        <f>IFERROR(SUMIFS(VER_OFFERED,VER_DATE,"&gt;="&amp;$B$3,VER_DATE,"&lt;="&amp;$B$4,VER_SITE,$D$3,VER_QUEUE,$D$4,VER_CHAN,$D$5,VER_TIME,"&gt;="&amp;ROUND($A83,6),VER_TIME,"&lt;"&amp;ROUND($A83+$B$5/1440,6)),0)</f>
        <v/>
      </c>
      <c r="D83" s="65">
        <f>IFERROR(SUMIFS(IEX_OFFERED,IEX_DATE,"&gt;="&amp;$B$3,IEX_DATE,"&lt;="&amp;$B$4,IEX_SITE,$D$3,IEX_QUEUE,$D$4,IEX_CHAN,$D$5,IEX_TIME,"&gt;="&amp;ROUND($A83,6),IEX_TIME,"&lt;"&amp;ROUND($A83+$B$5/1440,6)),0)</f>
        <v/>
      </c>
      <c r="E83" s="65">
        <f>IFERROR(SUMIFS(VER_STAFFED,VER_DATE,"&gt;="&amp;$B$3,VER_DATE,"&lt;="&amp;$B$4,VER_SITE,$D$3,VER_QUEUE,$D$4,VER_CHAN,$D$5,VER_TIME,"&gt;="&amp;ROUND($A83,6),VER_TIME,"&lt;"&amp;ROUND($A83+$B$5/1440,6))/($B$4-$B$3+1),0)</f>
        <v/>
      </c>
      <c r="F83" s="65">
        <f>IFERROR(SUMIFS(IEX_STAFFED,IEX_DATE,"&gt;="&amp;$B$3,IEX_DATE,"&lt;="&amp;$B$4,IEX_SITE,$D$3,IEX_QUEUE,$D$4,IEX_CHAN,$D$5,IEX_TIME,"&gt;="&amp;ROUND($A83,6),IEX_TIME,"&lt;"&amp;ROUND($A83+$B$5/1440,6))/($B$4-$B$3+1),0)</f>
        <v/>
      </c>
      <c r="G83" s="65">
        <f>IFERROR(SUMIFS(VER_REQ,VER_DATE,"&gt;="&amp;$B$3,VER_DATE,"&lt;="&amp;$B$4,VER_SITE,$D$3,VER_QUEUE,$D$4,VER_CHAN,$D$5,VER_TIME,"&gt;="&amp;ROUND($A83,6),VER_TIME,"&lt;"&amp;ROUND($A83+$B$5/1440,6))/($B$4-$B$3+1),0)</f>
        <v/>
      </c>
      <c r="H83" s="65">
        <f>IFERROR(SUMIFS(IEX_REQ,IEX_DATE,"&gt;="&amp;$B$3,IEX_DATE,"&lt;="&amp;$B$4,IEX_SITE,$D$3,IEX_QUEUE,$D$4,IEX_CHAN,$D$5,IEX_TIME,"&gt;="&amp;ROUND($A83,6),IEX_TIME,"&lt;"&amp;ROUND($A83+$B$5/1440,6))/($B$4-$B$3+1),0)</f>
        <v/>
      </c>
    </row>
    <row r="84">
      <c r="A84" s="66">
        <f>A83+$B$5/1440</f>
        <v/>
      </c>
      <c r="B84" s="67">
        <f>TEXT(A84,"h:mm AM/PM")&amp;" - "&amp;TEXT(A84+$B$5/1440,"h:mm AM/PM")</f>
        <v/>
      </c>
      <c r="C84" s="65">
        <f>IFERROR(SUMIFS(VER_OFFERED,VER_DATE,"&gt;="&amp;$B$3,VER_DATE,"&lt;="&amp;$B$4,VER_SITE,$D$3,VER_QUEUE,$D$4,VER_CHAN,$D$5,VER_TIME,"&gt;="&amp;ROUND($A84,6),VER_TIME,"&lt;"&amp;ROUND($A84+$B$5/1440,6)),0)</f>
        <v/>
      </c>
      <c r="D84" s="65">
        <f>IFERROR(SUMIFS(IEX_OFFERED,IEX_DATE,"&gt;="&amp;$B$3,IEX_DATE,"&lt;="&amp;$B$4,IEX_SITE,$D$3,IEX_QUEUE,$D$4,IEX_CHAN,$D$5,IEX_TIME,"&gt;="&amp;ROUND($A84,6),IEX_TIME,"&lt;"&amp;ROUND($A84+$B$5/1440,6)),0)</f>
        <v/>
      </c>
      <c r="E84" s="65">
        <f>IFERROR(SUMIFS(VER_STAFFED,VER_DATE,"&gt;="&amp;$B$3,VER_DATE,"&lt;="&amp;$B$4,VER_SITE,$D$3,VER_QUEUE,$D$4,VER_CHAN,$D$5,VER_TIME,"&gt;="&amp;ROUND($A84,6),VER_TIME,"&lt;"&amp;ROUND($A84+$B$5/1440,6))/($B$4-$B$3+1),0)</f>
        <v/>
      </c>
      <c r="F84" s="65">
        <f>IFERROR(SUMIFS(IEX_STAFFED,IEX_DATE,"&gt;="&amp;$B$3,IEX_DATE,"&lt;="&amp;$B$4,IEX_SITE,$D$3,IEX_QUEUE,$D$4,IEX_CHAN,$D$5,IEX_TIME,"&gt;="&amp;ROUND($A84,6),IEX_TIME,"&lt;"&amp;ROUND($A84+$B$5/1440,6))/($B$4-$B$3+1),0)</f>
        <v/>
      </c>
      <c r="G84" s="65">
        <f>IFERROR(SUMIFS(VER_REQ,VER_DATE,"&gt;="&amp;$B$3,VER_DATE,"&lt;="&amp;$B$4,VER_SITE,$D$3,VER_QUEUE,$D$4,VER_CHAN,$D$5,VER_TIME,"&gt;="&amp;ROUND($A84,6),VER_TIME,"&lt;"&amp;ROUND($A84+$B$5/1440,6))/($B$4-$B$3+1),0)</f>
        <v/>
      </c>
      <c r="H84" s="65">
        <f>IFERROR(SUMIFS(IEX_REQ,IEX_DATE,"&gt;="&amp;$B$3,IEX_DATE,"&lt;="&amp;$B$4,IEX_SITE,$D$3,IEX_QUEUE,$D$4,IEX_CHAN,$D$5,IEX_TIME,"&gt;="&amp;ROUND($A84,6),IEX_TIME,"&lt;"&amp;ROUND($A84+$B$5/1440,6))/($B$4-$B$3+1),0)</f>
        <v/>
      </c>
    </row>
    <row r="85">
      <c r="A85" s="66">
        <f>A84+$B$5/1440</f>
        <v/>
      </c>
      <c r="B85" s="67">
        <f>TEXT(A85,"h:mm AM/PM")&amp;" - "&amp;TEXT(A85+$B$5/1440,"h:mm AM/PM")</f>
        <v/>
      </c>
      <c r="C85" s="65">
        <f>IFERROR(SUMIFS(VER_OFFERED,VER_DATE,"&gt;="&amp;$B$3,VER_DATE,"&lt;="&amp;$B$4,VER_SITE,$D$3,VER_QUEUE,$D$4,VER_CHAN,$D$5,VER_TIME,"&gt;="&amp;ROUND($A85,6),VER_TIME,"&lt;"&amp;ROUND($A85+$B$5/1440,6)),0)</f>
        <v/>
      </c>
      <c r="D85" s="65">
        <f>IFERROR(SUMIFS(IEX_OFFERED,IEX_DATE,"&gt;="&amp;$B$3,IEX_DATE,"&lt;="&amp;$B$4,IEX_SITE,$D$3,IEX_QUEUE,$D$4,IEX_CHAN,$D$5,IEX_TIME,"&gt;="&amp;ROUND($A85,6),IEX_TIME,"&lt;"&amp;ROUND($A85+$B$5/1440,6)),0)</f>
        <v/>
      </c>
      <c r="E85" s="65">
        <f>IFERROR(SUMIFS(VER_STAFFED,VER_DATE,"&gt;="&amp;$B$3,VER_DATE,"&lt;="&amp;$B$4,VER_SITE,$D$3,VER_QUEUE,$D$4,VER_CHAN,$D$5,VER_TIME,"&gt;="&amp;ROUND($A85,6),VER_TIME,"&lt;"&amp;ROUND($A85+$B$5/1440,6))/($B$4-$B$3+1),0)</f>
        <v/>
      </c>
      <c r="F85" s="65">
        <f>IFERROR(SUMIFS(IEX_STAFFED,IEX_DATE,"&gt;="&amp;$B$3,IEX_DATE,"&lt;="&amp;$B$4,IEX_SITE,$D$3,IEX_QUEUE,$D$4,IEX_CHAN,$D$5,IEX_TIME,"&gt;="&amp;ROUND($A85,6),IEX_TIME,"&lt;"&amp;ROUND($A85+$B$5/1440,6))/($B$4-$B$3+1),0)</f>
        <v/>
      </c>
      <c r="G85" s="65">
        <f>IFERROR(SUMIFS(VER_REQ,VER_DATE,"&gt;="&amp;$B$3,VER_DATE,"&lt;="&amp;$B$4,VER_SITE,$D$3,VER_QUEUE,$D$4,VER_CHAN,$D$5,VER_TIME,"&gt;="&amp;ROUND($A85,6),VER_TIME,"&lt;"&amp;ROUND($A85+$B$5/1440,6))/($B$4-$B$3+1),0)</f>
        <v/>
      </c>
      <c r="H85" s="65">
        <f>IFERROR(SUMIFS(IEX_REQ,IEX_DATE,"&gt;="&amp;$B$3,IEX_DATE,"&lt;="&amp;$B$4,IEX_SITE,$D$3,IEX_QUEUE,$D$4,IEX_CHAN,$D$5,IEX_TIME,"&gt;="&amp;ROUND($A85,6),IEX_TIME,"&lt;"&amp;ROUND($A85+$B$5/1440,6))/($B$4-$B$3+1),0)</f>
        <v/>
      </c>
    </row>
    <row r="86">
      <c r="A86" s="66">
        <f>A85+$B$5/1440</f>
        <v/>
      </c>
      <c r="B86" s="67">
        <f>TEXT(A86,"h:mm AM/PM")&amp;" - "&amp;TEXT(A86+$B$5/1440,"h:mm AM/PM")</f>
        <v/>
      </c>
      <c r="C86" s="65">
        <f>IFERROR(SUMIFS(VER_OFFERED,VER_DATE,"&gt;="&amp;$B$3,VER_DATE,"&lt;="&amp;$B$4,VER_SITE,$D$3,VER_QUEUE,$D$4,VER_CHAN,$D$5,VER_TIME,"&gt;="&amp;ROUND($A86,6),VER_TIME,"&lt;"&amp;ROUND($A86+$B$5/1440,6)),0)</f>
        <v/>
      </c>
      <c r="D86" s="65">
        <f>IFERROR(SUMIFS(IEX_OFFERED,IEX_DATE,"&gt;="&amp;$B$3,IEX_DATE,"&lt;="&amp;$B$4,IEX_SITE,$D$3,IEX_QUEUE,$D$4,IEX_CHAN,$D$5,IEX_TIME,"&gt;="&amp;ROUND($A86,6),IEX_TIME,"&lt;"&amp;ROUND($A86+$B$5/1440,6)),0)</f>
        <v/>
      </c>
      <c r="E86" s="65">
        <f>IFERROR(SUMIFS(VER_STAFFED,VER_DATE,"&gt;="&amp;$B$3,VER_DATE,"&lt;="&amp;$B$4,VER_SITE,$D$3,VER_QUEUE,$D$4,VER_CHAN,$D$5,VER_TIME,"&gt;="&amp;ROUND($A86,6),VER_TIME,"&lt;"&amp;ROUND($A86+$B$5/1440,6))/($B$4-$B$3+1),0)</f>
        <v/>
      </c>
      <c r="F86" s="65">
        <f>IFERROR(SUMIFS(IEX_STAFFED,IEX_DATE,"&gt;="&amp;$B$3,IEX_DATE,"&lt;="&amp;$B$4,IEX_SITE,$D$3,IEX_QUEUE,$D$4,IEX_CHAN,$D$5,IEX_TIME,"&gt;="&amp;ROUND($A86,6),IEX_TIME,"&lt;"&amp;ROUND($A86+$B$5/1440,6))/($B$4-$B$3+1),0)</f>
        <v/>
      </c>
      <c r="G86" s="65">
        <f>IFERROR(SUMIFS(VER_REQ,VER_DATE,"&gt;="&amp;$B$3,VER_DATE,"&lt;="&amp;$B$4,VER_SITE,$D$3,VER_QUEUE,$D$4,VER_CHAN,$D$5,VER_TIME,"&gt;="&amp;ROUND($A86,6),VER_TIME,"&lt;"&amp;ROUND($A86+$B$5/1440,6))/($B$4-$B$3+1),0)</f>
        <v/>
      </c>
      <c r="H86" s="65">
        <f>IFERROR(SUMIFS(IEX_REQ,IEX_DATE,"&gt;="&amp;$B$3,IEX_DATE,"&lt;="&amp;$B$4,IEX_SITE,$D$3,IEX_QUEUE,$D$4,IEX_CHAN,$D$5,IEX_TIME,"&gt;="&amp;ROUND($A86,6),IEX_TIME,"&lt;"&amp;ROUND($A86+$B$5/1440,6))/($B$4-$B$3+1),0)</f>
        <v/>
      </c>
    </row>
    <row r="87">
      <c r="A87" s="66">
        <f>A86+$B$5/1440</f>
        <v/>
      </c>
      <c r="B87" s="67">
        <f>TEXT(A87,"h:mm AM/PM")&amp;" - "&amp;TEXT(A87+$B$5/1440,"h:mm AM/PM")</f>
        <v/>
      </c>
      <c r="C87" s="65">
        <f>IFERROR(SUMIFS(VER_OFFERED,VER_DATE,"&gt;="&amp;$B$3,VER_DATE,"&lt;="&amp;$B$4,VER_SITE,$D$3,VER_QUEUE,$D$4,VER_CHAN,$D$5,VER_TIME,"&gt;="&amp;ROUND($A87,6),VER_TIME,"&lt;"&amp;ROUND($A87+$B$5/1440,6)),0)</f>
        <v/>
      </c>
      <c r="D87" s="65">
        <f>IFERROR(SUMIFS(IEX_OFFERED,IEX_DATE,"&gt;="&amp;$B$3,IEX_DATE,"&lt;="&amp;$B$4,IEX_SITE,$D$3,IEX_QUEUE,$D$4,IEX_CHAN,$D$5,IEX_TIME,"&gt;="&amp;ROUND($A87,6),IEX_TIME,"&lt;"&amp;ROUND($A87+$B$5/1440,6)),0)</f>
        <v/>
      </c>
      <c r="E87" s="65">
        <f>IFERROR(SUMIFS(VER_STAFFED,VER_DATE,"&gt;="&amp;$B$3,VER_DATE,"&lt;="&amp;$B$4,VER_SITE,$D$3,VER_QUEUE,$D$4,VER_CHAN,$D$5,VER_TIME,"&gt;="&amp;ROUND($A87,6),VER_TIME,"&lt;"&amp;ROUND($A87+$B$5/1440,6))/($B$4-$B$3+1),0)</f>
        <v/>
      </c>
      <c r="F87" s="65">
        <f>IFERROR(SUMIFS(IEX_STAFFED,IEX_DATE,"&gt;="&amp;$B$3,IEX_DATE,"&lt;="&amp;$B$4,IEX_SITE,$D$3,IEX_QUEUE,$D$4,IEX_CHAN,$D$5,IEX_TIME,"&gt;="&amp;ROUND($A87,6),IEX_TIME,"&lt;"&amp;ROUND($A87+$B$5/1440,6))/($B$4-$B$3+1),0)</f>
        <v/>
      </c>
      <c r="G87" s="65">
        <f>IFERROR(SUMIFS(VER_REQ,VER_DATE,"&gt;="&amp;$B$3,VER_DATE,"&lt;="&amp;$B$4,VER_SITE,$D$3,VER_QUEUE,$D$4,VER_CHAN,$D$5,VER_TIME,"&gt;="&amp;ROUND($A87,6),VER_TIME,"&lt;"&amp;ROUND($A87+$B$5/1440,6))/($B$4-$B$3+1),0)</f>
        <v/>
      </c>
      <c r="H87" s="65">
        <f>IFERROR(SUMIFS(IEX_REQ,IEX_DATE,"&gt;="&amp;$B$3,IEX_DATE,"&lt;="&amp;$B$4,IEX_SITE,$D$3,IEX_QUEUE,$D$4,IEX_CHAN,$D$5,IEX_TIME,"&gt;="&amp;ROUND($A87,6),IEX_TIME,"&lt;"&amp;ROUND($A87+$B$5/1440,6))/($B$4-$B$3+1),0)</f>
        <v/>
      </c>
    </row>
    <row r="88">
      <c r="A88" s="66">
        <f>A87+$B$5/1440</f>
        <v/>
      </c>
      <c r="B88" s="67">
        <f>TEXT(A88,"h:mm AM/PM")&amp;" - "&amp;TEXT(A88+$B$5/1440,"h:mm AM/PM")</f>
        <v/>
      </c>
      <c r="C88" s="65">
        <f>IFERROR(SUMIFS(VER_OFFERED,VER_DATE,"&gt;="&amp;$B$3,VER_DATE,"&lt;="&amp;$B$4,VER_SITE,$D$3,VER_QUEUE,$D$4,VER_CHAN,$D$5,VER_TIME,"&gt;="&amp;ROUND($A88,6),VER_TIME,"&lt;"&amp;ROUND($A88+$B$5/1440,6)),0)</f>
        <v/>
      </c>
      <c r="D88" s="65">
        <f>IFERROR(SUMIFS(IEX_OFFERED,IEX_DATE,"&gt;="&amp;$B$3,IEX_DATE,"&lt;="&amp;$B$4,IEX_SITE,$D$3,IEX_QUEUE,$D$4,IEX_CHAN,$D$5,IEX_TIME,"&gt;="&amp;ROUND($A88,6),IEX_TIME,"&lt;"&amp;ROUND($A88+$B$5/1440,6)),0)</f>
        <v/>
      </c>
      <c r="E88" s="65">
        <f>IFERROR(SUMIFS(VER_STAFFED,VER_DATE,"&gt;="&amp;$B$3,VER_DATE,"&lt;="&amp;$B$4,VER_SITE,$D$3,VER_QUEUE,$D$4,VER_CHAN,$D$5,VER_TIME,"&gt;="&amp;ROUND($A88,6),VER_TIME,"&lt;"&amp;ROUND($A88+$B$5/1440,6))/($B$4-$B$3+1),0)</f>
        <v/>
      </c>
      <c r="F88" s="65">
        <f>IFERROR(SUMIFS(IEX_STAFFED,IEX_DATE,"&gt;="&amp;$B$3,IEX_DATE,"&lt;="&amp;$B$4,IEX_SITE,$D$3,IEX_QUEUE,$D$4,IEX_CHAN,$D$5,IEX_TIME,"&gt;="&amp;ROUND($A88,6),IEX_TIME,"&lt;"&amp;ROUND($A88+$B$5/1440,6))/($B$4-$B$3+1),0)</f>
        <v/>
      </c>
      <c r="G88" s="65">
        <f>IFERROR(SUMIFS(VER_REQ,VER_DATE,"&gt;="&amp;$B$3,VER_DATE,"&lt;="&amp;$B$4,VER_SITE,$D$3,VER_QUEUE,$D$4,VER_CHAN,$D$5,VER_TIME,"&gt;="&amp;ROUND($A88,6),VER_TIME,"&lt;"&amp;ROUND($A88+$B$5/1440,6))/($B$4-$B$3+1),0)</f>
        <v/>
      </c>
      <c r="H88" s="65">
        <f>IFERROR(SUMIFS(IEX_REQ,IEX_DATE,"&gt;="&amp;$B$3,IEX_DATE,"&lt;="&amp;$B$4,IEX_SITE,$D$3,IEX_QUEUE,$D$4,IEX_CHAN,$D$5,IEX_TIME,"&gt;="&amp;ROUND($A88,6),IEX_TIME,"&lt;"&amp;ROUND($A88+$B$5/1440,6))/($B$4-$B$3+1),0)</f>
        <v/>
      </c>
    </row>
    <row r="89">
      <c r="A89" s="66">
        <f>A88+$B$5/1440</f>
        <v/>
      </c>
      <c r="B89" s="67">
        <f>TEXT(A89,"h:mm AM/PM")&amp;" - "&amp;TEXT(A89+$B$5/1440,"h:mm AM/PM")</f>
        <v/>
      </c>
      <c r="C89" s="65">
        <f>IFERROR(SUMIFS(VER_OFFERED,VER_DATE,"&gt;="&amp;$B$3,VER_DATE,"&lt;="&amp;$B$4,VER_SITE,$D$3,VER_QUEUE,$D$4,VER_CHAN,$D$5,VER_TIME,"&gt;="&amp;ROUND($A89,6),VER_TIME,"&lt;"&amp;ROUND($A89+$B$5/1440,6)),0)</f>
        <v/>
      </c>
      <c r="D89" s="65">
        <f>IFERROR(SUMIFS(IEX_OFFERED,IEX_DATE,"&gt;="&amp;$B$3,IEX_DATE,"&lt;="&amp;$B$4,IEX_SITE,$D$3,IEX_QUEUE,$D$4,IEX_CHAN,$D$5,IEX_TIME,"&gt;="&amp;ROUND($A89,6),IEX_TIME,"&lt;"&amp;ROUND($A89+$B$5/1440,6)),0)</f>
        <v/>
      </c>
      <c r="E89" s="65">
        <f>IFERROR(SUMIFS(VER_STAFFED,VER_DATE,"&gt;="&amp;$B$3,VER_DATE,"&lt;="&amp;$B$4,VER_SITE,$D$3,VER_QUEUE,$D$4,VER_CHAN,$D$5,VER_TIME,"&gt;="&amp;ROUND($A89,6),VER_TIME,"&lt;"&amp;ROUND($A89+$B$5/1440,6))/($B$4-$B$3+1),0)</f>
        <v/>
      </c>
      <c r="F89" s="65">
        <f>IFERROR(SUMIFS(IEX_STAFFED,IEX_DATE,"&gt;="&amp;$B$3,IEX_DATE,"&lt;="&amp;$B$4,IEX_SITE,$D$3,IEX_QUEUE,$D$4,IEX_CHAN,$D$5,IEX_TIME,"&gt;="&amp;ROUND($A89,6),IEX_TIME,"&lt;"&amp;ROUND($A89+$B$5/1440,6))/($B$4-$B$3+1),0)</f>
        <v/>
      </c>
      <c r="G89" s="65">
        <f>IFERROR(SUMIFS(VER_REQ,VER_DATE,"&gt;="&amp;$B$3,VER_DATE,"&lt;="&amp;$B$4,VER_SITE,$D$3,VER_QUEUE,$D$4,VER_CHAN,$D$5,VER_TIME,"&gt;="&amp;ROUND($A89,6),VER_TIME,"&lt;"&amp;ROUND($A89+$B$5/1440,6))/($B$4-$B$3+1),0)</f>
        <v/>
      </c>
      <c r="H89" s="65">
        <f>IFERROR(SUMIFS(IEX_REQ,IEX_DATE,"&gt;="&amp;$B$3,IEX_DATE,"&lt;="&amp;$B$4,IEX_SITE,$D$3,IEX_QUEUE,$D$4,IEX_CHAN,$D$5,IEX_TIME,"&gt;="&amp;ROUND($A89,6),IEX_TIME,"&lt;"&amp;ROUND($A89+$B$5/1440,6))/($B$4-$B$3+1),0)</f>
        <v/>
      </c>
    </row>
    <row r="90">
      <c r="A90" s="66">
        <f>A89+$B$5/1440</f>
        <v/>
      </c>
      <c r="B90" s="67">
        <f>TEXT(A90,"h:mm AM/PM")&amp;" - "&amp;TEXT(A90+$B$5/1440,"h:mm AM/PM")</f>
        <v/>
      </c>
      <c r="C90" s="65">
        <f>IFERROR(SUMIFS(VER_OFFERED,VER_DATE,"&gt;="&amp;$B$3,VER_DATE,"&lt;="&amp;$B$4,VER_SITE,$D$3,VER_QUEUE,$D$4,VER_CHAN,$D$5,VER_TIME,"&gt;="&amp;ROUND($A90,6),VER_TIME,"&lt;"&amp;ROUND($A90+$B$5/1440,6)),0)</f>
        <v/>
      </c>
      <c r="D90" s="65">
        <f>IFERROR(SUMIFS(IEX_OFFERED,IEX_DATE,"&gt;="&amp;$B$3,IEX_DATE,"&lt;="&amp;$B$4,IEX_SITE,$D$3,IEX_QUEUE,$D$4,IEX_CHAN,$D$5,IEX_TIME,"&gt;="&amp;ROUND($A90,6),IEX_TIME,"&lt;"&amp;ROUND($A90+$B$5/1440,6)),0)</f>
        <v/>
      </c>
      <c r="E90" s="65">
        <f>IFERROR(SUMIFS(VER_STAFFED,VER_DATE,"&gt;="&amp;$B$3,VER_DATE,"&lt;="&amp;$B$4,VER_SITE,$D$3,VER_QUEUE,$D$4,VER_CHAN,$D$5,VER_TIME,"&gt;="&amp;ROUND($A90,6),VER_TIME,"&lt;"&amp;ROUND($A90+$B$5/1440,6))/($B$4-$B$3+1),0)</f>
        <v/>
      </c>
      <c r="F90" s="65">
        <f>IFERROR(SUMIFS(IEX_STAFFED,IEX_DATE,"&gt;="&amp;$B$3,IEX_DATE,"&lt;="&amp;$B$4,IEX_SITE,$D$3,IEX_QUEUE,$D$4,IEX_CHAN,$D$5,IEX_TIME,"&gt;="&amp;ROUND($A90,6),IEX_TIME,"&lt;"&amp;ROUND($A90+$B$5/1440,6))/($B$4-$B$3+1),0)</f>
        <v/>
      </c>
      <c r="G90" s="65">
        <f>IFERROR(SUMIFS(VER_REQ,VER_DATE,"&gt;="&amp;$B$3,VER_DATE,"&lt;="&amp;$B$4,VER_SITE,$D$3,VER_QUEUE,$D$4,VER_CHAN,$D$5,VER_TIME,"&gt;="&amp;ROUND($A90,6),VER_TIME,"&lt;"&amp;ROUND($A90+$B$5/1440,6))/($B$4-$B$3+1),0)</f>
        <v/>
      </c>
      <c r="H90" s="65">
        <f>IFERROR(SUMIFS(IEX_REQ,IEX_DATE,"&gt;="&amp;$B$3,IEX_DATE,"&lt;="&amp;$B$4,IEX_SITE,$D$3,IEX_QUEUE,$D$4,IEX_CHAN,$D$5,IEX_TIME,"&gt;="&amp;ROUND($A90,6),IEX_TIME,"&lt;"&amp;ROUND($A90+$B$5/1440,6))/($B$4-$B$3+1),0)</f>
        <v/>
      </c>
    </row>
    <row r="91">
      <c r="A91" s="66">
        <f>A90+$B$5/1440</f>
        <v/>
      </c>
      <c r="B91" s="67">
        <f>TEXT(A91,"h:mm AM/PM")&amp;" - "&amp;TEXT(A91+$B$5/1440,"h:mm AM/PM")</f>
        <v/>
      </c>
      <c r="C91" s="65">
        <f>IFERROR(SUMIFS(VER_OFFERED,VER_DATE,"&gt;="&amp;$B$3,VER_DATE,"&lt;="&amp;$B$4,VER_SITE,$D$3,VER_QUEUE,$D$4,VER_CHAN,$D$5,VER_TIME,"&gt;="&amp;ROUND($A91,6),VER_TIME,"&lt;"&amp;ROUND($A91+$B$5/1440,6)),0)</f>
        <v/>
      </c>
      <c r="D91" s="65">
        <f>IFERROR(SUMIFS(IEX_OFFERED,IEX_DATE,"&gt;="&amp;$B$3,IEX_DATE,"&lt;="&amp;$B$4,IEX_SITE,$D$3,IEX_QUEUE,$D$4,IEX_CHAN,$D$5,IEX_TIME,"&gt;="&amp;ROUND($A91,6),IEX_TIME,"&lt;"&amp;ROUND($A91+$B$5/1440,6)),0)</f>
        <v/>
      </c>
      <c r="E91" s="65">
        <f>IFERROR(SUMIFS(VER_STAFFED,VER_DATE,"&gt;="&amp;$B$3,VER_DATE,"&lt;="&amp;$B$4,VER_SITE,$D$3,VER_QUEUE,$D$4,VER_CHAN,$D$5,VER_TIME,"&gt;="&amp;ROUND($A91,6),VER_TIME,"&lt;"&amp;ROUND($A91+$B$5/1440,6))/($B$4-$B$3+1),0)</f>
        <v/>
      </c>
      <c r="F91" s="65">
        <f>IFERROR(SUMIFS(IEX_STAFFED,IEX_DATE,"&gt;="&amp;$B$3,IEX_DATE,"&lt;="&amp;$B$4,IEX_SITE,$D$3,IEX_QUEUE,$D$4,IEX_CHAN,$D$5,IEX_TIME,"&gt;="&amp;ROUND($A91,6),IEX_TIME,"&lt;"&amp;ROUND($A91+$B$5/1440,6))/($B$4-$B$3+1),0)</f>
        <v/>
      </c>
      <c r="G91" s="65">
        <f>IFERROR(SUMIFS(VER_REQ,VER_DATE,"&gt;="&amp;$B$3,VER_DATE,"&lt;="&amp;$B$4,VER_SITE,$D$3,VER_QUEUE,$D$4,VER_CHAN,$D$5,VER_TIME,"&gt;="&amp;ROUND($A91,6),VER_TIME,"&lt;"&amp;ROUND($A91+$B$5/1440,6))/($B$4-$B$3+1),0)</f>
        <v/>
      </c>
      <c r="H91" s="65">
        <f>IFERROR(SUMIFS(IEX_REQ,IEX_DATE,"&gt;="&amp;$B$3,IEX_DATE,"&lt;="&amp;$B$4,IEX_SITE,$D$3,IEX_QUEUE,$D$4,IEX_CHAN,$D$5,IEX_TIME,"&gt;="&amp;ROUND($A91,6),IEX_TIME,"&lt;"&amp;ROUND($A91+$B$5/1440,6))/($B$4-$B$3+1),0)</f>
        <v/>
      </c>
    </row>
    <row r="92">
      <c r="A92" s="66">
        <f>A91+$B$5/1440</f>
        <v/>
      </c>
      <c r="B92" s="67">
        <f>TEXT(A92,"h:mm AM/PM")&amp;" - "&amp;TEXT(A92+$B$5/1440,"h:mm AM/PM")</f>
        <v/>
      </c>
      <c r="C92" s="65">
        <f>IFERROR(SUMIFS(VER_OFFERED,VER_DATE,"&gt;="&amp;$B$3,VER_DATE,"&lt;="&amp;$B$4,VER_SITE,$D$3,VER_QUEUE,$D$4,VER_CHAN,$D$5,VER_TIME,"&gt;="&amp;ROUND($A92,6),VER_TIME,"&lt;"&amp;ROUND($A92+$B$5/1440,6)),0)</f>
        <v/>
      </c>
      <c r="D92" s="65">
        <f>IFERROR(SUMIFS(IEX_OFFERED,IEX_DATE,"&gt;="&amp;$B$3,IEX_DATE,"&lt;="&amp;$B$4,IEX_SITE,$D$3,IEX_QUEUE,$D$4,IEX_CHAN,$D$5,IEX_TIME,"&gt;="&amp;ROUND($A92,6),IEX_TIME,"&lt;"&amp;ROUND($A92+$B$5/1440,6)),0)</f>
        <v/>
      </c>
      <c r="E92" s="65">
        <f>IFERROR(SUMIFS(VER_STAFFED,VER_DATE,"&gt;="&amp;$B$3,VER_DATE,"&lt;="&amp;$B$4,VER_SITE,$D$3,VER_QUEUE,$D$4,VER_CHAN,$D$5,VER_TIME,"&gt;="&amp;ROUND($A92,6),VER_TIME,"&lt;"&amp;ROUND($A92+$B$5/1440,6))/($B$4-$B$3+1),0)</f>
        <v/>
      </c>
      <c r="F92" s="65">
        <f>IFERROR(SUMIFS(IEX_STAFFED,IEX_DATE,"&gt;="&amp;$B$3,IEX_DATE,"&lt;="&amp;$B$4,IEX_SITE,$D$3,IEX_QUEUE,$D$4,IEX_CHAN,$D$5,IEX_TIME,"&gt;="&amp;ROUND($A92,6),IEX_TIME,"&lt;"&amp;ROUND($A92+$B$5/1440,6))/($B$4-$B$3+1),0)</f>
        <v/>
      </c>
      <c r="G92" s="65">
        <f>IFERROR(SUMIFS(VER_REQ,VER_DATE,"&gt;="&amp;$B$3,VER_DATE,"&lt;="&amp;$B$4,VER_SITE,$D$3,VER_QUEUE,$D$4,VER_CHAN,$D$5,VER_TIME,"&gt;="&amp;ROUND($A92,6),VER_TIME,"&lt;"&amp;ROUND($A92+$B$5/1440,6))/($B$4-$B$3+1),0)</f>
        <v/>
      </c>
      <c r="H92" s="65">
        <f>IFERROR(SUMIFS(IEX_REQ,IEX_DATE,"&gt;="&amp;$B$3,IEX_DATE,"&lt;="&amp;$B$4,IEX_SITE,$D$3,IEX_QUEUE,$D$4,IEX_CHAN,$D$5,IEX_TIME,"&gt;="&amp;ROUND($A92,6),IEX_TIME,"&lt;"&amp;ROUND($A92+$B$5/1440,6))/($B$4-$B$3+1),0)</f>
        <v/>
      </c>
    </row>
    <row r="93">
      <c r="A93" s="66">
        <f>A92+$B$5/1440</f>
        <v/>
      </c>
      <c r="B93" s="67">
        <f>TEXT(A93,"h:mm AM/PM")&amp;" - "&amp;TEXT(A93+$B$5/1440,"h:mm AM/PM")</f>
        <v/>
      </c>
      <c r="C93" s="65">
        <f>IFERROR(SUMIFS(VER_OFFERED,VER_DATE,"&gt;="&amp;$B$3,VER_DATE,"&lt;="&amp;$B$4,VER_SITE,$D$3,VER_QUEUE,$D$4,VER_CHAN,$D$5,VER_TIME,"&gt;="&amp;ROUND($A93,6),VER_TIME,"&lt;"&amp;ROUND($A93+$B$5/1440,6)),0)</f>
        <v/>
      </c>
      <c r="D93" s="65">
        <f>IFERROR(SUMIFS(IEX_OFFERED,IEX_DATE,"&gt;="&amp;$B$3,IEX_DATE,"&lt;="&amp;$B$4,IEX_SITE,$D$3,IEX_QUEUE,$D$4,IEX_CHAN,$D$5,IEX_TIME,"&gt;="&amp;ROUND($A93,6),IEX_TIME,"&lt;"&amp;ROUND($A93+$B$5/1440,6)),0)</f>
        <v/>
      </c>
      <c r="E93" s="65">
        <f>IFERROR(SUMIFS(VER_STAFFED,VER_DATE,"&gt;="&amp;$B$3,VER_DATE,"&lt;="&amp;$B$4,VER_SITE,$D$3,VER_QUEUE,$D$4,VER_CHAN,$D$5,VER_TIME,"&gt;="&amp;ROUND($A93,6),VER_TIME,"&lt;"&amp;ROUND($A93+$B$5/1440,6))/($B$4-$B$3+1),0)</f>
        <v/>
      </c>
      <c r="F93" s="65">
        <f>IFERROR(SUMIFS(IEX_STAFFED,IEX_DATE,"&gt;="&amp;$B$3,IEX_DATE,"&lt;="&amp;$B$4,IEX_SITE,$D$3,IEX_QUEUE,$D$4,IEX_CHAN,$D$5,IEX_TIME,"&gt;="&amp;ROUND($A93,6),IEX_TIME,"&lt;"&amp;ROUND($A93+$B$5/1440,6))/($B$4-$B$3+1),0)</f>
        <v/>
      </c>
      <c r="G93" s="65">
        <f>IFERROR(SUMIFS(VER_REQ,VER_DATE,"&gt;="&amp;$B$3,VER_DATE,"&lt;="&amp;$B$4,VER_SITE,$D$3,VER_QUEUE,$D$4,VER_CHAN,$D$5,VER_TIME,"&gt;="&amp;ROUND($A93,6),VER_TIME,"&lt;"&amp;ROUND($A93+$B$5/1440,6))/($B$4-$B$3+1),0)</f>
        <v/>
      </c>
      <c r="H93" s="65">
        <f>IFERROR(SUMIFS(IEX_REQ,IEX_DATE,"&gt;="&amp;$B$3,IEX_DATE,"&lt;="&amp;$B$4,IEX_SITE,$D$3,IEX_QUEUE,$D$4,IEX_CHAN,$D$5,IEX_TIME,"&gt;="&amp;ROUND($A93,6),IEX_TIME,"&lt;"&amp;ROUND($A93+$B$5/1440,6))/($B$4-$B$3+1),0)</f>
        <v/>
      </c>
    </row>
    <row r="94">
      <c r="A94" s="66">
        <f>A93+$B$5/1440</f>
        <v/>
      </c>
      <c r="B94" s="67">
        <f>TEXT(A94,"h:mm AM/PM")&amp;" - "&amp;TEXT(A94+$B$5/1440,"h:mm AM/PM")</f>
        <v/>
      </c>
      <c r="C94" s="65">
        <f>IFERROR(SUMIFS(VER_OFFERED,VER_DATE,"&gt;="&amp;$B$3,VER_DATE,"&lt;="&amp;$B$4,VER_SITE,$D$3,VER_QUEUE,$D$4,VER_CHAN,$D$5,VER_TIME,"&gt;="&amp;ROUND($A94,6),VER_TIME,"&lt;"&amp;ROUND($A94+$B$5/1440,6)),0)</f>
        <v/>
      </c>
      <c r="D94" s="65">
        <f>IFERROR(SUMIFS(IEX_OFFERED,IEX_DATE,"&gt;="&amp;$B$3,IEX_DATE,"&lt;="&amp;$B$4,IEX_SITE,$D$3,IEX_QUEUE,$D$4,IEX_CHAN,$D$5,IEX_TIME,"&gt;="&amp;ROUND($A94,6),IEX_TIME,"&lt;"&amp;ROUND($A94+$B$5/1440,6)),0)</f>
        <v/>
      </c>
      <c r="E94" s="65">
        <f>IFERROR(SUMIFS(VER_STAFFED,VER_DATE,"&gt;="&amp;$B$3,VER_DATE,"&lt;="&amp;$B$4,VER_SITE,$D$3,VER_QUEUE,$D$4,VER_CHAN,$D$5,VER_TIME,"&gt;="&amp;ROUND($A94,6),VER_TIME,"&lt;"&amp;ROUND($A94+$B$5/1440,6))/($B$4-$B$3+1),0)</f>
        <v/>
      </c>
      <c r="F94" s="65">
        <f>IFERROR(SUMIFS(IEX_STAFFED,IEX_DATE,"&gt;="&amp;$B$3,IEX_DATE,"&lt;="&amp;$B$4,IEX_SITE,$D$3,IEX_QUEUE,$D$4,IEX_CHAN,$D$5,IEX_TIME,"&gt;="&amp;ROUND($A94,6),IEX_TIME,"&lt;"&amp;ROUND($A94+$B$5/1440,6))/($B$4-$B$3+1),0)</f>
        <v/>
      </c>
      <c r="G94" s="65">
        <f>IFERROR(SUMIFS(VER_REQ,VER_DATE,"&gt;="&amp;$B$3,VER_DATE,"&lt;="&amp;$B$4,VER_SITE,$D$3,VER_QUEUE,$D$4,VER_CHAN,$D$5,VER_TIME,"&gt;="&amp;ROUND($A94,6),VER_TIME,"&lt;"&amp;ROUND($A94+$B$5/1440,6))/($B$4-$B$3+1),0)</f>
        <v/>
      </c>
      <c r="H94" s="65">
        <f>IFERROR(SUMIFS(IEX_REQ,IEX_DATE,"&gt;="&amp;$B$3,IEX_DATE,"&lt;="&amp;$B$4,IEX_SITE,$D$3,IEX_QUEUE,$D$4,IEX_CHAN,$D$5,IEX_TIME,"&gt;="&amp;ROUND($A94,6),IEX_TIME,"&lt;"&amp;ROUND($A94+$B$5/1440,6))/($B$4-$B$3+1),0)</f>
        <v/>
      </c>
    </row>
    <row r="95">
      <c r="A95" s="66">
        <f>A94+$B$5/1440</f>
        <v/>
      </c>
      <c r="B95" s="67">
        <f>TEXT(A95,"h:mm AM/PM")&amp;" - "&amp;TEXT(A95+$B$5/1440,"h:mm AM/PM")</f>
        <v/>
      </c>
      <c r="C95" s="65">
        <f>IFERROR(SUMIFS(VER_OFFERED,VER_DATE,"&gt;="&amp;$B$3,VER_DATE,"&lt;="&amp;$B$4,VER_SITE,$D$3,VER_QUEUE,$D$4,VER_CHAN,$D$5,VER_TIME,"&gt;="&amp;ROUND($A95,6),VER_TIME,"&lt;"&amp;ROUND($A95+$B$5/1440,6)),0)</f>
        <v/>
      </c>
      <c r="D95" s="65">
        <f>IFERROR(SUMIFS(IEX_OFFERED,IEX_DATE,"&gt;="&amp;$B$3,IEX_DATE,"&lt;="&amp;$B$4,IEX_SITE,$D$3,IEX_QUEUE,$D$4,IEX_CHAN,$D$5,IEX_TIME,"&gt;="&amp;ROUND($A95,6),IEX_TIME,"&lt;"&amp;ROUND($A95+$B$5/1440,6)),0)</f>
        <v/>
      </c>
      <c r="E95" s="65">
        <f>IFERROR(SUMIFS(VER_STAFFED,VER_DATE,"&gt;="&amp;$B$3,VER_DATE,"&lt;="&amp;$B$4,VER_SITE,$D$3,VER_QUEUE,$D$4,VER_CHAN,$D$5,VER_TIME,"&gt;="&amp;ROUND($A95,6),VER_TIME,"&lt;"&amp;ROUND($A95+$B$5/1440,6))/($B$4-$B$3+1),0)</f>
        <v/>
      </c>
      <c r="F95" s="65">
        <f>IFERROR(SUMIFS(IEX_STAFFED,IEX_DATE,"&gt;="&amp;$B$3,IEX_DATE,"&lt;="&amp;$B$4,IEX_SITE,$D$3,IEX_QUEUE,$D$4,IEX_CHAN,$D$5,IEX_TIME,"&gt;="&amp;ROUND($A95,6),IEX_TIME,"&lt;"&amp;ROUND($A95+$B$5/1440,6))/($B$4-$B$3+1),0)</f>
        <v/>
      </c>
      <c r="G95" s="65">
        <f>IFERROR(SUMIFS(VER_REQ,VER_DATE,"&gt;="&amp;$B$3,VER_DATE,"&lt;="&amp;$B$4,VER_SITE,$D$3,VER_QUEUE,$D$4,VER_CHAN,$D$5,VER_TIME,"&gt;="&amp;ROUND($A95,6),VER_TIME,"&lt;"&amp;ROUND($A95+$B$5/1440,6))/($B$4-$B$3+1),0)</f>
        <v/>
      </c>
      <c r="H95" s="65">
        <f>IFERROR(SUMIFS(IEX_REQ,IEX_DATE,"&gt;="&amp;$B$3,IEX_DATE,"&lt;="&amp;$B$4,IEX_SITE,$D$3,IEX_QUEUE,$D$4,IEX_CHAN,$D$5,IEX_TIME,"&gt;="&amp;ROUND($A95,6),IEX_TIME,"&lt;"&amp;ROUND($A95+$B$5/1440,6))/($B$4-$B$3+1),0)</f>
        <v/>
      </c>
    </row>
    <row r="96">
      <c r="A96" s="66">
        <f>A95+$B$5/1440</f>
        <v/>
      </c>
      <c r="B96" s="67">
        <f>TEXT(A96,"h:mm AM/PM")&amp;" - "&amp;TEXT(A96+$B$5/1440,"h:mm AM/PM")</f>
        <v/>
      </c>
      <c r="C96" s="65">
        <f>IFERROR(SUMIFS(VER_OFFERED,VER_DATE,"&gt;="&amp;$B$3,VER_DATE,"&lt;="&amp;$B$4,VER_SITE,$D$3,VER_QUEUE,$D$4,VER_CHAN,$D$5,VER_TIME,"&gt;="&amp;ROUND($A96,6),VER_TIME,"&lt;"&amp;ROUND($A96+$B$5/1440,6)),0)</f>
        <v/>
      </c>
      <c r="D96" s="65">
        <f>IFERROR(SUMIFS(IEX_OFFERED,IEX_DATE,"&gt;="&amp;$B$3,IEX_DATE,"&lt;="&amp;$B$4,IEX_SITE,$D$3,IEX_QUEUE,$D$4,IEX_CHAN,$D$5,IEX_TIME,"&gt;="&amp;ROUND($A96,6),IEX_TIME,"&lt;"&amp;ROUND($A96+$B$5/1440,6)),0)</f>
        <v/>
      </c>
      <c r="E96" s="65">
        <f>IFERROR(SUMIFS(VER_STAFFED,VER_DATE,"&gt;="&amp;$B$3,VER_DATE,"&lt;="&amp;$B$4,VER_SITE,$D$3,VER_QUEUE,$D$4,VER_CHAN,$D$5,VER_TIME,"&gt;="&amp;ROUND($A96,6),VER_TIME,"&lt;"&amp;ROUND($A96+$B$5/1440,6))/($B$4-$B$3+1),0)</f>
        <v/>
      </c>
      <c r="F96" s="65">
        <f>IFERROR(SUMIFS(IEX_STAFFED,IEX_DATE,"&gt;="&amp;$B$3,IEX_DATE,"&lt;="&amp;$B$4,IEX_SITE,$D$3,IEX_QUEUE,$D$4,IEX_CHAN,$D$5,IEX_TIME,"&gt;="&amp;ROUND($A96,6),IEX_TIME,"&lt;"&amp;ROUND($A96+$B$5/1440,6))/($B$4-$B$3+1),0)</f>
        <v/>
      </c>
      <c r="G96" s="65">
        <f>IFERROR(SUMIFS(VER_REQ,VER_DATE,"&gt;="&amp;$B$3,VER_DATE,"&lt;="&amp;$B$4,VER_SITE,$D$3,VER_QUEUE,$D$4,VER_CHAN,$D$5,VER_TIME,"&gt;="&amp;ROUND($A96,6),VER_TIME,"&lt;"&amp;ROUND($A96+$B$5/1440,6))/($B$4-$B$3+1),0)</f>
        <v/>
      </c>
      <c r="H96" s="65">
        <f>IFERROR(SUMIFS(IEX_REQ,IEX_DATE,"&gt;="&amp;$B$3,IEX_DATE,"&lt;="&amp;$B$4,IEX_SITE,$D$3,IEX_QUEUE,$D$4,IEX_CHAN,$D$5,IEX_TIME,"&gt;="&amp;ROUND($A96,6),IEX_TIME,"&lt;"&amp;ROUND($A96+$B$5/1440,6))/($B$4-$B$3+1),0)</f>
        <v/>
      </c>
    </row>
    <row r="97">
      <c r="A97" s="66">
        <f>A96+$B$5/1440</f>
        <v/>
      </c>
      <c r="B97" s="67">
        <f>TEXT(A97,"h:mm AM/PM")&amp;" - "&amp;TEXT(A97+$B$5/1440,"h:mm AM/PM")</f>
        <v/>
      </c>
      <c r="C97" s="65">
        <f>IFERROR(SUMIFS(VER_OFFERED,VER_DATE,"&gt;="&amp;$B$3,VER_DATE,"&lt;="&amp;$B$4,VER_SITE,$D$3,VER_QUEUE,$D$4,VER_CHAN,$D$5,VER_TIME,"&gt;="&amp;ROUND($A97,6),VER_TIME,"&lt;"&amp;ROUND($A97+$B$5/1440,6)),0)</f>
        <v/>
      </c>
      <c r="D97" s="65">
        <f>IFERROR(SUMIFS(IEX_OFFERED,IEX_DATE,"&gt;="&amp;$B$3,IEX_DATE,"&lt;="&amp;$B$4,IEX_SITE,$D$3,IEX_QUEUE,$D$4,IEX_CHAN,$D$5,IEX_TIME,"&gt;="&amp;ROUND($A97,6),IEX_TIME,"&lt;"&amp;ROUND($A97+$B$5/1440,6)),0)</f>
        <v/>
      </c>
      <c r="E97" s="65">
        <f>IFERROR(SUMIFS(VER_STAFFED,VER_DATE,"&gt;="&amp;$B$3,VER_DATE,"&lt;="&amp;$B$4,VER_SITE,$D$3,VER_QUEUE,$D$4,VER_CHAN,$D$5,VER_TIME,"&gt;="&amp;ROUND($A97,6),VER_TIME,"&lt;"&amp;ROUND($A97+$B$5/1440,6))/($B$4-$B$3+1),0)</f>
        <v/>
      </c>
      <c r="F97" s="65">
        <f>IFERROR(SUMIFS(IEX_STAFFED,IEX_DATE,"&gt;="&amp;$B$3,IEX_DATE,"&lt;="&amp;$B$4,IEX_SITE,$D$3,IEX_QUEUE,$D$4,IEX_CHAN,$D$5,IEX_TIME,"&gt;="&amp;ROUND($A97,6),IEX_TIME,"&lt;"&amp;ROUND($A97+$B$5/1440,6))/($B$4-$B$3+1),0)</f>
        <v/>
      </c>
      <c r="G97" s="65">
        <f>IFERROR(SUMIFS(VER_REQ,VER_DATE,"&gt;="&amp;$B$3,VER_DATE,"&lt;="&amp;$B$4,VER_SITE,$D$3,VER_QUEUE,$D$4,VER_CHAN,$D$5,VER_TIME,"&gt;="&amp;ROUND($A97,6),VER_TIME,"&lt;"&amp;ROUND($A97+$B$5/1440,6))/($B$4-$B$3+1),0)</f>
        <v/>
      </c>
      <c r="H97" s="65">
        <f>IFERROR(SUMIFS(IEX_REQ,IEX_DATE,"&gt;="&amp;$B$3,IEX_DATE,"&lt;="&amp;$B$4,IEX_SITE,$D$3,IEX_QUEUE,$D$4,IEX_CHAN,$D$5,IEX_TIME,"&gt;="&amp;ROUND($A97,6),IEX_TIME,"&lt;"&amp;ROUND($A97+$B$5/1440,6))/($B$4-$B$3+1),0)</f>
        <v/>
      </c>
    </row>
    <row r="98">
      <c r="A98" s="66">
        <f>A97+$B$5/1440</f>
        <v/>
      </c>
      <c r="B98" s="67">
        <f>TEXT(A98,"h:mm AM/PM")&amp;" - "&amp;TEXT(A98+$B$5/1440,"h:mm AM/PM")</f>
        <v/>
      </c>
      <c r="C98" s="65">
        <f>IFERROR(SUMIFS(VER_OFFERED,VER_DATE,"&gt;="&amp;$B$3,VER_DATE,"&lt;="&amp;$B$4,VER_SITE,$D$3,VER_QUEUE,$D$4,VER_CHAN,$D$5,VER_TIME,"&gt;="&amp;ROUND($A98,6),VER_TIME,"&lt;"&amp;ROUND($A98+$B$5/1440,6)),0)</f>
        <v/>
      </c>
      <c r="D98" s="65">
        <f>IFERROR(SUMIFS(IEX_OFFERED,IEX_DATE,"&gt;="&amp;$B$3,IEX_DATE,"&lt;="&amp;$B$4,IEX_SITE,$D$3,IEX_QUEUE,$D$4,IEX_CHAN,$D$5,IEX_TIME,"&gt;="&amp;ROUND($A98,6),IEX_TIME,"&lt;"&amp;ROUND($A98+$B$5/1440,6)),0)</f>
        <v/>
      </c>
      <c r="E98" s="65">
        <f>IFERROR(SUMIFS(VER_STAFFED,VER_DATE,"&gt;="&amp;$B$3,VER_DATE,"&lt;="&amp;$B$4,VER_SITE,$D$3,VER_QUEUE,$D$4,VER_CHAN,$D$5,VER_TIME,"&gt;="&amp;ROUND($A98,6),VER_TIME,"&lt;"&amp;ROUND($A98+$B$5/1440,6))/($B$4-$B$3+1),0)</f>
        <v/>
      </c>
      <c r="F98" s="65">
        <f>IFERROR(SUMIFS(IEX_STAFFED,IEX_DATE,"&gt;="&amp;$B$3,IEX_DATE,"&lt;="&amp;$B$4,IEX_SITE,$D$3,IEX_QUEUE,$D$4,IEX_CHAN,$D$5,IEX_TIME,"&gt;="&amp;ROUND($A98,6),IEX_TIME,"&lt;"&amp;ROUND($A98+$B$5/1440,6))/($B$4-$B$3+1),0)</f>
        <v/>
      </c>
      <c r="G98" s="65">
        <f>IFERROR(SUMIFS(VER_REQ,VER_DATE,"&gt;="&amp;$B$3,VER_DATE,"&lt;="&amp;$B$4,VER_SITE,$D$3,VER_QUEUE,$D$4,VER_CHAN,$D$5,VER_TIME,"&gt;="&amp;ROUND($A98,6),VER_TIME,"&lt;"&amp;ROUND($A98+$B$5/1440,6))/($B$4-$B$3+1),0)</f>
        <v/>
      </c>
      <c r="H98" s="65">
        <f>IFERROR(SUMIFS(IEX_REQ,IEX_DATE,"&gt;="&amp;$B$3,IEX_DATE,"&lt;="&amp;$B$4,IEX_SITE,$D$3,IEX_QUEUE,$D$4,IEX_CHAN,$D$5,IEX_TIME,"&gt;="&amp;ROUND($A98,6),IEX_TIME,"&lt;"&amp;ROUND($A98+$B$5/1440,6))/($B$4-$B$3+1),0)</f>
        <v/>
      </c>
    </row>
    <row r="99">
      <c r="A99" s="66">
        <f>A98+$B$5/1440</f>
        <v/>
      </c>
      <c r="B99" s="67">
        <f>TEXT(A99,"h:mm AM/PM")&amp;" - "&amp;TEXT(A99+$B$5/1440,"h:mm AM/PM")</f>
        <v/>
      </c>
      <c r="C99" s="65">
        <f>IFERROR(SUMIFS(VER_OFFERED,VER_DATE,"&gt;="&amp;$B$3,VER_DATE,"&lt;="&amp;$B$4,VER_SITE,$D$3,VER_QUEUE,$D$4,VER_CHAN,$D$5,VER_TIME,"&gt;="&amp;ROUND($A99,6),VER_TIME,"&lt;"&amp;ROUND($A99+$B$5/1440,6)),0)</f>
        <v/>
      </c>
      <c r="D99" s="65">
        <f>IFERROR(SUMIFS(IEX_OFFERED,IEX_DATE,"&gt;="&amp;$B$3,IEX_DATE,"&lt;="&amp;$B$4,IEX_SITE,$D$3,IEX_QUEUE,$D$4,IEX_CHAN,$D$5,IEX_TIME,"&gt;="&amp;ROUND($A99,6),IEX_TIME,"&lt;"&amp;ROUND($A99+$B$5/1440,6)),0)</f>
        <v/>
      </c>
      <c r="E99" s="65">
        <f>IFERROR(SUMIFS(VER_STAFFED,VER_DATE,"&gt;="&amp;$B$3,VER_DATE,"&lt;="&amp;$B$4,VER_SITE,$D$3,VER_QUEUE,$D$4,VER_CHAN,$D$5,VER_TIME,"&gt;="&amp;ROUND($A99,6),VER_TIME,"&lt;"&amp;ROUND($A99+$B$5/1440,6))/($B$4-$B$3+1),0)</f>
        <v/>
      </c>
      <c r="F99" s="65">
        <f>IFERROR(SUMIFS(IEX_STAFFED,IEX_DATE,"&gt;="&amp;$B$3,IEX_DATE,"&lt;="&amp;$B$4,IEX_SITE,$D$3,IEX_QUEUE,$D$4,IEX_CHAN,$D$5,IEX_TIME,"&gt;="&amp;ROUND($A99,6),IEX_TIME,"&lt;"&amp;ROUND($A99+$B$5/1440,6))/($B$4-$B$3+1),0)</f>
        <v/>
      </c>
      <c r="G99" s="65">
        <f>IFERROR(SUMIFS(VER_REQ,VER_DATE,"&gt;="&amp;$B$3,VER_DATE,"&lt;="&amp;$B$4,VER_SITE,$D$3,VER_QUEUE,$D$4,VER_CHAN,$D$5,VER_TIME,"&gt;="&amp;ROUND($A99,6),VER_TIME,"&lt;"&amp;ROUND($A99+$B$5/1440,6))/($B$4-$B$3+1),0)</f>
        <v/>
      </c>
      <c r="H99" s="65">
        <f>IFERROR(SUMIFS(IEX_REQ,IEX_DATE,"&gt;="&amp;$B$3,IEX_DATE,"&lt;="&amp;$B$4,IEX_SITE,$D$3,IEX_QUEUE,$D$4,IEX_CHAN,$D$5,IEX_TIME,"&gt;="&amp;ROUND($A99,6),IEX_TIME,"&lt;"&amp;ROUND($A99+$B$5/1440,6))/($B$4-$B$3+1),0)</f>
        <v/>
      </c>
    </row>
    <row r="100">
      <c r="A100" s="66">
        <f>A99+$B$5/1440</f>
        <v/>
      </c>
      <c r="B100" s="67">
        <f>TEXT(A100,"h:mm AM/PM")&amp;" - "&amp;TEXT(A100+$B$5/1440,"h:mm AM/PM")</f>
        <v/>
      </c>
      <c r="C100" s="65">
        <f>IFERROR(SUMIFS(VER_OFFERED,VER_DATE,"&gt;="&amp;$B$3,VER_DATE,"&lt;="&amp;$B$4,VER_SITE,$D$3,VER_QUEUE,$D$4,VER_CHAN,$D$5,VER_TIME,"&gt;="&amp;ROUND($A100,6),VER_TIME,"&lt;"&amp;ROUND($A100+$B$5/1440,6)),0)</f>
        <v/>
      </c>
      <c r="D100" s="65">
        <f>IFERROR(SUMIFS(IEX_OFFERED,IEX_DATE,"&gt;="&amp;$B$3,IEX_DATE,"&lt;="&amp;$B$4,IEX_SITE,$D$3,IEX_QUEUE,$D$4,IEX_CHAN,$D$5,IEX_TIME,"&gt;="&amp;ROUND($A100,6),IEX_TIME,"&lt;"&amp;ROUND($A100+$B$5/1440,6)),0)</f>
        <v/>
      </c>
      <c r="E100" s="65">
        <f>IFERROR(SUMIFS(VER_STAFFED,VER_DATE,"&gt;="&amp;$B$3,VER_DATE,"&lt;="&amp;$B$4,VER_SITE,$D$3,VER_QUEUE,$D$4,VER_CHAN,$D$5,VER_TIME,"&gt;="&amp;ROUND($A100,6),VER_TIME,"&lt;"&amp;ROUND($A100+$B$5/1440,6))/($B$4-$B$3+1),0)</f>
        <v/>
      </c>
      <c r="F100" s="65">
        <f>IFERROR(SUMIFS(IEX_STAFFED,IEX_DATE,"&gt;="&amp;$B$3,IEX_DATE,"&lt;="&amp;$B$4,IEX_SITE,$D$3,IEX_QUEUE,$D$4,IEX_CHAN,$D$5,IEX_TIME,"&gt;="&amp;ROUND($A100,6),IEX_TIME,"&lt;"&amp;ROUND($A100+$B$5/1440,6))/($B$4-$B$3+1),0)</f>
        <v/>
      </c>
      <c r="G100" s="65">
        <f>IFERROR(SUMIFS(VER_REQ,VER_DATE,"&gt;="&amp;$B$3,VER_DATE,"&lt;="&amp;$B$4,VER_SITE,$D$3,VER_QUEUE,$D$4,VER_CHAN,$D$5,VER_TIME,"&gt;="&amp;ROUND($A100,6),VER_TIME,"&lt;"&amp;ROUND($A100+$B$5/1440,6))/($B$4-$B$3+1),0)</f>
        <v/>
      </c>
      <c r="H100" s="65">
        <f>IFERROR(SUMIFS(IEX_REQ,IEX_DATE,"&gt;="&amp;$B$3,IEX_DATE,"&lt;="&amp;$B$4,IEX_SITE,$D$3,IEX_QUEUE,$D$4,IEX_CHAN,$D$5,IEX_TIME,"&gt;="&amp;ROUND($A100,6),IEX_TIME,"&lt;"&amp;ROUND($A100+$B$5/1440,6))/($B$4-$B$3+1),0)</f>
        <v/>
      </c>
    </row>
    <row r="101">
      <c r="A101" s="66">
        <f>A100+$B$5/1440</f>
        <v/>
      </c>
      <c r="B101" s="67">
        <f>TEXT(A101,"h:mm AM/PM")&amp;" - "&amp;TEXT(A101+$B$5/1440,"h:mm AM/PM")</f>
        <v/>
      </c>
      <c r="C101" s="65">
        <f>IFERROR(SUMIFS(VER_OFFERED,VER_DATE,"&gt;="&amp;$B$3,VER_DATE,"&lt;="&amp;$B$4,VER_SITE,$D$3,VER_QUEUE,$D$4,VER_CHAN,$D$5,VER_TIME,"&gt;="&amp;ROUND($A101,6),VER_TIME,"&lt;"&amp;ROUND($A101+$B$5/1440,6)),0)</f>
        <v/>
      </c>
      <c r="D101" s="65">
        <f>IFERROR(SUMIFS(IEX_OFFERED,IEX_DATE,"&gt;="&amp;$B$3,IEX_DATE,"&lt;="&amp;$B$4,IEX_SITE,$D$3,IEX_QUEUE,$D$4,IEX_CHAN,$D$5,IEX_TIME,"&gt;="&amp;ROUND($A101,6),IEX_TIME,"&lt;"&amp;ROUND($A101+$B$5/1440,6)),0)</f>
        <v/>
      </c>
      <c r="E101" s="65">
        <f>IFERROR(SUMIFS(VER_STAFFED,VER_DATE,"&gt;="&amp;$B$3,VER_DATE,"&lt;="&amp;$B$4,VER_SITE,$D$3,VER_QUEUE,$D$4,VER_CHAN,$D$5,VER_TIME,"&gt;="&amp;ROUND($A101,6),VER_TIME,"&lt;"&amp;ROUND($A101+$B$5/1440,6))/($B$4-$B$3+1),0)</f>
        <v/>
      </c>
      <c r="F101" s="65">
        <f>IFERROR(SUMIFS(IEX_STAFFED,IEX_DATE,"&gt;="&amp;$B$3,IEX_DATE,"&lt;="&amp;$B$4,IEX_SITE,$D$3,IEX_QUEUE,$D$4,IEX_CHAN,$D$5,IEX_TIME,"&gt;="&amp;ROUND($A101,6),IEX_TIME,"&lt;"&amp;ROUND($A101+$B$5/1440,6))/($B$4-$B$3+1),0)</f>
        <v/>
      </c>
      <c r="G101" s="65">
        <f>IFERROR(SUMIFS(VER_REQ,VER_DATE,"&gt;="&amp;$B$3,VER_DATE,"&lt;="&amp;$B$4,VER_SITE,$D$3,VER_QUEUE,$D$4,VER_CHAN,$D$5,VER_TIME,"&gt;="&amp;ROUND($A101,6),VER_TIME,"&lt;"&amp;ROUND($A101+$B$5/1440,6))/($B$4-$B$3+1),0)</f>
        <v/>
      </c>
      <c r="H101" s="65">
        <f>IFERROR(SUMIFS(IEX_REQ,IEX_DATE,"&gt;="&amp;$B$3,IEX_DATE,"&lt;="&amp;$B$4,IEX_SITE,$D$3,IEX_QUEUE,$D$4,IEX_CHAN,$D$5,IEX_TIME,"&gt;="&amp;ROUND($A101,6),IEX_TIME,"&lt;"&amp;ROUND($A101+$B$5/1440,6))/($B$4-$B$3+1),0)</f>
        <v/>
      </c>
    </row>
    <row r="102">
      <c r="A102" s="66">
        <f>A101+$B$5/1440</f>
        <v/>
      </c>
      <c r="B102" s="67">
        <f>TEXT(A102,"h:mm AM/PM")&amp;" - "&amp;TEXT(A102+$B$5/1440,"h:mm AM/PM")</f>
        <v/>
      </c>
      <c r="C102" s="65">
        <f>IFERROR(SUMIFS(VER_OFFERED,VER_DATE,"&gt;="&amp;$B$3,VER_DATE,"&lt;="&amp;$B$4,VER_SITE,$D$3,VER_QUEUE,$D$4,VER_CHAN,$D$5,VER_TIME,"&gt;="&amp;ROUND($A102,6),VER_TIME,"&lt;"&amp;ROUND($A102+$B$5/1440,6)),0)</f>
        <v/>
      </c>
      <c r="D102" s="65">
        <f>IFERROR(SUMIFS(IEX_OFFERED,IEX_DATE,"&gt;="&amp;$B$3,IEX_DATE,"&lt;="&amp;$B$4,IEX_SITE,$D$3,IEX_QUEUE,$D$4,IEX_CHAN,$D$5,IEX_TIME,"&gt;="&amp;ROUND($A102,6),IEX_TIME,"&lt;"&amp;ROUND($A102+$B$5/1440,6)),0)</f>
        <v/>
      </c>
      <c r="E102" s="65">
        <f>IFERROR(SUMIFS(VER_STAFFED,VER_DATE,"&gt;="&amp;$B$3,VER_DATE,"&lt;="&amp;$B$4,VER_SITE,$D$3,VER_QUEUE,$D$4,VER_CHAN,$D$5,VER_TIME,"&gt;="&amp;ROUND($A102,6),VER_TIME,"&lt;"&amp;ROUND($A102+$B$5/1440,6))/($B$4-$B$3+1),0)</f>
        <v/>
      </c>
      <c r="F102" s="65">
        <f>IFERROR(SUMIFS(IEX_STAFFED,IEX_DATE,"&gt;="&amp;$B$3,IEX_DATE,"&lt;="&amp;$B$4,IEX_SITE,$D$3,IEX_QUEUE,$D$4,IEX_CHAN,$D$5,IEX_TIME,"&gt;="&amp;ROUND($A102,6),IEX_TIME,"&lt;"&amp;ROUND($A102+$B$5/1440,6))/($B$4-$B$3+1),0)</f>
        <v/>
      </c>
      <c r="G102" s="65">
        <f>IFERROR(SUMIFS(VER_REQ,VER_DATE,"&gt;="&amp;$B$3,VER_DATE,"&lt;="&amp;$B$4,VER_SITE,$D$3,VER_QUEUE,$D$4,VER_CHAN,$D$5,VER_TIME,"&gt;="&amp;ROUND($A102,6),VER_TIME,"&lt;"&amp;ROUND($A102+$B$5/1440,6))/($B$4-$B$3+1),0)</f>
        <v/>
      </c>
      <c r="H102" s="65">
        <f>IFERROR(SUMIFS(IEX_REQ,IEX_DATE,"&gt;="&amp;$B$3,IEX_DATE,"&lt;="&amp;$B$4,IEX_SITE,$D$3,IEX_QUEUE,$D$4,IEX_CHAN,$D$5,IEX_TIME,"&gt;="&amp;ROUND($A102,6),IEX_TIME,"&lt;"&amp;ROUND($A102+$B$5/1440,6))/($B$4-$B$3+1),0)</f>
        <v/>
      </c>
    </row>
    <row r="103">
      <c r="A103" s="66">
        <f>A102+$B$5/1440</f>
        <v/>
      </c>
      <c r="B103" s="67">
        <f>TEXT(A103,"h:mm AM/PM")&amp;" - "&amp;TEXT(A103+$B$5/1440,"h:mm AM/PM")</f>
        <v/>
      </c>
      <c r="C103" s="65">
        <f>IFERROR(SUMIFS(VER_OFFERED,VER_DATE,"&gt;="&amp;$B$3,VER_DATE,"&lt;="&amp;$B$4,VER_SITE,$D$3,VER_QUEUE,$D$4,VER_CHAN,$D$5,VER_TIME,"&gt;="&amp;ROUND($A103,6),VER_TIME,"&lt;"&amp;ROUND($A103+$B$5/1440,6)),0)</f>
        <v/>
      </c>
      <c r="D103" s="65">
        <f>IFERROR(SUMIFS(IEX_OFFERED,IEX_DATE,"&gt;="&amp;$B$3,IEX_DATE,"&lt;="&amp;$B$4,IEX_SITE,$D$3,IEX_QUEUE,$D$4,IEX_CHAN,$D$5,IEX_TIME,"&gt;="&amp;ROUND($A103,6),IEX_TIME,"&lt;"&amp;ROUND($A103+$B$5/1440,6)),0)</f>
        <v/>
      </c>
      <c r="E103" s="65">
        <f>IFERROR(SUMIFS(VER_STAFFED,VER_DATE,"&gt;="&amp;$B$3,VER_DATE,"&lt;="&amp;$B$4,VER_SITE,$D$3,VER_QUEUE,$D$4,VER_CHAN,$D$5,VER_TIME,"&gt;="&amp;ROUND($A103,6),VER_TIME,"&lt;"&amp;ROUND($A103+$B$5/1440,6))/($B$4-$B$3+1),0)</f>
        <v/>
      </c>
      <c r="F103" s="65">
        <f>IFERROR(SUMIFS(IEX_STAFFED,IEX_DATE,"&gt;="&amp;$B$3,IEX_DATE,"&lt;="&amp;$B$4,IEX_SITE,$D$3,IEX_QUEUE,$D$4,IEX_CHAN,$D$5,IEX_TIME,"&gt;="&amp;ROUND($A103,6),IEX_TIME,"&lt;"&amp;ROUND($A103+$B$5/1440,6))/($B$4-$B$3+1),0)</f>
        <v/>
      </c>
      <c r="G103" s="65">
        <f>IFERROR(SUMIFS(VER_REQ,VER_DATE,"&gt;="&amp;$B$3,VER_DATE,"&lt;="&amp;$B$4,VER_SITE,$D$3,VER_QUEUE,$D$4,VER_CHAN,$D$5,VER_TIME,"&gt;="&amp;ROUND($A103,6),VER_TIME,"&lt;"&amp;ROUND($A103+$B$5/1440,6))/($B$4-$B$3+1),0)</f>
        <v/>
      </c>
      <c r="H103" s="65">
        <f>IFERROR(SUMIFS(IEX_REQ,IEX_DATE,"&gt;="&amp;$B$3,IEX_DATE,"&lt;="&amp;$B$4,IEX_SITE,$D$3,IEX_QUEUE,$D$4,IEX_CHAN,$D$5,IEX_TIME,"&gt;="&amp;ROUND($A103,6),IEX_TIME,"&lt;"&amp;ROUND($A103+$B$5/1440,6))/($B$4-$B$3+1),0)</f>
        <v/>
      </c>
    </row>
    <row r="104">
      <c r="A104" s="66">
        <f>A103+$B$5/1440</f>
        <v/>
      </c>
      <c r="B104" s="67">
        <f>TEXT(A104,"h:mm AM/PM")&amp;" - "&amp;TEXT(A104+$B$5/1440,"h:mm AM/PM")</f>
        <v/>
      </c>
      <c r="C104" s="65">
        <f>IFERROR(SUMIFS(VER_OFFERED,VER_DATE,"&gt;="&amp;$B$3,VER_DATE,"&lt;="&amp;$B$4,VER_SITE,$D$3,VER_QUEUE,$D$4,VER_CHAN,$D$5,VER_TIME,"&gt;="&amp;ROUND($A104,6),VER_TIME,"&lt;"&amp;ROUND($A104+$B$5/1440,6)),0)</f>
        <v/>
      </c>
      <c r="D104" s="65">
        <f>IFERROR(SUMIFS(IEX_OFFERED,IEX_DATE,"&gt;="&amp;$B$3,IEX_DATE,"&lt;="&amp;$B$4,IEX_SITE,$D$3,IEX_QUEUE,$D$4,IEX_CHAN,$D$5,IEX_TIME,"&gt;="&amp;ROUND($A104,6),IEX_TIME,"&lt;"&amp;ROUND($A104+$B$5/1440,6)),0)</f>
        <v/>
      </c>
      <c r="E104" s="65">
        <f>IFERROR(SUMIFS(VER_STAFFED,VER_DATE,"&gt;="&amp;$B$3,VER_DATE,"&lt;="&amp;$B$4,VER_SITE,$D$3,VER_QUEUE,$D$4,VER_CHAN,$D$5,VER_TIME,"&gt;="&amp;ROUND($A104,6),VER_TIME,"&lt;"&amp;ROUND($A104+$B$5/1440,6))/($B$4-$B$3+1),0)</f>
        <v/>
      </c>
      <c r="F104" s="65">
        <f>IFERROR(SUMIFS(IEX_STAFFED,IEX_DATE,"&gt;="&amp;$B$3,IEX_DATE,"&lt;="&amp;$B$4,IEX_SITE,$D$3,IEX_QUEUE,$D$4,IEX_CHAN,$D$5,IEX_TIME,"&gt;="&amp;ROUND($A104,6),IEX_TIME,"&lt;"&amp;ROUND($A104+$B$5/1440,6))/($B$4-$B$3+1),0)</f>
        <v/>
      </c>
      <c r="G104" s="65">
        <f>IFERROR(SUMIFS(VER_REQ,VER_DATE,"&gt;="&amp;$B$3,VER_DATE,"&lt;="&amp;$B$4,VER_SITE,$D$3,VER_QUEUE,$D$4,VER_CHAN,$D$5,VER_TIME,"&gt;="&amp;ROUND($A104,6),VER_TIME,"&lt;"&amp;ROUND($A104+$B$5/1440,6))/($B$4-$B$3+1),0)</f>
        <v/>
      </c>
      <c r="H104" s="65">
        <f>IFERROR(SUMIFS(IEX_REQ,IEX_DATE,"&gt;="&amp;$B$3,IEX_DATE,"&lt;="&amp;$B$4,IEX_SITE,$D$3,IEX_QUEUE,$D$4,IEX_CHAN,$D$5,IEX_TIME,"&gt;="&amp;ROUND($A104,6),IEX_TIME,"&lt;"&amp;ROUND($A104+$B$5/1440,6))/($B$4-$B$3+1),0)</f>
        <v/>
      </c>
    </row>
    <row r="105">
      <c r="A105" s="66">
        <f>A104+$B$5/1440</f>
        <v/>
      </c>
      <c r="B105" s="67">
        <f>TEXT(A105,"h:mm AM/PM")&amp;" - "&amp;TEXT(A105+$B$5/1440,"h:mm AM/PM")</f>
        <v/>
      </c>
      <c r="C105" s="65">
        <f>IFERROR(SUMIFS(VER_OFFERED,VER_DATE,"&gt;="&amp;$B$3,VER_DATE,"&lt;="&amp;$B$4,VER_SITE,$D$3,VER_QUEUE,$D$4,VER_CHAN,$D$5,VER_TIME,"&gt;="&amp;ROUND($A105,6),VER_TIME,"&lt;"&amp;ROUND($A105+$B$5/1440,6)),0)</f>
        <v/>
      </c>
      <c r="D105" s="65">
        <f>IFERROR(SUMIFS(IEX_OFFERED,IEX_DATE,"&gt;="&amp;$B$3,IEX_DATE,"&lt;="&amp;$B$4,IEX_SITE,$D$3,IEX_QUEUE,$D$4,IEX_CHAN,$D$5,IEX_TIME,"&gt;="&amp;ROUND($A105,6),IEX_TIME,"&lt;"&amp;ROUND($A105+$B$5/1440,6)),0)</f>
        <v/>
      </c>
      <c r="E105" s="65">
        <f>IFERROR(SUMIFS(VER_STAFFED,VER_DATE,"&gt;="&amp;$B$3,VER_DATE,"&lt;="&amp;$B$4,VER_SITE,$D$3,VER_QUEUE,$D$4,VER_CHAN,$D$5,VER_TIME,"&gt;="&amp;ROUND($A105,6),VER_TIME,"&lt;"&amp;ROUND($A105+$B$5/1440,6))/($B$4-$B$3+1),0)</f>
        <v/>
      </c>
      <c r="F105" s="65">
        <f>IFERROR(SUMIFS(IEX_STAFFED,IEX_DATE,"&gt;="&amp;$B$3,IEX_DATE,"&lt;="&amp;$B$4,IEX_SITE,$D$3,IEX_QUEUE,$D$4,IEX_CHAN,$D$5,IEX_TIME,"&gt;="&amp;ROUND($A105,6),IEX_TIME,"&lt;"&amp;ROUND($A105+$B$5/1440,6))/($B$4-$B$3+1),0)</f>
        <v/>
      </c>
      <c r="G105" s="65">
        <f>IFERROR(SUMIFS(VER_REQ,VER_DATE,"&gt;="&amp;$B$3,VER_DATE,"&lt;="&amp;$B$4,VER_SITE,$D$3,VER_QUEUE,$D$4,VER_CHAN,$D$5,VER_TIME,"&gt;="&amp;ROUND($A105,6),VER_TIME,"&lt;"&amp;ROUND($A105+$B$5/1440,6))/($B$4-$B$3+1),0)</f>
        <v/>
      </c>
      <c r="H105" s="65">
        <f>IFERROR(SUMIFS(IEX_REQ,IEX_DATE,"&gt;="&amp;$B$3,IEX_DATE,"&lt;="&amp;$B$4,IEX_SITE,$D$3,IEX_QUEUE,$D$4,IEX_CHAN,$D$5,IEX_TIME,"&gt;="&amp;ROUND($A105,6),IEX_TIME,"&lt;"&amp;ROUND($A105+$B$5/1440,6))/($B$4-$B$3+1),0)</f>
        <v/>
      </c>
    </row>
    <row r="106">
      <c r="A106" s="66">
        <f>A105+$B$5/1440</f>
        <v/>
      </c>
      <c r="B106" s="67">
        <f>TEXT(A106,"h:mm AM/PM")&amp;" - "&amp;TEXT(A106+$B$5/1440,"h:mm AM/PM")</f>
        <v/>
      </c>
      <c r="C106" s="65">
        <f>IFERROR(SUMIFS(VER_OFFERED,VER_DATE,"&gt;="&amp;$B$3,VER_DATE,"&lt;="&amp;$B$4,VER_SITE,$D$3,VER_QUEUE,$D$4,VER_CHAN,$D$5,VER_TIME,"&gt;="&amp;ROUND($A106,6),VER_TIME,"&lt;"&amp;ROUND($A106+$B$5/1440,6)),0)</f>
        <v/>
      </c>
      <c r="D106" s="65">
        <f>IFERROR(SUMIFS(IEX_OFFERED,IEX_DATE,"&gt;="&amp;$B$3,IEX_DATE,"&lt;="&amp;$B$4,IEX_SITE,$D$3,IEX_QUEUE,$D$4,IEX_CHAN,$D$5,IEX_TIME,"&gt;="&amp;ROUND($A106,6),IEX_TIME,"&lt;"&amp;ROUND($A106+$B$5/1440,6)),0)</f>
        <v/>
      </c>
      <c r="E106" s="65">
        <f>IFERROR(SUMIFS(VER_STAFFED,VER_DATE,"&gt;="&amp;$B$3,VER_DATE,"&lt;="&amp;$B$4,VER_SITE,$D$3,VER_QUEUE,$D$4,VER_CHAN,$D$5,VER_TIME,"&gt;="&amp;ROUND($A106,6),VER_TIME,"&lt;"&amp;ROUND($A106+$B$5/1440,6))/($B$4-$B$3+1),0)</f>
        <v/>
      </c>
      <c r="F106" s="65">
        <f>IFERROR(SUMIFS(IEX_STAFFED,IEX_DATE,"&gt;="&amp;$B$3,IEX_DATE,"&lt;="&amp;$B$4,IEX_SITE,$D$3,IEX_QUEUE,$D$4,IEX_CHAN,$D$5,IEX_TIME,"&gt;="&amp;ROUND($A106,6),IEX_TIME,"&lt;"&amp;ROUND($A106+$B$5/1440,6))/($B$4-$B$3+1),0)</f>
        <v/>
      </c>
      <c r="G106" s="65">
        <f>IFERROR(SUMIFS(VER_REQ,VER_DATE,"&gt;="&amp;$B$3,VER_DATE,"&lt;="&amp;$B$4,VER_SITE,$D$3,VER_QUEUE,$D$4,VER_CHAN,$D$5,VER_TIME,"&gt;="&amp;ROUND($A106,6),VER_TIME,"&lt;"&amp;ROUND($A106+$B$5/1440,6))/($B$4-$B$3+1),0)</f>
        <v/>
      </c>
      <c r="H106" s="65">
        <f>IFERROR(SUMIFS(IEX_REQ,IEX_DATE,"&gt;="&amp;$B$3,IEX_DATE,"&lt;="&amp;$B$4,IEX_SITE,$D$3,IEX_QUEUE,$D$4,IEX_CHAN,$D$5,IEX_TIME,"&gt;="&amp;ROUND($A106,6),IEX_TIME,"&lt;"&amp;ROUND($A106+$B$5/1440,6))/($B$4-$B$3+1),0)</f>
        <v/>
      </c>
    </row>
    <row r="107">
      <c r="A107" s="66">
        <f>A106+$B$5/1440</f>
        <v/>
      </c>
      <c r="B107" s="67">
        <f>TEXT(A107,"h:mm AM/PM")&amp;" - "&amp;TEXT(A107+$B$5/1440,"h:mm AM/PM")</f>
        <v/>
      </c>
      <c r="C107" s="65">
        <f>IFERROR(SUMIFS(VER_OFFERED,VER_DATE,"&gt;="&amp;$B$3,VER_DATE,"&lt;="&amp;$B$4,VER_SITE,$D$3,VER_QUEUE,$D$4,VER_CHAN,$D$5,VER_TIME,"&gt;="&amp;ROUND($A107,6),VER_TIME,"&lt;"&amp;ROUND($A107+$B$5/1440,6)),0)</f>
        <v/>
      </c>
      <c r="D107" s="65">
        <f>IFERROR(SUMIFS(IEX_OFFERED,IEX_DATE,"&gt;="&amp;$B$3,IEX_DATE,"&lt;="&amp;$B$4,IEX_SITE,$D$3,IEX_QUEUE,$D$4,IEX_CHAN,$D$5,IEX_TIME,"&gt;="&amp;ROUND($A107,6),IEX_TIME,"&lt;"&amp;ROUND($A107+$B$5/1440,6)),0)</f>
        <v/>
      </c>
      <c r="E107" s="65">
        <f>IFERROR(SUMIFS(VER_STAFFED,VER_DATE,"&gt;="&amp;$B$3,VER_DATE,"&lt;="&amp;$B$4,VER_SITE,$D$3,VER_QUEUE,$D$4,VER_CHAN,$D$5,VER_TIME,"&gt;="&amp;ROUND($A107,6),VER_TIME,"&lt;"&amp;ROUND($A107+$B$5/1440,6))/($B$4-$B$3+1),0)</f>
        <v/>
      </c>
      <c r="F107" s="65">
        <f>IFERROR(SUMIFS(IEX_STAFFED,IEX_DATE,"&gt;="&amp;$B$3,IEX_DATE,"&lt;="&amp;$B$4,IEX_SITE,$D$3,IEX_QUEUE,$D$4,IEX_CHAN,$D$5,IEX_TIME,"&gt;="&amp;ROUND($A107,6),IEX_TIME,"&lt;"&amp;ROUND($A107+$B$5/1440,6))/($B$4-$B$3+1),0)</f>
        <v/>
      </c>
      <c r="G107" s="65">
        <f>IFERROR(SUMIFS(VER_REQ,VER_DATE,"&gt;="&amp;$B$3,VER_DATE,"&lt;="&amp;$B$4,VER_SITE,$D$3,VER_QUEUE,$D$4,VER_CHAN,$D$5,VER_TIME,"&gt;="&amp;ROUND($A107,6),VER_TIME,"&lt;"&amp;ROUND($A107+$B$5/1440,6))/($B$4-$B$3+1),0)</f>
        <v/>
      </c>
      <c r="H107" s="65">
        <f>IFERROR(SUMIFS(IEX_REQ,IEX_DATE,"&gt;="&amp;$B$3,IEX_DATE,"&lt;="&amp;$B$4,IEX_SITE,$D$3,IEX_QUEUE,$D$4,IEX_CHAN,$D$5,IEX_TIME,"&gt;="&amp;ROUND($A107,6),IEX_TIME,"&lt;"&amp;ROUND($A107+$B$5/1440,6))/($B$4-$B$3+1),0)</f>
        <v/>
      </c>
    </row>
    <row r="108">
      <c r="A108" s="66">
        <f>A107+$B$5/1440</f>
        <v/>
      </c>
      <c r="B108" s="67">
        <f>TEXT(A108,"h:mm AM/PM")&amp;" - "&amp;TEXT(A108+$B$5/1440,"h:mm AM/PM")</f>
        <v/>
      </c>
      <c r="C108" s="65">
        <f>IFERROR(SUMIFS(VER_OFFERED,VER_DATE,"&gt;="&amp;$B$3,VER_DATE,"&lt;="&amp;$B$4,VER_SITE,$D$3,VER_QUEUE,$D$4,VER_CHAN,$D$5,VER_TIME,"&gt;="&amp;ROUND($A108,6),VER_TIME,"&lt;"&amp;ROUND($A108+$B$5/1440,6)),0)</f>
        <v/>
      </c>
      <c r="D108" s="65">
        <f>IFERROR(SUMIFS(IEX_OFFERED,IEX_DATE,"&gt;="&amp;$B$3,IEX_DATE,"&lt;="&amp;$B$4,IEX_SITE,$D$3,IEX_QUEUE,$D$4,IEX_CHAN,$D$5,IEX_TIME,"&gt;="&amp;ROUND($A108,6),IEX_TIME,"&lt;"&amp;ROUND($A108+$B$5/1440,6)),0)</f>
        <v/>
      </c>
      <c r="E108" s="65">
        <f>IFERROR(SUMIFS(VER_STAFFED,VER_DATE,"&gt;="&amp;$B$3,VER_DATE,"&lt;="&amp;$B$4,VER_SITE,$D$3,VER_QUEUE,$D$4,VER_CHAN,$D$5,VER_TIME,"&gt;="&amp;ROUND($A108,6),VER_TIME,"&lt;"&amp;ROUND($A108+$B$5/1440,6))/($B$4-$B$3+1),0)</f>
        <v/>
      </c>
      <c r="F108" s="65">
        <f>IFERROR(SUMIFS(IEX_STAFFED,IEX_DATE,"&gt;="&amp;$B$3,IEX_DATE,"&lt;="&amp;$B$4,IEX_SITE,$D$3,IEX_QUEUE,$D$4,IEX_CHAN,$D$5,IEX_TIME,"&gt;="&amp;ROUND($A108,6),IEX_TIME,"&lt;"&amp;ROUND($A108+$B$5/1440,6))/($B$4-$B$3+1),0)</f>
        <v/>
      </c>
      <c r="G108" s="65">
        <f>IFERROR(SUMIFS(VER_REQ,VER_DATE,"&gt;="&amp;$B$3,VER_DATE,"&lt;="&amp;$B$4,VER_SITE,$D$3,VER_QUEUE,$D$4,VER_CHAN,$D$5,VER_TIME,"&gt;="&amp;ROUND($A108,6),VER_TIME,"&lt;"&amp;ROUND($A108+$B$5/1440,6))/($B$4-$B$3+1),0)</f>
        <v/>
      </c>
      <c r="H108" s="65">
        <f>IFERROR(SUMIFS(IEX_REQ,IEX_DATE,"&gt;="&amp;$B$3,IEX_DATE,"&lt;="&amp;$B$4,IEX_SITE,$D$3,IEX_QUEUE,$D$4,IEX_CHAN,$D$5,IEX_TIME,"&gt;="&amp;ROUND($A108,6),IEX_TIME,"&lt;"&amp;ROUND($A108+$B$5/1440,6))/($B$4-$B$3+1),0)</f>
        <v/>
      </c>
    </row>
    <row r="109">
      <c r="A109" s="66">
        <f>A108+$B$5/1440</f>
        <v/>
      </c>
      <c r="B109" s="67">
        <f>TEXT(A109,"h:mm AM/PM")&amp;" - "&amp;TEXT(A109+$B$5/1440,"h:mm AM/PM")</f>
        <v/>
      </c>
      <c r="C109" s="65">
        <f>IFERROR(SUMIFS(VER_OFFERED,VER_DATE,"&gt;="&amp;$B$3,VER_DATE,"&lt;="&amp;$B$4,VER_SITE,$D$3,VER_QUEUE,$D$4,VER_CHAN,$D$5,VER_TIME,"&gt;="&amp;ROUND($A109,6),VER_TIME,"&lt;"&amp;ROUND($A109+$B$5/1440,6)),0)</f>
        <v/>
      </c>
      <c r="D109" s="65">
        <f>IFERROR(SUMIFS(IEX_OFFERED,IEX_DATE,"&gt;="&amp;$B$3,IEX_DATE,"&lt;="&amp;$B$4,IEX_SITE,$D$3,IEX_QUEUE,$D$4,IEX_CHAN,$D$5,IEX_TIME,"&gt;="&amp;ROUND($A109,6),IEX_TIME,"&lt;"&amp;ROUND($A109+$B$5/1440,6)),0)</f>
        <v/>
      </c>
      <c r="E109" s="65">
        <f>IFERROR(SUMIFS(VER_STAFFED,VER_DATE,"&gt;="&amp;$B$3,VER_DATE,"&lt;="&amp;$B$4,VER_SITE,$D$3,VER_QUEUE,$D$4,VER_CHAN,$D$5,VER_TIME,"&gt;="&amp;ROUND($A109,6),VER_TIME,"&lt;"&amp;ROUND($A109+$B$5/1440,6))/($B$4-$B$3+1),0)</f>
        <v/>
      </c>
      <c r="F109" s="65">
        <f>IFERROR(SUMIFS(IEX_STAFFED,IEX_DATE,"&gt;="&amp;$B$3,IEX_DATE,"&lt;="&amp;$B$4,IEX_SITE,$D$3,IEX_QUEUE,$D$4,IEX_CHAN,$D$5,IEX_TIME,"&gt;="&amp;ROUND($A109,6),IEX_TIME,"&lt;"&amp;ROUND($A109+$B$5/1440,6))/($B$4-$B$3+1),0)</f>
        <v/>
      </c>
      <c r="G109" s="65">
        <f>IFERROR(SUMIFS(VER_REQ,VER_DATE,"&gt;="&amp;$B$3,VER_DATE,"&lt;="&amp;$B$4,VER_SITE,$D$3,VER_QUEUE,$D$4,VER_CHAN,$D$5,VER_TIME,"&gt;="&amp;ROUND($A109,6),VER_TIME,"&lt;"&amp;ROUND($A109+$B$5/1440,6))/($B$4-$B$3+1),0)</f>
        <v/>
      </c>
      <c r="H109" s="65">
        <f>IFERROR(SUMIFS(IEX_REQ,IEX_DATE,"&gt;="&amp;$B$3,IEX_DATE,"&lt;="&amp;$B$4,IEX_SITE,$D$3,IEX_QUEUE,$D$4,IEX_CHAN,$D$5,IEX_TIME,"&gt;="&amp;ROUND($A109,6),IEX_TIME,"&lt;"&amp;ROUND($A109+$B$5/1440,6))/($B$4-$B$3+1),0)</f>
        <v/>
      </c>
    </row>
    <row r="110">
      <c r="A110" s="66">
        <f>A109+$B$5/1440</f>
        <v/>
      </c>
      <c r="B110" s="67">
        <f>TEXT(A110,"h:mm AM/PM")&amp;" - "&amp;TEXT(A110+$B$5/1440,"h:mm AM/PM")</f>
        <v/>
      </c>
      <c r="C110" s="65">
        <f>IFERROR(SUMIFS(VER_OFFERED,VER_DATE,"&gt;="&amp;$B$3,VER_DATE,"&lt;="&amp;$B$4,VER_SITE,$D$3,VER_QUEUE,$D$4,VER_CHAN,$D$5,VER_TIME,"&gt;="&amp;ROUND($A110,6),VER_TIME,"&lt;"&amp;ROUND($A110+$B$5/1440,6)),0)</f>
        <v/>
      </c>
      <c r="D110" s="65">
        <f>IFERROR(SUMIFS(IEX_OFFERED,IEX_DATE,"&gt;="&amp;$B$3,IEX_DATE,"&lt;="&amp;$B$4,IEX_SITE,$D$3,IEX_QUEUE,$D$4,IEX_CHAN,$D$5,IEX_TIME,"&gt;="&amp;ROUND($A110,6),IEX_TIME,"&lt;"&amp;ROUND($A110+$B$5/1440,6)),0)</f>
        <v/>
      </c>
      <c r="E110" s="65">
        <f>IFERROR(SUMIFS(VER_STAFFED,VER_DATE,"&gt;="&amp;$B$3,VER_DATE,"&lt;="&amp;$B$4,VER_SITE,$D$3,VER_QUEUE,$D$4,VER_CHAN,$D$5,VER_TIME,"&gt;="&amp;ROUND($A110,6),VER_TIME,"&lt;"&amp;ROUND($A110+$B$5/1440,6))/($B$4-$B$3+1),0)</f>
        <v/>
      </c>
      <c r="F110" s="65">
        <f>IFERROR(SUMIFS(IEX_STAFFED,IEX_DATE,"&gt;="&amp;$B$3,IEX_DATE,"&lt;="&amp;$B$4,IEX_SITE,$D$3,IEX_QUEUE,$D$4,IEX_CHAN,$D$5,IEX_TIME,"&gt;="&amp;ROUND($A110,6),IEX_TIME,"&lt;"&amp;ROUND($A110+$B$5/1440,6))/($B$4-$B$3+1),0)</f>
        <v/>
      </c>
      <c r="G110" s="65">
        <f>IFERROR(SUMIFS(VER_REQ,VER_DATE,"&gt;="&amp;$B$3,VER_DATE,"&lt;="&amp;$B$4,VER_SITE,$D$3,VER_QUEUE,$D$4,VER_CHAN,$D$5,VER_TIME,"&gt;="&amp;ROUND($A110,6),VER_TIME,"&lt;"&amp;ROUND($A110+$B$5/1440,6))/($B$4-$B$3+1),0)</f>
        <v/>
      </c>
      <c r="H110" s="65">
        <f>IFERROR(SUMIFS(IEX_REQ,IEX_DATE,"&gt;="&amp;$B$3,IEX_DATE,"&lt;="&amp;$B$4,IEX_SITE,$D$3,IEX_QUEUE,$D$4,IEX_CHAN,$D$5,IEX_TIME,"&gt;="&amp;ROUND($A110,6),IEX_TIME,"&lt;"&amp;ROUND($A110+$B$5/1440,6))/($B$4-$B$3+1),0)</f>
        <v/>
      </c>
    </row>
    <row r="111">
      <c r="A111" s="66">
        <f>A110+$B$5/1440</f>
        <v/>
      </c>
      <c r="B111" s="67">
        <f>TEXT(A111,"h:mm AM/PM")&amp;" - "&amp;TEXT(A111+$B$5/1440,"h:mm AM/PM")</f>
        <v/>
      </c>
      <c r="C111" s="65">
        <f>IFERROR(SUMIFS(VER_OFFERED,VER_DATE,"&gt;="&amp;$B$3,VER_DATE,"&lt;="&amp;$B$4,VER_SITE,$D$3,VER_QUEUE,$D$4,VER_CHAN,$D$5,VER_TIME,"&gt;="&amp;ROUND($A111,6),VER_TIME,"&lt;"&amp;ROUND($A111+$B$5/1440,6)),0)</f>
        <v/>
      </c>
      <c r="D111" s="65">
        <f>IFERROR(SUMIFS(IEX_OFFERED,IEX_DATE,"&gt;="&amp;$B$3,IEX_DATE,"&lt;="&amp;$B$4,IEX_SITE,$D$3,IEX_QUEUE,$D$4,IEX_CHAN,$D$5,IEX_TIME,"&gt;="&amp;ROUND($A111,6),IEX_TIME,"&lt;"&amp;ROUND($A111+$B$5/1440,6)),0)</f>
        <v/>
      </c>
      <c r="E111" s="65">
        <f>IFERROR(SUMIFS(VER_STAFFED,VER_DATE,"&gt;="&amp;$B$3,VER_DATE,"&lt;="&amp;$B$4,VER_SITE,$D$3,VER_QUEUE,$D$4,VER_CHAN,$D$5,VER_TIME,"&gt;="&amp;ROUND($A111,6),VER_TIME,"&lt;"&amp;ROUND($A111+$B$5/1440,6))/($B$4-$B$3+1),0)</f>
        <v/>
      </c>
      <c r="F111" s="65">
        <f>IFERROR(SUMIFS(IEX_STAFFED,IEX_DATE,"&gt;="&amp;$B$3,IEX_DATE,"&lt;="&amp;$B$4,IEX_SITE,$D$3,IEX_QUEUE,$D$4,IEX_CHAN,$D$5,IEX_TIME,"&gt;="&amp;ROUND($A111,6),IEX_TIME,"&lt;"&amp;ROUND($A111+$B$5/1440,6))/($B$4-$B$3+1),0)</f>
        <v/>
      </c>
      <c r="G111" s="65">
        <f>IFERROR(SUMIFS(VER_REQ,VER_DATE,"&gt;="&amp;$B$3,VER_DATE,"&lt;="&amp;$B$4,VER_SITE,$D$3,VER_QUEUE,$D$4,VER_CHAN,$D$5,VER_TIME,"&gt;="&amp;ROUND($A111,6),VER_TIME,"&lt;"&amp;ROUND($A111+$B$5/1440,6))/($B$4-$B$3+1),0)</f>
        <v/>
      </c>
      <c r="H111" s="65">
        <f>IFERROR(SUMIFS(IEX_REQ,IEX_DATE,"&gt;="&amp;$B$3,IEX_DATE,"&lt;="&amp;$B$4,IEX_SITE,$D$3,IEX_QUEUE,$D$4,IEX_CHAN,$D$5,IEX_TIME,"&gt;="&amp;ROUND($A111,6),IEX_TIME,"&lt;"&amp;ROUND($A111+$B$5/1440,6))/($B$4-$B$3+1),0)</f>
        <v/>
      </c>
    </row>
    <row r="112">
      <c r="A112" s="66">
        <f>A111+$B$5/1440</f>
        <v/>
      </c>
      <c r="B112" s="67">
        <f>TEXT(A112,"h:mm AM/PM")&amp;" - "&amp;TEXT(A112+$B$5/1440,"h:mm AM/PM")</f>
        <v/>
      </c>
      <c r="C112" s="65">
        <f>IFERROR(SUMIFS(VER_OFFERED,VER_DATE,"&gt;="&amp;$B$3,VER_DATE,"&lt;="&amp;$B$4,VER_SITE,$D$3,VER_QUEUE,$D$4,VER_CHAN,$D$5,VER_TIME,"&gt;="&amp;ROUND($A112,6),VER_TIME,"&lt;"&amp;ROUND($A112+$B$5/1440,6)),0)</f>
        <v/>
      </c>
      <c r="D112" s="65">
        <f>IFERROR(SUMIFS(IEX_OFFERED,IEX_DATE,"&gt;="&amp;$B$3,IEX_DATE,"&lt;="&amp;$B$4,IEX_SITE,$D$3,IEX_QUEUE,$D$4,IEX_CHAN,$D$5,IEX_TIME,"&gt;="&amp;ROUND($A112,6),IEX_TIME,"&lt;"&amp;ROUND($A112+$B$5/1440,6)),0)</f>
        <v/>
      </c>
      <c r="E112" s="65">
        <f>IFERROR(SUMIFS(VER_STAFFED,VER_DATE,"&gt;="&amp;$B$3,VER_DATE,"&lt;="&amp;$B$4,VER_SITE,$D$3,VER_QUEUE,$D$4,VER_CHAN,$D$5,VER_TIME,"&gt;="&amp;ROUND($A112,6),VER_TIME,"&lt;"&amp;ROUND($A112+$B$5/1440,6))/($B$4-$B$3+1),0)</f>
        <v/>
      </c>
      <c r="F112" s="65">
        <f>IFERROR(SUMIFS(IEX_STAFFED,IEX_DATE,"&gt;="&amp;$B$3,IEX_DATE,"&lt;="&amp;$B$4,IEX_SITE,$D$3,IEX_QUEUE,$D$4,IEX_CHAN,$D$5,IEX_TIME,"&gt;="&amp;ROUND($A112,6),IEX_TIME,"&lt;"&amp;ROUND($A112+$B$5/1440,6))/($B$4-$B$3+1),0)</f>
        <v/>
      </c>
      <c r="G112" s="65">
        <f>IFERROR(SUMIFS(VER_REQ,VER_DATE,"&gt;="&amp;$B$3,VER_DATE,"&lt;="&amp;$B$4,VER_SITE,$D$3,VER_QUEUE,$D$4,VER_CHAN,$D$5,VER_TIME,"&gt;="&amp;ROUND($A112,6),VER_TIME,"&lt;"&amp;ROUND($A112+$B$5/1440,6))/($B$4-$B$3+1),0)</f>
        <v/>
      </c>
      <c r="H112" s="65">
        <f>IFERROR(SUMIFS(IEX_REQ,IEX_DATE,"&gt;="&amp;$B$3,IEX_DATE,"&lt;="&amp;$B$4,IEX_SITE,$D$3,IEX_QUEUE,$D$4,IEX_CHAN,$D$5,IEX_TIME,"&gt;="&amp;ROUND($A112,6),IEX_TIME,"&lt;"&amp;ROUND($A112+$B$5/1440,6))/($B$4-$B$3+1),0)</f>
        <v/>
      </c>
    </row>
    <row r="113">
      <c r="A113" s="66">
        <f>A112+$B$5/1440</f>
        <v/>
      </c>
      <c r="B113" s="67">
        <f>TEXT(A113,"h:mm AM/PM")&amp;" - "&amp;TEXT(A113+$B$5/1440,"h:mm AM/PM")</f>
        <v/>
      </c>
      <c r="C113" s="65">
        <f>IFERROR(SUMIFS(VER_OFFERED,VER_DATE,"&gt;="&amp;$B$3,VER_DATE,"&lt;="&amp;$B$4,VER_SITE,$D$3,VER_QUEUE,$D$4,VER_CHAN,$D$5,VER_TIME,"&gt;="&amp;ROUND($A113,6),VER_TIME,"&lt;"&amp;ROUND($A113+$B$5/1440,6)),0)</f>
        <v/>
      </c>
      <c r="D113" s="65">
        <f>IFERROR(SUMIFS(IEX_OFFERED,IEX_DATE,"&gt;="&amp;$B$3,IEX_DATE,"&lt;="&amp;$B$4,IEX_SITE,$D$3,IEX_QUEUE,$D$4,IEX_CHAN,$D$5,IEX_TIME,"&gt;="&amp;ROUND($A113,6),IEX_TIME,"&lt;"&amp;ROUND($A113+$B$5/1440,6)),0)</f>
        <v/>
      </c>
      <c r="E113" s="65">
        <f>IFERROR(SUMIFS(VER_STAFFED,VER_DATE,"&gt;="&amp;$B$3,VER_DATE,"&lt;="&amp;$B$4,VER_SITE,$D$3,VER_QUEUE,$D$4,VER_CHAN,$D$5,VER_TIME,"&gt;="&amp;ROUND($A113,6),VER_TIME,"&lt;"&amp;ROUND($A113+$B$5/1440,6))/($B$4-$B$3+1),0)</f>
        <v/>
      </c>
      <c r="F113" s="65">
        <f>IFERROR(SUMIFS(IEX_STAFFED,IEX_DATE,"&gt;="&amp;$B$3,IEX_DATE,"&lt;="&amp;$B$4,IEX_SITE,$D$3,IEX_QUEUE,$D$4,IEX_CHAN,$D$5,IEX_TIME,"&gt;="&amp;ROUND($A113,6),IEX_TIME,"&lt;"&amp;ROUND($A113+$B$5/1440,6))/($B$4-$B$3+1),0)</f>
        <v/>
      </c>
      <c r="G113" s="65">
        <f>IFERROR(SUMIFS(VER_REQ,VER_DATE,"&gt;="&amp;$B$3,VER_DATE,"&lt;="&amp;$B$4,VER_SITE,$D$3,VER_QUEUE,$D$4,VER_CHAN,$D$5,VER_TIME,"&gt;="&amp;ROUND($A113,6),VER_TIME,"&lt;"&amp;ROUND($A113+$B$5/1440,6))/($B$4-$B$3+1),0)</f>
        <v/>
      </c>
      <c r="H113" s="65">
        <f>IFERROR(SUMIFS(IEX_REQ,IEX_DATE,"&gt;="&amp;$B$3,IEX_DATE,"&lt;="&amp;$B$4,IEX_SITE,$D$3,IEX_QUEUE,$D$4,IEX_CHAN,$D$5,IEX_TIME,"&gt;="&amp;ROUND($A113,6),IEX_TIME,"&lt;"&amp;ROUND($A113+$B$5/1440,6))/($B$4-$B$3+1),0)</f>
        <v/>
      </c>
    </row>
    <row r="115" ht="20" customHeight="1">
      <c r="A115" s="3" t="inlineStr">
        <is>
          <t>4. QUEUE / SKILL MIX (period, site and channel filters apply to every queue)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7">
      <c r="A117" s="60" t="inlineStr">
        <is>
          <t>Queue / Skill</t>
        </is>
      </c>
      <c r="B117" s="60" t="inlineStr">
        <is>
          <t>VERINT Offered</t>
        </is>
      </c>
      <c r="C117" s="60" t="inlineStr">
        <is>
          <t>IEX Offered</t>
        </is>
      </c>
      <c r="D117" s="60" t="inlineStr">
        <is>
          <t>VERINT Handled</t>
        </is>
      </c>
      <c r="E117" s="60" t="inlineStr">
        <is>
          <t>IEX Handled</t>
        </is>
      </c>
      <c r="F117" s="60" t="inlineStr">
        <is>
          <t>VERINT Aband %</t>
        </is>
      </c>
      <c r="G117" s="60" t="inlineStr">
        <is>
          <t>IEX Aband %</t>
        </is>
      </c>
      <c r="H117" s="60" t="inlineStr">
        <is>
          <t>VERINT SL %</t>
        </is>
      </c>
      <c r="I117" s="60" t="inlineStr">
        <is>
          <t>IEX SL %</t>
        </is>
      </c>
      <c r="J117" s="60" t="inlineStr">
        <is>
          <t>VERINT AHT</t>
        </is>
      </c>
      <c r="K117" s="60" t="inlineStr">
        <is>
          <t>IEX AHT</t>
        </is>
      </c>
    </row>
    <row r="118">
      <c r="A118" s="68">
        <f>IF(Lists!B5="","",Lists!B5)</f>
        <v/>
      </c>
      <c r="B118" s="63">
        <f>IF($A118="","",SUMIFS(VER_OFFERED,VER_DATE,"&gt;="&amp;$B$3,VER_DATE,"&lt;="&amp;$B$4,VER_SITE,$D$3,VER_QUEUE,$A118,VER_CHAN,$D$5))</f>
        <v/>
      </c>
      <c r="C118" s="63">
        <f>IF($A118="","",SUMIFS(IEX_OFFERED,IEX_DATE,"&gt;="&amp;$B$3,IEX_DATE,"&lt;="&amp;$B$4,IEX_SITE,$D$3,IEX_QUEUE,$A118,IEX_CHAN,$D$5))</f>
        <v/>
      </c>
      <c r="D118" s="63">
        <f>IF($A118="","",SUMIFS(VER_HANDLED,VER_DATE,"&gt;="&amp;$B$3,VER_DATE,"&lt;="&amp;$B$4,VER_SITE,$D$3,VER_QUEUE,$A118,VER_CHAN,$D$5))</f>
        <v/>
      </c>
      <c r="E118" s="63">
        <f>IF($A118="","",SUMIFS(IEX_HANDLED,IEX_DATE,"&gt;="&amp;$B$3,IEX_DATE,"&lt;="&amp;$B$4,IEX_SITE,$D$3,IEX_QUEUE,$A118,IEX_CHAN,$D$5))</f>
        <v/>
      </c>
      <c r="F118" s="64">
        <f>IF($A118="","",IFERROR(SUMIFS(VER_ABAND,VER_DATE,"&gt;="&amp;$B$3,VER_DATE,"&lt;="&amp;$B$4,VER_SITE,$D$3,VER_QUEUE,$A118,VER_CHAN,$D$5)/B118,0))</f>
        <v/>
      </c>
      <c r="G118" s="64">
        <f>IF($A118="","",IFERROR(SUMIFS(IEX_ABAND,IEX_DATE,"&gt;="&amp;$B$3,IEX_DATE,"&lt;="&amp;$B$4,IEX_SITE,$D$3,IEX_QUEUE,$A118,IEX_CHAN,$D$5)/C118,0))</f>
        <v/>
      </c>
      <c r="H118" s="64">
        <f>IF($A118="","",IFERROR(SUMPRODUCT((VER_DATE&gt;=$B$3)*(VER_DATE&lt;=$B$4)*(($B$6="ALL")+(VER_SITE=$B$6)-($B$6="ALL")*(VER_SITE=$B$6))*(VER_QUEUE=$A118)*(($B$8="ALL")+(VER_CHAN=$B$8)-($B$8="ALL")*(VER_CHAN=$B$8))*VER_SL*VER_OFFERED)/B118,0))</f>
        <v/>
      </c>
      <c r="I118" s="64">
        <f>IF($A118="","",IFERROR(SUMPRODUCT((IEX_DATE&gt;=$B$3)*(IEX_DATE&lt;=$B$4)*(($B$6="ALL")+(IEX_SITE=$B$6)-($B$6="ALL")*(IEX_SITE=$B$6))*(IEX_QUEUE=$A118)*(($B$8="ALL")+(IEX_CHAN=$B$8)-($B$8="ALL")*(IEX_CHAN=$B$8))*IEX_SL*IEX_OFFERED)/C118,0))</f>
        <v/>
      </c>
      <c r="J118" s="65">
        <f>IF($A118="","",IFERROR((SUMIFS(VER_TALK,VER_DATE,"&gt;="&amp;$B$3,VER_DATE,"&lt;="&amp;$B$4,VER_SITE,$D$3,VER_QUEUE,$A118,VER_CHAN,$D$5)+SUMIFS(VER_HOLD,VER_DATE,"&gt;="&amp;$B$3,VER_DATE,"&lt;="&amp;$B$4,VER_SITE,$D$3,VER_QUEUE,$A118,VER_CHAN,$D$5)+SUMIFS(VER_ACW,VER_DATE,"&gt;="&amp;$B$3,VER_DATE,"&lt;="&amp;$B$4,VER_SITE,$D$3,VER_QUEUE,$A118,VER_CHAN,$D$5))/D118,0))</f>
        <v/>
      </c>
      <c r="K118" s="65">
        <f>IF($A118="","",IFERROR((SUMIFS(IEX_TALK,IEX_DATE,"&gt;="&amp;$B$3,IEX_DATE,"&lt;="&amp;$B$4,IEX_SITE,$D$3,IEX_QUEUE,$A118,IEX_CHAN,$D$5)+SUMIFS(IEX_HOLD,IEX_DATE,"&gt;="&amp;$B$3,IEX_DATE,"&lt;="&amp;$B$4,IEX_SITE,$D$3,IEX_QUEUE,$A118,IEX_CHAN,$D$5)+SUMIFS(IEX_ACW,IEX_DATE,"&gt;="&amp;$B$3,IEX_DATE,"&lt;="&amp;$B$4,IEX_SITE,$D$3,IEX_QUEUE,$A118,IEX_CHAN,$D$5))/E118,0))</f>
        <v/>
      </c>
    </row>
    <row r="119">
      <c r="A119" s="68">
        <f>IF(Lists!B6="","",Lists!B6)</f>
        <v/>
      </c>
      <c r="B119" s="63">
        <f>IF($A119="","",SUMIFS(VER_OFFERED,VER_DATE,"&gt;="&amp;$B$3,VER_DATE,"&lt;="&amp;$B$4,VER_SITE,$D$3,VER_QUEUE,$A119,VER_CHAN,$D$5))</f>
        <v/>
      </c>
      <c r="C119" s="63">
        <f>IF($A119="","",SUMIFS(IEX_OFFERED,IEX_DATE,"&gt;="&amp;$B$3,IEX_DATE,"&lt;="&amp;$B$4,IEX_SITE,$D$3,IEX_QUEUE,$A119,IEX_CHAN,$D$5))</f>
        <v/>
      </c>
      <c r="D119" s="63">
        <f>IF($A119="","",SUMIFS(VER_HANDLED,VER_DATE,"&gt;="&amp;$B$3,VER_DATE,"&lt;="&amp;$B$4,VER_SITE,$D$3,VER_QUEUE,$A119,VER_CHAN,$D$5))</f>
        <v/>
      </c>
      <c r="E119" s="63">
        <f>IF($A119="","",SUMIFS(IEX_HANDLED,IEX_DATE,"&gt;="&amp;$B$3,IEX_DATE,"&lt;="&amp;$B$4,IEX_SITE,$D$3,IEX_QUEUE,$A119,IEX_CHAN,$D$5))</f>
        <v/>
      </c>
      <c r="F119" s="64">
        <f>IF($A119="","",IFERROR(SUMIFS(VER_ABAND,VER_DATE,"&gt;="&amp;$B$3,VER_DATE,"&lt;="&amp;$B$4,VER_SITE,$D$3,VER_QUEUE,$A119,VER_CHAN,$D$5)/B119,0))</f>
        <v/>
      </c>
      <c r="G119" s="64">
        <f>IF($A119="","",IFERROR(SUMIFS(IEX_ABAND,IEX_DATE,"&gt;="&amp;$B$3,IEX_DATE,"&lt;="&amp;$B$4,IEX_SITE,$D$3,IEX_QUEUE,$A119,IEX_CHAN,$D$5)/C119,0))</f>
        <v/>
      </c>
      <c r="H119" s="64">
        <f>IF($A119="","",IFERROR(SUMPRODUCT((VER_DATE&gt;=$B$3)*(VER_DATE&lt;=$B$4)*(($B$6="ALL")+(VER_SITE=$B$6)-($B$6="ALL")*(VER_SITE=$B$6))*(VER_QUEUE=$A119)*(($B$8="ALL")+(VER_CHAN=$B$8)-($B$8="ALL")*(VER_CHAN=$B$8))*VER_SL*VER_OFFERED)/B119,0))</f>
        <v/>
      </c>
      <c r="I119" s="64">
        <f>IF($A119="","",IFERROR(SUMPRODUCT((IEX_DATE&gt;=$B$3)*(IEX_DATE&lt;=$B$4)*(($B$6="ALL")+(IEX_SITE=$B$6)-($B$6="ALL")*(IEX_SITE=$B$6))*(IEX_QUEUE=$A119)*(($B$8="ALL")+(IEX_CHAN=$B$8)-($B$8="ALL")*(IEX_CHAN=$B$8))*IEX_SL*IEX_OFFERED)/C119,0))</f>
        <v/>
      </c>
      <c r="J119" s="65">
        <f>IF($A119="","",IFERROR((SUMIFS(VER_TALK,VER_DATE,"&gt;="&amp;$B$3,VER_DATE,"&lt;="&amp;$B$4,VER_SITE,$D$3,VER_QUEUE,$A119,VER_CHAN,$D$5)+SUMIFS(VER_HOLD,VER_DATE,"&gt;="&amp;$B$3,VER_DATE,"&lt;="&amp;$B$4,VER_SITE,$D$3,VER_QUEUE,$A119,VER_CHAN,$D$5)+SUMIFS(VER_ACW,VER_DATE,"&gt;="&amp;$B$3,VER_DATE,"&lt;="&amp;$B$4,VER_SITE,$D$3,VER_QUEUE,$A119,VER_CHAN,$D$5))/D119,0))</f>
        <v/>
      </c>
      <c r="K119" s="65">
        <f>IF($A119="","",IFERROR((SUMIFS(IEX_TALK,IEX_DATE,"&gt;="&amp;$B$3,IEX_DATE,"&lt;="&amp;$B$4,IEX_SITE,$D$3,IEX_QUEUE,$A119,IEX_CHAN,$D$5)+SUMIFS(IEX_HOLD,IEX_DATE,"&gt;="&amp;$B$3,IEX_DATE,"&lt;="&amp;$B$4,IEX_SITE,$D$3,IEX_QUEUE,$A119,IEX_CHAN,$D$5)+SUMIFS(IEX_ACW,IEX_DATE,"&gt;="&amp;$B$3,IEX_DATE,"&lt;="&amp;$B$4,IEX_SITE,$D$3,IEX_QUEUE,$A119,IEX_CHAN,$D$5))/E119,0))</f>
        <v/>
      </c>
    </row>
    <row r="120">
      <c r="A120" s="68">
        <f>IF(Lists!B7="","",Lists!B7)</f>
        <v/>
      </c>
      <c r="B120" s="63">
        <f>IF($A120="","",SUMIFS(VER_OFFERED,VER_DATE,"&gt;="&amp;$B$3,VER_DATE,"&lt;="&amp;$B$4,VER_SITE,$D$3,VER_QUEUE,$A120,VER_CHAN,$D$5))</f>
        <v/>
      </c>
      <c r="C120" s="63">
        <f>IF($A120="","",SUMIFS(IEX_OFFERED,IEX_DATE,"&gt;="&amp;$B$3,IEX_DATE,"&lt;="&amp;$B$4,IEX_SITE,$D$3,IEX_QUEUE,$A120,IEX_CHAN,$D$5))</f>
        <v/>
      </c>
      <c r="D120" s="63">
        <f>IF($A120="","",SUMIFS(VER_HANDLED,VER_DATE,"&gt;="&amp;$B$3,VER_DATE,"&lt;="&amp;$B$4,VER_SITE,$D$3,VER_QUEUE,$A120,VER_CHAN,$D$5))</f>
        <v/>
      </c>
      <c r="E120" s="63">
        <f>IF($A120="","",SUMIFS(IEX_HANDLED,IEX_DATE,"&gt;="&amp;$B$3,IEX_DATE,"&lt;="&amp;$B$4,IEX_SITE,$D$3,IEX_QUEUE,$A120,IEX_CHAN,$D$5))</f>
        <v/>
      </c>
      <c r="F120" s="64">
        <f>IF($A120="","",IFERROR(SUMIFS(VER_ABAND,VER_DATE,"&gt;="&amp;$B$3,VER_DATE,"&lt;="&amp;$B$4,VER_SITE,$D$3,VER_QUEUE,$A120,VER_CHAN,$D$5)/B120,0))</f>
        <v/>
      </c>
      <c r="G120" s="64">
        <f>IF($A120="","",IFERROR(SUMIFS(IEX_ABAND,IEX_DATE,"&gt;="&amp;$B$3,IEX_DATE,"&lt;="&amp;$B$4,IEX_SITE,$D$3,IEX_QUEUE,$A120,IEX_CHAN,$D$5)/C120,0))</f>
        <v/>
      </c>
      <c r="H120" s="64">
        <f>IF($A120="","",IFERROR(SUMPRODUCT((VER_DATE&gt;=$B$3)*(VER_DATE&lt;=$B$4)*(($B$6="ALL")+(VER_SITE=$B$6)-($B$6="ALL")*(VER_SITE=$B$6))*(VER_QUEUE=$A120)*(($B$8="ALL")+(VER_CHAN=$B$8)-($B$8="ALL")*(VER_CHAN=$B$8))*VER_SL*VER_OFFERED)/B120,0))</f>
        <v/>
      </c>
      <c r="I120" s="64">
        <f>IF($A120="","",IFERROR(SUMPRODUCT((IEX_DATE&gt;=$B$3)*(IEX_DATE&lt;=$B$4)*(($B$6="ALL")+(IEX_SITE=$B$6)-($B$6="ALL")*(IEX_SITE=$B$6))*(IEX_QUEUE=$A120)*(($B$8="ALL")+(IEX_CHAN=$B$8)-($B$8="ALL")*(IEX_CHAN=$B$8))*IEX_SL*IEX_OFFERED)/C120,0))</f>
        <v/>
      </c>
      <c r="J120" s="65">
        <f>IF($A120="","",IFERROR((SUMIFS(VER_TALK,VER_DATE,"&gt;="&amp;$B$3,VER_DATE,"&lt;="&amp;$B$4,VER_SITE,$D$3,VER_QUEUE,$A120,VER_CHAN,$D$5)+SUMIFS(VER_HOLD,VER_DATE,"&gt;="&amp;$B$3,VER_DATE,"&lt;="&amp;$B$4,VER_SITE,$D$3,VER_QUEUE,$A120,VER_CHAN,$D$5)+SUMIFS(VER_ACW,VER_DATE,"&gt;="&amp;$B$3,VER_DATE,"&lt;="&amp;$B$4,VER_SITE,$D$3,VER_QUEUE,$A120,VER_CHAN,$D$5))/D120,0))</f>
        <v/>
      </c>
      <c r="K120" s="65">
        <f>IF($A120="","",IFERROR((SUMIFS(IEX_TALK,IEX_DATE,"&gt;="&amp;$B$3,IEX_DATE,"&lt;="&amp;$B$4,IEX_SITE,$D$3,IEX_QUEUE,$A120,IEX_CHAN,$D$5)+SUMIFS(IEX_HOLD,IEX_DATE,"&gt;="&amp;$B$3,IEX_DATE,"&lt;="&amp;$B$4,IEX_SITE,$D$3,IEX_QUEUE,$A120,IEX_CHAN,$D$5)+SUMIFS(IEX_ACW,IEX_DATE,"&gt;="&amp;$B$3,IEX_DATE,"&lt;="&amp;$B$4,IEX_SITE,$D$3,IEX_QUEUE,$A120,IEX_CHAN,$D$5))/E120,0))</f>
        <v/>
      </c>
    </row>
    <row r="121">
      <c r="A121" s="68">
        <f>IF(Lists!B8="","",Lists!B8)</f>
        <v/>
      </c>
      <c r="B121" s="63">
        <f>IF($A121="","",SUMIFS(VER_OFFERED,VER_DATE,"&gt;="&amp;$B$3,VER_DATE,"&lt;="&amp;$B$4,VER_SITE,$D$3,VER_QUEUE,$A121,VER_CHAN,$D$5))</f>
        <v/>
      </c>
      <c r="C121" s="63">
        <f>IF($A121="","",SUMIFS(IEX_OFFERED,IEX_DATE,"&gt;="&amp;$B$3,IEX_DATE,"&lt;="&amp;$B$4,IEX_SITE,$D$3,IEX_QUEUE,$A121,IEX_CHAN,$D$5))</f>
        <v/>
      </c>
      <c r="D121" s="63">
        <f>IF($A121="","",SUMIFS(VER_HANDLED,VER_DATE,"&gt;="&amp;$B$3,VER_DATE,"&lt;="&amp;$B$4,VER_SITE,$D$3,VER_QUEUE,$A121,VER_CHAN,$D$5))</f>
        <v/>
      </c>
      <c r="E121" s="63">
        <f>IF($A121="","",SUMIFS(IEX_HANDLED,IEX_DATE,"&gt;="&amp;$B$3,IEX_DATE,"&lt;="&amp;$B$4,IEX_SITE,$D$3,IEX_QUEUE,$A121,IEX_CHAN,$D$5))</f>
        <v/>
      </c>
      <c r="F121" s="64">
        <f>IF($A121="","",IFERROR(SUMIFS(VER_ABAND,VER_DATE,"&gt;="&amp;$B$3,VER_DATE,"&lt;="&amp;$B$4,VER_SITE,$D$3,VER_QUEUE,$A121,VER_CHAN,$D$5)/B121,0))</f>
        <v/>
      </c>
      <c r="G121" s="64">
        <f>IF($A121="","",IFERROR(SUMIFS(IEX_ABAND,IEX_DATE,"&gt;="&amp;$B$3,IEX_DATE,"&lt;="&amp;$B$4,IEX_SITE,$D$3,IEX_QUEUE,$A121,IEX_CHAN,$D$5)/C121,0))</f>
        <v/>
      </c>
      <c r="H121" s="64">
        <f>IF($A121="","",IFERROR(SUMPRODUCT((VER_DATE&gt;=$B$3)*(VER_DATE&lt;=$B$4)*(($B$6="ALL")+(VER_SITE=$B$6)-($B$6="ALL")*(VER_SITE=$B$6))*(VER_QUEUE=$A121)*(($B$8="ALL")+(VER_CHAN=$B$8)-($B$8="ALL")*(VER_CHAN=$B$8))*VER_SL*VER_OFFERED)/B121,0))</f>
        <v/>
      </c>
      <c r="I121" s="64">
        <f>IF($A121="","",IFERROR(SUMPRODUCT((IEX_DATE&gt;=$B$3)*(IEX_DATE&lt;=$B$4)*(($B$6="ALL")+(IEX_SITE=$B$6)-($B$6="ALL")*(IEX_SITE=$B$6))*(IEX_QUEUE=$A121)*(($B$8="ALL")+(IEX_CHAN=$B$8)-($B$8="ALL")*(IEX_CHAN=$B$8))*IEX_SL*IEX_OFFERED)/C121,0))</f>
        <v/>
      </c>
      <c r="J121" s="65">
        <f>IF($A121="","",IFERROR((SUMIFS(VER_TALK,VER_DATE,"&gt;="&amp;$B$3,VER_DATE,"&lt;="&amp;$B$4,VER_SITE,$D$3,VER_QUEUE,$A121,VER_CHAN,$D$5)+SUMIFS(VER_HOLD,VER_DATE,"&gt;="&amp;$B$3,VER_DATE,"&lt;="&amp;$B$4,VER_SITE,$D$3,VER_QUEUE,$A121,VER_CHAN,$D$5)+SUMIFS(VER_ACW,VER_DATE,"&gt;="&amp;$B$3,VER_DATE,"&lt;="&amp;$B$4,VER_SITE,$D$3,VER_QUEUE,$A121,VER_CHAN,$D$5))/D121,0))</f>
        <v/>
      </c>
      <c r="K121" s="65">
        <f>IF($A121="","",IFERROR((SUMIFS(IEX_TALK,IEX_DATE,"&gt;="&amp;$B$3,IEX_DATE,"&lt;="&amp;$B$4,IEX_SITE,$D$3,IEX_QUEUE,$A121,IEX_CHAN,$D$5)+SUMIFS(IEX_HOLD,IEX_DATE,"&gt;="&amp;$B$3,IEX_DATE,"&lt;="&amp;$B$4,IEX_SITE,$D$3,IEX_QUEUE,$A121,IEX_CHAN,$D$5)+SUMIFS(IEX_ACW,IEX_DATE,"&gt;="&amp;$B$3,IEX_DATE,"&lt;="&amp;$B$4,IEX_SITE,$D$3,IEX_QUEUE,$A121,IEX_CHAN,$D$5))/E121,0))</f>
        <v/>
      </c>
    </row>
    <row r="122">
      <c r="A122" s="68">
        <f>IF(Lists!B9="","",Lists!B9)</f>
        <v/>
      </c>
      <c r="B122" s="63">
        <f>IF($A122="","",SUMIFS(VER_OFFERED,VER_DATE,"&gt;="&amp;$B$3,VER_DATE,"&lt;="&amp;$B$4,VER_SITE,$D$3,VER_QUEUE,$A122,VER_CHAN,$D$5))</f>
        <v/>
      </c>
      <c r="C122" s="63">
        <f>IF($A122="","",SUMIFS(IEX_OFFERED,IEX_DATE,"&gt;="&amp;$B$3,IEX_DATE,"&lt;="&amp;$B$4,IEX_SITE,$D$3,IEX_QUEUE,$A122,IEX_CHAN,$D$5))</f>
        <v/>
      </c>
      <c r="D122" s="63">
        <f>IF($A122="","",SUMIFS(VER_HANDLED,VER_DATE,"&gt;="&amp;$B$3,VER_DATE,"&lt;="&amp;$B$4,VER_SITE,$D$3,VER_QUEUE,$A122,VER_CHAN,$D$5))</f>
        <v/>
      </c>
      <c r="E122" s="63">
        <f>IF($A122="","",SUMIFS(IEX_HANDLED,IEX_DATE,"&gt;="&amp;$B$3,IEX_DATE,"&lt;="&amp;$B$4,IEX_SITE,$D$3,IEX_QUEUE,$A122,IEX_CHAN,$D$5))</f>
        <v/>
      </c>
      <c r="F122" s="64">
        <f>IF($A122="","",IFERROR(SUMIFS(VER_ABAND,VER_DATE,"&gt;="&amp;$B$3,VER_DATE,"&lt;="&amp;$B$4,VER_SITE,$D$3,VER_QUEUE,$A122,VER_CHAN,$D$5)/B122,0))</f>
        <v/>
      </c>
      <c r="G122" s="64">
        <f>IF($A122="","",IFERROR(SUMIFS(IEX_ABAND,IEX_DATE,"&gt;="&amp;$B$3,IEX_DATE,"&lt;="&amp;$B$4,IEX_SITE,$D$3,IEX_QUEUE,$A122,IEX_CHAN,$D$5)/C122,0))</f>
        <v/>
      </c>
      <c r="H122" s="64">
        <f>IF($A122="","",IFERROR(SUMPRODUCT((VER_DATE&gt;=$B$3)*(VER_DATE&lt;=$B$4)*(($B$6="ALL")+(VER_SITE=$B$6)-($B$6="ALL")*(VER_SITE=$B$6))*(VER_QUEUE=$A122)*(($B$8="ALL")+(VER_CHAN=$B$8)-($B$8="ALL")*(VER_CHAN=$B$8))*VER_SL*VER_OFFERED)/B122,0))</f>
        <v/>
      </c>
      <c r="I122" s="64">
        <f>IF($A122="","",IFERROR(SUMPRODUCT((IEX_DATE&gt;=$B$3)*(IEX_DATE&lt;=$B$4)*(($B$6="ALL")+(IEX_SITE=$B$6)-($B$6="ALL")*(IEX_SITE=$B$6))*(IEX_QUEUE=$A122)*(($B$8="ALL")+(IEX_CHAN=$B$8)-($B$8="ALL")*(IEX_CHAN=$B$8))*IEX_SL*IEX_OFFERED)/C122,0))</f>
        <v/>
      </c>
      <c r="J122" s="65">
        <f>IF($A122="","",IFERROR((SUMIFS(VER_TALK,VER_DATE,"&gt;="&amp;$B$3,VER_DATE,"&lt;="&amp;$B$4,VER_SITE,$D$3,VER_QUEUE,$A122,VER_CHAN,$D$5)+SUMIFS(VER_HOLD,VER_DATE,"&gt;="&amp;$B$3,VER_DATE,"&lt;="&amp;$B$4,VER_SITE,$D$3,VER_QUEUE,$A122,VER_CHAN,$D$5)+SUMIFS(VER_ACW,VER_DATE,"&gt;="&amp;$B$3,VER_DATE,"&lt;="&amp;$B$4,VER_SITE,$D$3,VER_QUEUE,$A122,VER_CHAN,$D$5))/D122,0))</f>
        <v/>
      </c>
      <c r="K122" s="65">
        <f>IF($A122="","",IFERROR((SUMIFS(IEX_TALK,IEX_DATE,"&gt;="&amp;$B$3,IEX_DATE,"&lt;="&amp;$B$4,IEX_SITE,$D$3,IEX_QUEUE,$A122,IEX_CHAN,$D$5)+SUMIFS(IEX_HOLD,IEX_DATE,"&gt;="&amp;$B$3,IEX_DATE,"&lt;="&amp;$B$4,IEX_SITE,$D$3,IEX_QUEUE,$A122,IEX_CHAN,$D$5)+SUMIFS(IEX_ACW,IEX_DATE,"&gt;="&amp;$B$3,IEX_DATE,"&lt;="&amp;$B$4,IEX_SITE,$D$3,IEX_QUEUE,$A122,IEX_CHAN,$D$5))/E122,0))</f>
        <v/>
      </c>
    </row>
    <row r="123">
      <c r="A123" s="68">
        <f>IF(Lists!B10="","",Lists!B10)</f>
        <v/>
      </c>
      <c r="B123" s="63">
        <f>IF($A123="","",SUMIFS(VER_OFFERED,VER_DATE,"&gt;="&amp;$B$3,VER_DATE,"&lt;="&amp;$B$4,VER_SITE,$D$3,VER_QUEUE,$A123,VER_CHAN,$D$5))</f>
        <v/>
      </c>
      <c r="C123" s="63">
        <f>IF($A123="","",SUMIFS(IEX_OFFERED,IEX_DATE,"&gt;="&amp;$B$3,IEX_DATE,"&lt;="&amp;$B$4,IEX_SITE,$D$3,IEX_QUEUE,$A123,IEX_CHAN,$D$5))</f>
        <v/>
      </c>
      <c r="D123" s="63">
        <f>IF($A123="","",SUMIFS(VER_HANDLED,VER_DATE,"&gt;="&amp;$B$3,VER_DATE,"&lt;="&amp;$B$4,VER_SITE,$D$3,VER_QUEUE,$A123,VER_CHAN,$D$5))</f>
        <v/>
      </c>
      <c r="E123" s="63">
        <f>IF($A123="","",SUMIFS(IEX_HANDLED,IEX_DATE,"&gt;="&amp;$B$3,IEX_DATE,"&lt;="&amp;$B$4,IEX_SITE,$D$3,IEX_QUEUE,$A123,IEX_CHAN,$D$5))</f>
        <v/>
      </c>
      <c r="F123" s="64">
        <f>IF($A123="","",IFERROR(SUMIFS(VER_ABAND,VER_DATE,"&gt;="&amp;$B$3,VER_DATE,"&lt;="&amp;$B$4,VER_SITE,$D$3,VER_QUEUE,$A123,VER_CHAN,$D$5)/B123,0))</f>
        <v/>
      </c>
      <c r="G123" s="64">
        <f>IF($A123="","",IFERROR(SUMIFS(IEX_ABAND,IEX_DATE,"&gt;="&amp;$B$3,IEX_DATE,"&lt;="&amp;$B$4,IEX_SITE,$D$3,IEX_QUEUE,$A123,IEX_CHAN,$D$5)/C123,0))</f>
        <v/>
      </c>
      <c r="H123" s="64">
        <f>IF($A123="","",IFERROR(SUMPRODUCT((VER_DATE&gt;=$B$3)*(VER_DATE&lt;=$B$4)*(($B$6="ALL")+(VER_SITE=$B$6)-($B$6="ALL")*(VER_SITE=$B$6))*(VER_QUEUE=$A123)*(($B$8="ALL")+(VER_CHAN=$B$8)-($B$8="ALL")*(VER_CHAN=$B$8))*VER_SL*VER_OFFERED)/B123,0))</f>
        <v/>
      </c>
      <c r="I123" s="64">
        <f>IF($A123="","",IFERROR(SUMPRODUCT((IEX_DATE&gt;=$B$3)*(IEX_DATE&lt;=$B$4)*(($B$6="ALL")+(IEX_SITE=$B$6)-($B$6="ALL")*(IEX_SITE=$B$6))*(IEX_QUEUE=$A123)*(($B$8="ALL")+(IEX_CHAN=$B$8)-($B$8="ALL")*(IEX_CHAN=$B$8))*IEX_SL*IEX_OFFERED)/C123,0))</f>
        <v/>
      </c>
      <c r="J123" s="65">
        <f>IF($A123="","",IFERROR((SUMIFS(VER_TALK,VER_DATE,"&gt;="&amp;$B$3,VER_DATE,"&lt;="&amp;$B$4,VER_SITE,$D$3,VER_QUEUE,$A123,VER_CHAN,$D$5)+SUMIFS(VER_HOLD,VER_DATE,"&gt;="&amp;$B$3,VER_DATE,"&lt;="&amp;$B$4,VER_SITE,$D$3,VER_QUEUE,$A123,VER_CHAN,$D$5)+SUMIFS(VER_ACW,VER_DATE,"&gt;="&amp;$B$3,VER_DATE,"&lt;="&amp;$B$4,VER_SITE,$D$3,VER_QUEUE,$A123,VER_CHAN,$D$5))/D123,0))</f>
        <v/>
      </c>
      <c r="K123" s="65">
        <f>IF($A123="","",IFERROR((SUMIFS(IEX_TALK,IEX_DATE,"&gt;="&amp;$B$3,IEX_DATE,"&lt;="&amp;$B$4,IEX_SITE,$D$3,IEX_QUEUE,$A123,IEX_CHAN,$D$5)+SUMIFS(IEX_HOLD,IEX_DATE,"&gt;="&amp;$B$3,IEX_DATE,"&lt;="&amp;$B$4,IEX_SITE,$D$3,IEX_QUEUE,$A123,IEX_CHAN,$D$5)+SUMIFS(IEX_ACW,IEX_DATE,"&gt;="&amp;$B$3,IEX_DATE,"&lt;="&amp;$B$4,IEX_SITE,$D$3,IEX_QUEUE,$A123,IEX_CHAN,$D$5))/E123,0))</f>
        <v/>
      </c>
    </row>
    <row r="124">
      <c r="A124" s="68">
        <f>IF(Lists!B11="","",Lists!B11)</f>
        <v/>
      </c>
      <c r="B124" s="63">
        <f>IF($A124="","",SUMIFS(VER_OFFERED,VER_DATE,"&gt;="&amp;$B$3,VER_DATE,"&lt;="&amp;$B$4,VER_SITE,$D$3,VER_QUEUE,$A124,VER_CHAN,$D$5))</f>
        <v/>
      </c>
      <c r="C124" s="63">
        <f>IF($A124="","",SUMIFS(IEX_OFFERED,IEX_DATE,"&gt;="&amp;$B$3,IEX_DATE,"&lt;="&amp;$B$4,IEX_SITE,$D$3,IEX_QUEUE,$A124,IEX_CHAN,$D$5))</f>
        <v/>
      </c>
      <c r="D124" s="63">
        <f>IF($A124="","",SUMIFS(VER_HANDLED,VER_DATE,"&gt;="&amp;$B$3,VER_DATE,"&lt;="&amp;$B$4,VER_SITE,$D$3,VER_QUEUE,$A124,VER_CHAN,$D$5))</f>
        <v/>
      </c>
      <c r="E124" s="63">
        <f>IF($A124="","",SUMIFS(IEX_HANDLED,IEX_DATE,"&gt;="&amp;$B$3,IEX_DATE,"&lt;="&amp;$B$4,IEX_SITE,$D$3,IEX_QUEUE,$A124,IEX_CHAN,$D$5))</f>
        <v/>
      </c>
      <c r="F124" s="64">
        <f>IF($A124="","",IFERROR(SUMIFS(VER_ABAND,VER_DATE,"&gt;="&amp;$B$3,VER_DATE,"&lt;="&amp;$B$4,VER_SITE,$D$3,VER_QUEUE,$A124,VER_CHAN,$D$5)/B124,0))</f>
        <v/>
      </c>
      <c r="G124" s="64">
        <f>IF($A124="","",IFERROR(SUMIFS(IEX_ABAND,IEX_DATE,"&gt;="&amp;$B$3,IEX_DATE,"&lt;="&amp;$B$4,IEX_SITE,$D$3,IEX_QUEUE,$A124,IEX_CHAN,$D$5)/C124,0))</f>
        <v/>
      </c>
      <c r="H124" s="64">
        <f>IF($A124="","",IFERROR(SUMPRODUCT((VER_DATE&gt;=$B$3)*(VER_DATE&lt;=$B$4)*(($B$6="ALL")+(VER_SITE=$B$6)-($B$6="ALL")*(VER_SITE=$B$6))*(VER_QUEUE=$A124)*(($B$8="ALL")+(VER_CHAN=$B$8)-($B$8="ALL")*(VER_CHAN=$B$8))*VER_SL*VER_OFFERED)/B124,0))</f>
        <v/>
      </c>
      <c r="I124" s="64">
        <f>IF($A124="","",IFERROR(SUMPRODUCT((IEX_DATE&gt;=$B$3)*(IEX_DATE&lt;=$B$4)*(($B$6="ALL")+(IEX_SITE=$B$6)-($B$6="ALL")*(IEX_SITE=$B$6))*(IEX_QUEUE=$A124)*(($B$8="ALL")+(IEX_CHAN=$B$8)-($B$8="ALL")*(IEX_CHAN=$B$8))*IEX_SL*IEX_OFFERED)/C124,0))</f>
        <v/>
      </c>
      <c r="J124" s="65">
        <f>IF($A124="","",IFERROR((SUMIFS(VER_TALK,VER_DATE,"&gt;="&amp;$B$3,VER_DATE,"&lt;="&amp;$B$4,VER_SITE,$D$3,VER_QUEUE,$A124,VER_CHAN,$D$5)+SUMIFS(VER_HOLD,VER_DATE,"&gt;="&amp;$B$3,VER_DATE,"&lt;="&amp;$B$4,VER_SITE,$D$3,VER_QUEUE,$A124,VER_CHAN,$D$5)+SUMIFS(VER_ACW,VER_DATE,"&gt;="&amp;$B$3,VER_DATE,"&lt;="&amp;$B$4,VER_SITE,$D$3,VER_QUEUE,$A124,VER_CHAN,$D$5))/D124,0))</f>
        <v/>
      </c>
      <c r="K124" s="65">
        <f>IF($A124="","",IFERROR((SUMIFS(IEX_TALK,IEX_DATE,"&gt;="&amp;$B$3,IEX_DATE,"&lt;="&amp;$B$4,IEX_SITE,$D$3,IEX_QUEUE,$A124,IEX_CHAN,$D$5)+SUMIFS(IEX_HOLD,IEX_DATE,"&gt;="&amp;$B$3,IEX_DATE,"&lt;="&amp;$B$4,IEX_SITE,$D$3,IEX_QUEUE,$A124,IEX_CHAN,$D$5)+SUMIFS(IEX_ACW,IEX_DATE,"&gt;="&amp;$B$3,IEX_DATE,"&lt;="&amp;$B$4,IEX_SITE,$D$3,IEX_QUEUE,$A124,IEX_CHAN,$D$5))/E124,0))</f>
        <v/>
      </c>
    </row>
    <row r="125">
      <c r="A125" s="68">
        <f>IF(Lists!B12="","",Lists!B12)</f>
        <v/>
      </c>
      <c r="B125" s="63">
        <f>IF($A125="","",SUMIFS(VER_OFFERED,VER_DATE,"&gt;="&amp;$B$3,VER_DATE,"&lt;="&amp;$B$4,VER_SITE,$D$3,VER_QUEUE,$A125,VER_CHAN,$D$5))</f>
        <v/>
      </c>
      <c r="C125" s="63">
        <f>IF($A125="","",SUMIFS(IEX_OFFERED,IEX_DATE,"&gt;="&amp;$B$3,IEX_DATE,"&lt;="&amp;$B$4,IEX_SITE,$D$3,IEX_QUEUE,$A125,IEX_CHAN,$D$5))</f>
        <v/>
      </c>
      <c r="D125" s="63">
        <f>IF($A125="","",SUMIFS(VER_HANDLED,VER_DATE,"&gt;="&amp;$B$3,VER_DATE,"&lt;="&amp;$B$4,VER_SITE,$D$3,VER_QUEUE,$A125,VER_CHAN,$D$5))</f>
        <v/>
      </c>
      <c r="E125" s="63">
        <f>IF($A125="","",SUMIFS(IEX_HANDLED,IEX_DATE,"&gt;="&amp;$B$3,IEX_DATE,"&lt;="&amp;$B$4,IEX_SITE,$D$3,IEX_QUEUE,$A125,IEX_CHAN,$D$5))</f>
        <v/>
      </c>
      <c r="F125" s="64">
        <f>IF($A125="","",IFERROR(SUMIFS(VER_ABAND,VER_DATE,"&gt;="&amp;$B$3,VER_DATE,"&lt;="&amp;$B$4,VER_SITE,$D$3,VER_QUEUE,$A125,VER_CHAN,$D$5)/B125,0))</f>
        <v/>
      </c>
      <c r="G125" s="64">
        <f>IF($A125="","",IFERROR(SUMIFS(IEX_ABAND,IEX_DATE,"&gt;="&amp;$B$3,IEX_DATE,"&lt;="&amp;$B$4,IEX_SITE,$D$3,IEX_QUEUE,$A125,IEX_CHAN,$D$5)/C125,0))</f>
        <v/>
      </c>
      <c r="H125" s="64">
        <f>IF($A125="","",IFERROR(SUMPRODUCT((VER_DATE&gt;=$B$3)*(VER_DATE&lt;=$B$4)*(($B$6="ALL")+(VER_SITE=$B$6)-($B$6="ALL")*(VER_SITE=$B$6))*(VER_QUEUE=$A125)*(($B$8="ALL")+(VER_CHAN=$B$8)-($B$8="ALL")*(VER_CHAN=$B$8))*VER_SL*VER_OFFERED)/B125,0))</f>
        <v/>
      </c>
      <c r="I125" s="64">
        <f>IF($A125="","",IFERROR(SUMPRODUCT((IEX_DATE&gt;=$B$3)*(IEX_DATE&lt;=$B$4)*(($B$6="ALL")+(IEX_SITE=$B$6)-($B$6="ALL")*(IEX_SITE=$B$6))*(IEX_QUEUE=$A125)*(($B$8="ALL")+(IEX_CHAN=$B$8)-($B$8="ALL")*(IEX_CHAN=$B$8))*IEX_SL*IEX_OFFERED)/C125,0))</f>
        <v/>
      </c>
      <c r="J125" s="65">
        <f>IF($A125="","",IFERROR((SUMIFS(VER_TALK,VER_DATE,"&gt;="&amp;$B$3,VER_DATE,"&lt;="&amp;$B$4,VER_SITE,$D$3,VER_QUEUE,$A125,VER_CHAN,$D$5)+SUMIFS(VER_HOLD,VER_DATE,"&gt;="&amp;$B$3,VER_DATE,"&lt;="&amp;$B$4,VER_SITE,$D$3,VER_QUEUE,$A125,VER_CHAN,$D$5)+SUMIFS(VER_ACW,VER_DATE,"&gt;="&amp;$B$3,VER_DATE,"&lt;="&amp;$B$4,VER_SITE,$D$3,VER_QUEUE,$A125,VER_CHAN,$D$5))/D125,0))</f>
        <v/>
      </c>
      <c r="K125" s="65">
        <f>IF($A125="","",IFERROR((SUMIFS(IEX_TALK,IEX_DATE,"&gt;="&amp;$B$3,IEX_DATE,"&lt;="&amp;$B$4,IEX_SITE,$D$3,IEX_QUEUE,$A125,IEX_CHAN,$D$5)+SUMIFS(IEX_HOLD,IEX_DATE,"&gt;="&amp;$B$3,IEX_DATE,"&lt;="&amp;$B$4,IEX_SITE,$D$3,IEX_QUEUE,$A125,IEX_CHAN,$D$5)+SUMIFS(IEX_ACW,IEX_DATE,"&gt;="&amp;$B$3,IEX_DATE,"&lt;="&amp;$B$4,IEX_SITE,$D$3,IEX_QUEUE,$A125,IEX_CHAN,$D$5))/E125,0))</f>
        <v/>
      </c>
    </row>
    <row r="126">
      <c r="A126" s="68">
        <f>IF(Lists!B13="","",Lists!B13)</f>
        <v/>
      </c>
      <c r="B126" s="63">
        <f>IF($A126="","",SUMIFS(VER_OFFERED,VER_DATE,"&gt;="&amp;$B$3,VER_DATE,"&lt;="&amp;$B$4,VER_SITE,$D$3,VER_QUEUE,$A126,VER_CHAN,$D$5))</f>
        <v/>
      </c>
      <c r="C126" s="63">
        <f>IF($A126="","",SUMIFS(IEX_OFFERED,IEX_DATE,"&gt;="&amp;$B$3,IEX_DATE,"&lt;="&amp;$B$4,IEX_SITE,$D$3,IEX_QUEUE,$A126,IEX_CHAN,$D$5))</f>
        <v/>
      </c>
      <c r="D126" s="63">
        <f>IF($A126="","",SUMIFS(VER_HANDLED,VER_DATE,"&gt;="&amp;$B$3,VER_DATE,"&lt;="&amp;$B$4,VER_SITE,$D$3,VER_QUEUE,$A126,VER_CHAN,$D$5))</f>
        <v/>
      </c>
      <c r="E126" s="63">
        <f>IF($A126="","",SUMIFS(IEX_HANDLED,IEX_DATE,"&gt;="&amp;$B$3,IEX_DATE,"&lt;="&amp;$B$4,IEX_SITE,$D$3,IEX_QUEUE,$A126,IEX_CHAN,$D$5))</f>
        <v/>
      </c>
      <c r="F126" s="64">
        <f>IF($A126="","",IFERROR(SUMIFS(VER_ABAND,VER_DATE,"&gt;="&amp;$B$3,VER_DATE,"&lt;="&amp;$B$4,VER_SITE,$D$3,VER_QUEUE,$A126,VER_CHAN,$D$5)/B126,0))</f>
        <v/>
      </c>
      <c r="G126" s="64">
        <f>IF($A126="","",IFERROR(SUMIFS(IEX_ABAND,IEX_DATE,"&gt;="&amp;$B$3,IEX_DATE,"&lt;="&amp;$B$4,IEX_SITE,$D$3,IEX_QUEUE,$A126,IEX_CHAN,$D$5)/C126,0))</f>
        <v/>
      </c>
      <c r="H126" s="64">
        <f>IF($A126="","",IFERROR(SUMPRODUCT((VER_DATE&gt;=$B$3)*(VER_DATE&lt;=$B$4)*(($B$6="ALL")+(VER_SITE=$B$6)-($B$6="ALL")*(VER_SITE=$B$6))*(VER_QUEUE=$A126)*(($B$8="ALL")+(VER_CHAN=$B$8)-($B$8="ALL")*(VER_CHAN=$B$8))*VER_SL*VER_OFFERED)/B126,0))</f>
        <v/>
      </c>
      <c r="I126" s="64">
        <f>IF($A126="","",IFERROR(SUMPRODUCT((IEX_DATE&gt;=$B$3)*(IEX_DATE&lt;=$B$4)*(($B$6="ALL")+(IEX_SITE=$B$6)-($B$6="ALL")*(IEX_SITE=$B$6))*(IEX_QUEUE=$A126)*(($B$8="ALL")+(IEX_CHAN=$B$8)-($B$8="ALL")*(IEX_CHAN=$B$8))*IEX_SL*IEX_OFFERED)/C126,0))</f>
        <v/>
      </c>
      <c r="J126" s="65">
        <f>IF($A126="","",IFERROR((SUMIFS(VER_TALK,VER_DATE,"&gt;="&amp;$B$3,VER_DATE,"&lt;="&amp;$B$4,VER_SITE,$D$3,VER_QUEUE,$A126,VER_CHAN,$D$5)+SUMIFS(VER_HOLD,VER_DATE,"&gt;="&amp;$B$3,VER_DATE,"&lt;="&amp;$B$4,VER_SITE,$D$3,VER_QUEUE,$A126,VER_CHAN,$D$5)+SUMIFS(VER_ACW,VER_DATE,"&gt;="&amp;$B$3,VER_DATE,"&lt;="&amp;$B$4,VER_SITE,$D$3,VER_QUEUE,$A126,VER_CHAN,$D$5))/D126,0))</f>
        <v/>
      </c>
      <c r="K126" s="65">
        <f>IF($A126="","",IFERROR((SUMIFS(IEX_TALK,IEX_DATE,"&gt;="&amp;$B$3,IEX_DATE,"&lt;="&amp;$B$4,IEX_SITE,$D$3,IEX_QUEUE,$A126,IEX_CHAN,$D$5)+SUMIFS(IEX_HOLD,IEX_DATE,"&gt;="&amp;$B$3,IEX_DATE,"&lt;="&amp;$B$4,IEX_SITE,$D$3,IEX_QUEUE,$A126,IEX_CHAN,$D$5)+SUMIFS(IEX_ACW,IEX_DATE,"&gt;="&amp;$B$3,IEX_DATE,"&lt;="&amp;$B$4,IEX_SITE,$D$3,IEX_QUEUE,$A126,IEX_CHAN,$D$5))/E126,0))</f>
        <v/>
      </c>
    </row>
    <row r="127">
      <c r="A127" s="68">
        <f>IF(Lists!B14="","",Lists!B14)</f>
        <v/>
      </c>
      <c r="B127" s="63">
        <f>IF($A127="","",SUMIFS(VER_OFFERED,VER_DATE,"&gt;="&amp;$B$3,VER_DATE,"&lt;="&amp;$B$4,VER_SITE,$D$3,VER_QUEUE,$A127,VER_CHAN,$D$5))</f>
        <v/>
      </c>
      <c r="C127" s="63">
        <f>IF($A127="","",SUMIFS(IEX_OFFERED,IEX_DATE,"&gt;="&amp;$B$3,IEX_DATE,"&lt;="&amp;$B$4,IEX_SITE,$D$3,IEX_QUEUE,$A127,IEX_CHAN,$D$5))</f>
        <v/>
      </c>
      <c r="D127" s="63">
        <f>IF($A127="","",SUMIFS(VER_HANDLED,VER_DATE,"&gt;="&amp;$B$3,VER_DATE,"&lt;="&amp;$B$4,VER_SITE,$D$3,VER_QUEUE,$A127,VER_CHAN,$D$5))</f>
        <v/>
      </c>
      <c r="E127" s="63">
        <f>IF($A127="","",SUMIFS(IEX_HANDLED,IEX_DATE,"&gt;="&amp;$B$3,IEX_DATE,"&lt;="&amp;$B$4,IEX_SITE,$D$3,IEX_QUEUE,$A127,IEX_CHAN,$D$5))</f>
        <v/>
      </c>
      <c r="F127" s="64">
        <f>IF($A127="","",IFERROR(SUMIFS(VER_ABAND,VER_DATE,"&gt;="&amp;$B$3,VER_DATE,"&lt;="&amp;$B$4,VER_SITE,$D$3,VER_QUEUE,$A127,VER_CHAN,$D$5)/B127,0))</f>
        <v/>
      </c>
      <c r="G127" s="64">
        <f>IF($A127="","",IFERROR(SUMIFS(IEX_ABAND,IEX_DATE,"&gt;="&amp;$B$3,IEX_DATE,"&lt;="&amp;$B$4,IEX_SITE,$D$3,IEX_QUEUE,$A127,IEX_CHAN,$D$5)/C127,0))</f>
        <v/>
      </c>
      <c r="H127" s="64">
        <f>IF($A127="","",IFERROR(SUMPRODUCT((VER_DATE&gt;=$B$3)*(VER_DATE&lt;=$B$4)*(($B$6="ALL")+(VER_SITE=$B$6)-($B$6="ALL")*(VER_SITE=$B$6))*(VER_QUEUE=$A127)*(($B$8="ALL")+(VER_CHAN=$B$8)-($B$8="ALL")*(VER_CHAN=$B$8))*VER_SL*VER_OFFERED)/B127,0))</f>
        <v/>
      </c>
      <c r="I127" s="64">
        <f>IF($A127="","",IFERROR(SUMPRODUCT((IEX_DATE&gt;=$B$3)*(IEX_DATE&lt;=$B$4)*(($B$6="ALL")+(IEX_SITE=$B$6)-($B$6="ALL")*(IEX_SITE=$B$6))*(IEX_QUEUE=$A127)*(($B$8="ALL")+(IEX_CHAN=$B$8)-($B$8="ALL")*(IEX_CHAN=$B$8))*IEX_SL*IEX_OFFERED)/C127,0))</f>
        <v/>
      </c>
      <c r="J127" s="65">
        <f>IF($A127="","",IFERROR((SUMIFS(VER_TALK,VER_DATE,"&gt;="&amp;$B$3,VER_DATE,"&lt;="&amp;$B$4,VER_SITE,$D$3,VER_QUEUE,$A127,VER_CHAN,$D$5)+SUMIFS(VER_HOLD,VER_DATE,"&gt;="&amp;$B$3,VER_DATE,"&lt;="&amp;$B$4,VER_SITE,$D$3,VER_QUEUE,$A127,VER_CHAN,$D$5)+SUMIFS(VER_ACW,VER_DATE,"&gt;="&amp;$B$3,VER_DATE,"&lt;="&amp;$B$4,VER_SITE,$D$3,VER_QUEUE,$A127,VER_CHAN,$D$5))/D127,0))</f>
        <v/>
      </c>
      <c r="K127" s="65">
        <f>IF($A127="","",IFERROR((SUMIFS(IEX_TALK,IEX_DATE,"&gt;="&amp;$B$3,IEX_DATE,"&lt;="&amp;$B$4,IEX_SITE,$D$3,IEX_QUEUE,$A127,IEX_CHAN,$D$5)+SUMIFS(IEX_HOLD,IEX_DATE,"&gt;="&amp;$B$3,IEX_DATE,"&lt;="&amp;$B$4,IEX_SITE,$D$3,IEX_QUEUE,$A127,IEX_CHAN,$D$5)+SUMIFS(IEX_ACW,IEX_DATE,"&gt;="&amp;$B$3,IEX_DATE,"&lt;="&amp;$B$4,IEX_SITE,$D$3,IEX_QUEUE,$A127,IEX_CHAN,$D$5))/E127,0))</f>
        <v/>
      </c>
    </row>
  </sheetData>
  <mergeCells count="6">
    <mergeCell ref="A12:E12"/>
    <mergeCell ref="A2:N2"/>
    <mergeCell ref="A29:N29"/>
    <mergeCell ref="A63:N63"/>
    <mergeCell ref="A115:N11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B4D"/>
    <outlinePr summaryBelow="1" summaryRight="1"/>
    <pageSetUpPr fitToPage="1"/>
  </sheetPr>
  <dimension ref="A1:J55"/>
  <sheetViews>
    <sheetView showGridLines="0" workbookViewId="0">
      <selection activeCell="A1" sqref="A1"/>
    </sheetView>
  </sheetViews>
  <sheetFormatPr baseColWidth="8" defaultRowHeight="15"/>
  <cols>
    <col width="12.5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30" customHeight="1">
      <c r="A1" s="1" t="inlineStr">
        <is>
          <t>VERINT + IEX | WFM PERFORMANCE DASHBOARD</t>
        </is>
      </c>
    </row>
    <row r="2" ht="18" customHeight="1">
      <c r="A2" s="2">
        <f>"Period "&amp;TEXT(Calc_Data!$B$3,"dd mmm yyyy")&amp;" to "&amp;TEXT(Calc_Data!$B$4,"dd mmm yyyy")&amp;"   |   Source: "&amp;Setup!$B$13&amp;"   |   Site: "&amp;Setup!$B$10&amp;"   |   Queue: "&amp;Setup!$B$11&amp;"   |   Channel: "&amp;Setup!$B$12</f>
        <v/>
      </c>
    </row>
    <row r="3">
      <c r="A3" s="69">
        <f>Setup!$B$16</f>
        <v/>
      </c>
    </row>
    <row r="5" ht="20" customHeight="1">
      <c r="A5" s="3" t="inlineStr">
        <is>
          <t>HEADLINE KPIs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7" ht="19" customHeight="1">
      <c r="A7" s="70" t="inlineStr">
        <is>
          <t>CONTACTS OFFERED</t>
        </is>
      </c>
      <c r="B7" s="71" t="n"/>
      <c r="C7" s="70" t="inlineStr">
        <is>
          <t>CONTACTS HANDLED</t>
        </is>
      </c>
      <c r="D7" s="71" t="n"/>
      <c r="E7" s="72" t="inlineStr">
        <is>
          <t>ABANDON RATE</t>
        </is>
      </c>
      <c r="F7" s="71" t="n"/>
      <c r="G7" s="73" t="inlineStr">
        <is>
          <t>SERVICE LEVEL</t>
        </is>
      </c>
      <c r="H7" s="71" t="n"/>
      <c r="I7" s="74" t="inlineStr">
        <is>
          <t>AVG HANDLE TIME</t>
        </is>
      </c>
      <c r="J7" s="71" t="n"/>
    </row>
    <row r="8" ht="26" customHeight="1">
      <c r="A8" s="75">
        <f>INDEX(Calc_Data!$C$14:$E$14,MATCH(Setup!$B$13,Calc_Data!$C$13:$E$13,0))</f>
        <v/>
      </c>
      <c r="B8" s="71" t="n"/>
      <c r="C8" s="75">
        <f>INDEX(Calc_Data!$C$15:$E$15,MATCH(Setup!$B$13,Calc_Data!$C$13:$E$13,0))</f>
        <v/>
      </c>
      <c r="D8" s="71" t="n"/>
      <c r="E8" s="76">
        <f>INDEX(Calc_Data!$C$17:$E$17,MATCH(Setup!$B$13,Calc_Data!$C$13:$E$13,0))</f>
        <v/>
      </c>
      <c r="F8" s="71" t="n"/>
      <c r="G8" s="76">
        <f>INDEX(Calc_Data!$C$18:$E$18,MATCH(Setup!$B$13,Calc_Data!$C$13:$E$13,0))</f>
        <v/>
      </c>
      <c r="H8" s="71" t="n"/>
      <c r="I8" s="77">
        <f>INDEX(Calc_Data!$C$20:$E$20,MATCH(Setup!$B$13,Calc_Data!$C$13:$E$13,0))</f>
        <v/>
      </c>
      <c r="J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</row>
    <row r="12" ht="19" customHeight="1">
      <c r="A12" s="78" t="inlineStr">
        <is>
          <t>STAFFED AGENT-HOURS</t>
        </is>
      </c>
      <c r="B12" s="71" t="n"/>
      <c r="C12" s="78" t="inlineStr">
        <is>
          <t>REQUIRED AGENT-HOURS</t>
        </is>
      </c>
      <c r="D12" s="71" t="n"/>
      <c r="E12" s="79" t="inlineStr">
        <is>
          <t>STAFFING GAP (HOURS)</t>
        </is>
      </c>
      <c r="F12" s="71" t="n"/>
      <c r="G12" s="74" t="inlineStr">
        <is>
          <t>OCCUPANCY</t>
        </is>
      </c>
      <c r="H12" s="71" t="n"/>
      <c r="I12" s="80" t="inlineStr">
        <is>
          <t>INTERVALS CAPTURED</t>
        </is>
      </c>
      <c r="J12" s="71" t="n"/>
    </row>
    <row r="13" ht="26" customHeight="1">
      <c r="A13" s="77">
        <f>INDEX(Calc_Data!$C$21:$E$21,MATCH(Setup!$B$13,Calc_Data!$C$13:$E$13,0))</f>
        <v/>
      </c>
      <c r="B13" s="71" t="n"/>
      <c r="C13" s="77">
        <f>INDEX(Calc_Data!$C$22:$E$22,MATCH(Setup!$B$13,Calc_Data!$C$13:$E$13,0))</f>
        <v/>
      </c>
      <c r="D13" s="71" t="n"/>
      <c r="E13" s="77">
        <f>INDEX(Calc_Data!$C$23:$E$23,MATCH(Setup!$B$13,Calc_Data!$C$13:$E$13,0))</f>
        <v/>
      </c>
      <c r="F13" s="71" t="n"/>
      <c r="G13" s="76">
        <f>INDEX(Calc_Data!$C$25:$E$25,MATCH(Setup!$B$13,Calc_Data!$C$13:$E$13,0))</f>
        <v/>
      </c>
      <c r="H13" s="71" t="n"/>
      <c r="I13" s="75">
        <f>INDEX(Calc_Data!$C$26:$E$26,MATCH(Setup!$B$13,Calc_Data!$C$13:$E$13,0))</f>
        <v/>
      </c>
      <c r="J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</row>
    <row r="16" ht="20" customHeight="1">
      <c r="A16" s="3" t="inlineStr">
        <is>
          <t>SOURCE RECONCILIATION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38" t="inlineStr">
        <is>
          <t>Days with variance</t>
        </is>
      </c>
      <c r="B17" s="81">
        <f>COUNTIF(Reconciliation!$S$6:$S$36,"REVIEW")</f>
        <v/>
      </c>
      <c r="D17" s="38" t="inlineStr">
        <is>
          <t>Variance tolerance</t>
        </is>
      </c>
      <c r="E17" s="82">
        <f>Setup!$B$20</f>
        <v/>
      </c>
      <c r="G17" s="38" t="inlineStr">
        <is>
          <t>Data quality alerts</t>
        </is>
      </c>
      <c r="H17" s="81">
        <f>COUNTIF(DQ_Checks!$E$6:$E$30,"FAIL")</f>
        <v/>
      </c>
      <c r="I17" s="83" t="inlineStr">
        <is>
          <t>Open Reconciliation &gt;</t>
        </is>
      </c>
    </row>
    <row r="55">
      <c r="A55" s="84" t="inlineStr">
        <is>
          <t>Reads from Verint_Raw and IEX_Raw through Calc_Data. Change the source, site, queue or channel on Setup.</t>
        </is>
      </c>
    </row>
  </sheetData>
  <mergeCells count="26">
    <mergeCell ref="E12:F12"/>
    <mergeCell ref="A5:J5"/>
    <mergeCell ref="G12:H12"/>
    <mergeCell ref="I8:J9"/>
    <mergeCell ref="A8:B9"/>
    <mergeCell ref="C8:D9"/>
    <mergeCell ref="I13:J14"/>
    <mergeCell ref="A13:B14"/>
    <mergeCell ref="A7:B7"/>
    <mergeCell ref="G7:H7"/>
    <mergeCell ref="I7:J7"/>
    <mergeCell ref="C13:D14"/>
    <mergeCell ref="A12:B12"/>
    <mergeCell ref="A1:J1"/>
    <mergeCell ref="C12:D12"/>
    <mergeCell ref="I12:J12"/>
    <mergeCell ref="A16:J16"/>
    <mergeCell ref="E8:F9"/>
    <mergeCell ref="G8:H9"/>
    <mergeCell ref="E13:F14"/>
    <mergeCell ref="G13:H14"/>
    <mergeCell ref="C7:D7"/>
    <mergeCell ref="E7:F7"/>
    <mergeCell ref="A3:J3"/>
    <mergeCell ref="A55:J55"/>
    <mergeCell ref="A2:J2"/>
  </mergeCells>
  <hyperlinks>
    <hyperlink xmlns:r="http://schemas.openxmlformats.org/officeDocument/2006/relationships" ref="I17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00B7791F"/>
    <outlinePr summaryBelow="1" summaryRight="1"/>
    <pageSetUpPr fitToPage="1"/>
  </sheetPr>
  <dimension ref="A1:S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1" customWidth="1" min="4" max="4"/>
    <col width="8" customWidth="1" min="5" max="5"/>
    <col width="9" customWidth="1" min="6" max="6"/>
    <col width="10" customWidth="1" min="7" max="7"/>
    <col width="11" customWidth="1" min="8" max="8"/>
    <col width="8" customWidth="1" min="9" max="9"/>
    <col width="9" customWidth="1" min="10" max="10"/>
    <col width="10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8" customWidth="1" min="17" max="17"/>
    <col width="9" customWidth="1" min="18" max="18"/>
    <col width="11" customWidth="1" min="19" max="19"/>
  </cols>
  <sheetData>
    <row r="1" ht="30" customHeight="1">
      <c r="A1" s="1" t="inlineStr">
        <is>
          <t>VERINT / IEX RECONCILIATION</t>
        </is>
      </c>
    </row>
    <row r="2" ht="18" customHeight="1">
      <c r="A2" s="2" t="inlineStr">
        <is>
          <t>Side-by-side daily totals with variance flags. Tolerance is set on Setup.</t>
        </is>
      </c>
    </row>
    <row r="3">
      <c r="A3" s="38" t="inlineStr">
        <is>
          <t>Period</t>
        </is>
      </c>
      <c r="B3" s="85">
        <f>Calc_Data!$B$3</f>
        <v/>
      </c>
      <c r="D3" s="38" t="inlineStr">
        <is>
          <t>Through</t>
        </is>
      </c>
      <c r="E3" s="85">
        <f>Calc_Data!$B$4</f>
        <v/>
      </c>
      <c r="G3" s="38" t="inlineStr">
        <is>
          <t>Tolerance</t>
        </is>
      </c>
      <c r="H3" s="86">
        <f>Setup!$B$20</f>
        <v/>
      </c>
      <c r="J3" s="38" t="inlineStr">
        <is>
          <t>Days flagged REVIEW</t>
        </is>
      </c>
      <c r="K3" s="87">
        <f>COUNTIF(S6:S36,"REVIEW")</f>
        <v/>
      </c>
    </row>
    <row r="5" ht="30" customHeight="1">
      <c r="A5" s="60" t="inlineStr">
        <is>
          <t>Date</t>
        </is>
      </c>
      <c r="B5" s="60" t="inlineStr">
        <is>
          <t>Day</t>
        </is>
      </c>
      <c r="C5" s="60" t="inlineStr">
        <is>
          <t>V Offered</t>
        </is>
      </c>
      <c r="D5" s="60" t="inlineStr">
        <is>
          <t>IEX Offered</t>
        </is>
      </c>
      <c r="E5" s="60" t="inlineStr">
        <is>
          <t>Var</t>
        </is>
      </c>
      <c r="F5" s="60" t="inlineStr">
        <is>
          <t>Var %</t>
        </is>
      </c>
      <c r="G5" s="60" t="inlineStr">
        <is>
          <t>V Handled</t>
        </is>
      </c>
      <c r="H5" s="60" t="inlineStr">
        <is>
          <t>IEX Handled</t>
        </is>
      </c>
      <c r="I5" s="60" t="inlineStr">
        <is>
          <t>Var</t>
        </is>
      </c>
      <c r="J5" s="60" t="inlineStr">
        <is>
          <t>V Aband</t>
        </is>
      </c>
      <c r="K5" s="60" t="inlineStr">
        <is>
          <t>IEX Aband</t>
        </is>
      </c>
      <c r="L5" s="60" t="inlineStr">
        <is>
          <t>Var</t>
        </is>
      </c>
      <c r="M5" s="60" t="inlineStr">
        <is>
          <t>V SL</t>
        </is>
      </c>
      <c r="N5" s="60" t="inlineStr">
        <is>
          <t>IEX SL</t>
        </is>
      </c>
      <c r="O5" s="60" t="inlineStr">
        <is>
          <t>SL Diff</t>
        </is>
      </c>
      <c r="P5" s="60" t="inlineStr">
        <is>
          <t>V AHT</t>
        </is>
      </c>
      <c r="Q5" s="60" t="inlineStr">
        <is>
          <t>IEX AHT</t>
        </is>
      </c>
      <c r="R5" s="60" t="inlineStr">
        <is>
          <t>AHT Diff</t>
        </is>
      </c>
      <c r="S5" s="88" t="inlineStr">
        <is>
          <t>Status</t>
        </is>
      </c>
    </row>
    <row r="6">
      <c r="A6" s="89">
        <f>IF(Calc_Data!A32="","",Calc_Data!A32)</f>
        <v/>
      </c>
      <c r="B6" s="90">
        <f>IF(Calc_Data!A32="","",Calc_Data!B32)</f>
        <v/>
      </c>
      <c r="C6" s="91">
        <f>IF(Calc_Data!A32="","",Calc_Data!C32)</f>
        <v/>
      </c>
      <c r="D6" s="91">
        <f>IF(Calc_Data!A32="","",Calc_Data!D32)</f>
        <v/>
      </c>
      <c r="E6" s="91">
        <f>IF($A6="","",N(C6)-N(D6))</f>
        <v/>
      </c>
      <c r="F6" s="92">
        <f>IF(OR($A6="",N(D6)=0),"",E6/D6)</f>
        <v/>
      </c>
      <c r="G6" s="91">
        <f>IF(Calc_Data!A32="","",Calc_Data!E32)</f>
        <v/>
      </c>
      <c r="H6" s="91">
        <f>IF(Calc_Data!A32="","",Calc_Data!F32)</f>
        <v/>
      </c>
      <c r="I6" s="91">
        <f>IF($A6="","",N(G6)-N(H6))</f>
        <v/>
      </c>
      <c r="J6" s="91">
        <f>IF(Calc_Data!A32="","",Calc_Data!G32)</f>
        <v/>
      </c>
      <c r="K6" s="91">
        <f>IF(Calc_Data!A32="","",Calc_Data!H32)</f>
        <v/>
      </c>
      <c r="L6" s="91">
        <f>IF($A6="","",N(J6)-N(K6))</f>
        <v/>
      </c>
      <c r="M6" s="92">
        <f>IF(Calc_Data!A32="","",Calc_Data!K32)</f>
        <v/>
      </c>
      <c r="N6" s="92">
        <f>IF(Calc_Data!A32="","",Calc_Data!L32)</f>
        <v/>
      </c>
      <c r="O6" s="93">
        <f>IF($A6="","",(N(M6)-N(N6))*100)</f>
        <v/>
      </c>
      <c r="P6" s="94">
        <f>IF(Calc_Data!A32="","",Calc_Data!M32)</f>
        <v/>
      </c>
      <c r="Q6" s="94">
        <f>IF(Calc_Data!A32="","",Calc_Data!N32)</f>
        <v/>
      </c>
      <c r="R6" s="94">
        <f>IF($A6="","",N(P6)-N(Q6))</f>
        <v/>
      </c>
      <c r="S6" s="95">
        <f>IF($A6="","",IF(AND(ABS(N(F6))&lt;=$H$3,ABS(N(I6))&lt;=MAX(2,0.02*N(G6))),"MATCH","REVIEW"))</f>
        <v/>
      </c>
    </row>
    <row r="7">
      <c r="A7" s="89">
        <f>IF(Calc_Data!A33="","",Calc_Data!A33)</f>
        <v/>
      </c>
      <c r="B7" s="90">
        <f>IF(Calc_Data!A33="","",Calc_Data!B33)</f>
        <v/>
      </c>
      <c r="C7" s="91">
        <f>IF(Calc_Data!A33="","",Calc_Data!C33)</f>
        <v/>
      </c>
      <c r="D7" s="91">
        <f>IF(Calc_Data!A33="","",Calc_Data!D33)</f>
        <v/>
      </c>
      <c r="E7" s="91">
        <f>IF($A7="","",N(C7)-N(D7))</f>
        <v/>
      </c>
      <c r="F7" s="92">
        <f>IF(OR($A7="",N(D7)=0),"",E7/D7)</f>
        <v/>
      </c>
      <c r="G7" s="91">
        <f>IF(Calc_Data!A33="","",Calc_Data!E33)</f>
        <v/>
      </c>
      <c r="H7" s="91">
        <f>IF(Calc_Data!A33="","",Calc_Data!F33)</f>
        <v/>
      </c>
      <c r="I7" s="91">
        <f>IF($A7="","",N(G7)-N(H7))</f>
        <v/>
      </c>
      <c r="J7" s="91">
        <f>IF(Calc_Data!A33="","",Calc_Data!G33)</f>
        <v/>
      </c>
      <c r="K7" s="91">
        <f>IF(Calc_Data!A33="","",Calc_Data!H33)</f>
        <v/>
      </c>
      <c r="L7" s="91">
        <f>IF($A7="","",N(J7)-N(K7))</f>
        <v/>
      </c>
      <c r="M7" s="92">
        <f>IF(Calc_Data!A33="","",Calc_Data!K33)</f>
        <v/>
      </c>
      <c r="N7" s="92">
        <f>IF(Calc_Data!A33="","",Calc_Data!L33)</f>
        <v/>
      </c>
      <c r="O7" s="93">
        <f>IF($A7="","",(N(M7)-N(N7))*100)</f>
        <v/>
      </c>
      <c r="P7" s="94">
        <f>IF(Calc_Data!A33="","",Calc_Data!M33)</f>
        <v/>
      </c>
      <c r="Q7" s="94">
        <f>IF(Calc_Data!A33="","",Calc_Data!N33)</f>
        <v/>
      </c>
      <c r="R7" s="94">
        <f>IF($A7="","",N(P7)-N(Q7))</f>
        <v/>
      </c>
      <c r="S7" s="95">
        <f>IF($A7="","",IF(AND(ABS(N(F7))&lt;=$H$3,ABS(N(I7))&lt;=MAX(2,0.02*N(G7))),"MATCH","REVIEW"))</f>
        <v/>
      </c>
    </row>
    <row r="8">
      <c r="A8" s="89">
        <f>IF(Calc_Data!A34="","",Calc_Data!A34)</f>
        <v/>
      </c>
      <c r="B8" s="90">
        <f>IF(Calc_Data!A34="","",Calc_Data!B34)</f>
        <v/>
      </c>
      <c r="C8" s="91">
        <f>IF(Calc_Data!A34="","",Calc_Data!C34)</f>
        <v/>
      </c>
      <c r="D8" s="91">
        <f>IF(Calc_Data!A34="","",Calc_Data!D34)</f>
        <v/>
      </c>
      <c r="E8" s="91">
        <f>IF($A8="","",N(C8)-N(D8))</f>
        <v/>
      </c>
      <c r="F8" s="92">
        <f>IF(OR($A8="",N(D8)=0),"",E8/D8)</f>
        <v/>
      </c>
      <c r="G8" s="91">
        <f>IF(Calc_Data!A34="","",Calc_Data!E34)</f>
        <v/>
      </c>
      <c r="H8" s="91">
        <f>IF(Calc_Data!A34="","",Calc_Data!F34)</f>
        <v/>
      </c>
      <c r="I8" s="91">
        <f>IF($A8="","",N(G8)-N(H8))</f>
        <v/>
      </c>
      <c r="J8" s="91">
        <f>IF(Calc_Data!A34="","",Calc_Data!G34)</f>
        <v/>
      </c>
      <c r="K8" s="91">
        <f>IF(Calc_Data!A34="","",Calc_Data!H34)</f>
        <v/>
      </c>
      <c r="L8" s="91">
        <f>IF($A8="","",N(J8)-N(K8))</f>
        <v/>
      </c>
      <c r="M8" s="92">
        <f>IF(Calc_Data!A34="","",Calc_Data!K34)</f>
        <v/>
      </c>
      <c r="N8" s="92">
        <f>IF(Calc_Data!A34="","",Calc_Data!L34)</f>
        <v/>
      </c>
      <c r="O8" s="93">
        <f>IF($A8="","",(N(M8)-N(N8))*100)</f>
        <v/>
      </c>
      <c r="P8" s="94">
        <f>IF(Calc_Data!A34="","",Calc_Data!M34)</f>
        <v/>
      </c>
      <c r="Q8" s="94">
        <f>IF(Calc_Data!A34="","",Calc_Data!N34)</f>
        <v/>
      </c>
      <c r="R8" s="94">
        <f>IF($A8="","",N(P8)-N(Q8))</f>
        <v/>
      </c>
      <c r="S8" s="95">
        <f>IF($A8="","",IF(AND(ABS(N(F8))&lt;=$H$3,ABS(N(I8))&lt;=MAX(2,0.02*N(G8))),"MATCH","REVIEW"))</f>
        <v/>
      </c>
    </row>
    <row r="9">
      <c r="A9" s="89">
        <f>IF(Calc_Data!A35="","",Calc_Data!A35)</f>
        <v/>
      </c>
      <c r="B9" s="90">
        <f>IF(Calc_Data!A35="","",Calc_Data!B35)</f>
        <v/>
      </c>
      <c r="C9" s="91">
        <f>IF(Calc_Data!A35="","",Calc_Data!C35)</f>
        <v/>
      </c>
      <c r="D9" s="91">
        <f>IF(Calc_Data!A35="","",Calc_Data!D35)</f>
        <v/>
      </c>
      <c r="E9" s="91">
        <f>IF($A9="","",N(C9)-N(D9))</f>
        <v/>
      </c>
      <c r="F9" s="92">
        <f>IF(OR($A9="",N(D9)=0),"",E9/D9)</f>
        <v/>
      </c>
      <c r="G9" s="91">
        <f>IF(Calc_Data!A35="","",Calc_Data!E35)</f>
        <v/>
      </c>
      <c r="H9" s="91">
        <f>IF(Calc_Data!A35="","",Calc_Data!F35)</f>
        <v/>
      </c>
      <c r="I9" s="91">
        <f>IF($A9="","",N(G9)-N(H9))</f>
        <v/>
      </c>
      <c r="J9" s="91">
        <f>IF(Calc_Data!A35="","",Calc_Data!G35)</f>
        <v/>
      </c>
      <c r="K9" s="91">
        <f>IF(Calc_Data!A35="","",Calc_Data!H35)</f>
        <v/>
      </c>
      <c r="L9" s="91">
        <f>IF($A9="","",N(J9)-N(K9))</f>
        <v/>
      </c>
      <c r="M9" s="92">
        <f>IF(Calc_Data!A35="","",Calc_Data!K35)</f>
        <v/>
      </c>
      <c r="N9" s="92">
        <f>IF(Calc_Data!A35="","",Calc_Data!L35)</f>
        <v/>
      </c>
      <c r="O9" s="93">
        <f>IF($A9="","",(N(M9)-N(N9))*100)</f>
        <v/>
      </c>
      <c r="P9" s="94">
        <f>IF(Calc_Data!A35="","",Calc_Data!M35)</f>
        <v/>
      </c>
      <c r="Q9" s="94">
        <f>IF(Calc_Data!A35="","",Calc_Data!N35)</f>
        <v/>
      </c>
      <c r="R9" s="94">
        <f>IF($A9="","",N(P9)-N(Q9))</f>
        <v/>
      </c>
      <c r="S9" s="95">
        <f>IF($A9="","",IF(AND(ABS(N(F9))&lt;=$H$3,ABS(N(I9))&lt;=MAX(2,0.02*N(G9))),"MATCH","REVIEW"))</f>
        <v/>
      </c>
    </row>
    <row r="10">
      <c r="A10" s="89">
        <f>IF(Calc_Data!A36="","",Calc_Data!A36)</f>
        <v/>
      </c>
      <c r="B10" s="90">
        <f>IF(Calc_Data!A36="","",Calc_Data!B36)</f>
        <v/>
      </c>
      <c r="C10" s="91">
        <f>IF(Calc_Data!A36="","",Calc_Data!C36)</f>
        <v/>
      </c>
      <c r="D10" s="91">
        <f>IF(Calc_Data!A36="","",Calc_Data!D36)</f>
        <v/>
      </c>
      <c r="E10" s="91">
        <f>IF($A10="","",N(C10)-N(D10))</f>
        <v/>
      </c>
      <c r="F10" s="92">
        <f>IF(OR($A10="",N(D10)=0),"",E10/D10)</f>
        <v/>
      </c>
      <c r="G10" s="91">
        <f>IF(Calc_Data!A36="","",Calc_Data!E36)</f>
        <v/>
      </c>
      <c r="H10" s="91">
        <f>IF(Calc_Data!A36="","",Calc_Data!F36)</f>
        <v/>
      </c>
      <c r="I10" s="91">
        <f>IF($A10="","",N(G10)-N(H10))</f>
        <v/>
      </c>
      <c r="J10" s="91">
        <f>IF(Calc_Data!A36="","",Calc_Data!G36)</f>
        <v/>
      </c>
      <c r="K10" s="91">
        <f>IF(Calc_Data!A36="","",Calc_Data!H36)</f>
        <v/>
      </c>
      <c r="L10" s="91">
        <f>IF($A10="","",N(J10)-N(K10))</f>
        <v/>
      </c>
      <c r="M10" s="92">
        <f>IF(Calc_Data!A36="","",Calc_Data!K36)</f>
        <v/>
      </c>
      <c r="N10" s="92">
        <f>IF(Calc_Data!A36="","",Calc_Data!L36)</f>
        <v/>
      </c>
      <c r="O10" s="93">
        <f>IF($A10="","",(N(M10)-N(N10))*100)</f>
        <v/>
      </c>
      <c r="P10" s="94">
        <f>IF(Calc_Data!A36="","",Calc_Data!M36)</f>
        <v/>
      </c>
      <c r="Q10" s="94">
        <f>IF(Calc_Data!A36="","",Calc_Data!N36)</f>
        <v/>
      </c>
      <c r="R10" s="94">
        <f>IF($A10="","",N(P10)-N(Q10))</f>
        <v/>
      </c>
      <c r="S10" s="95">
        <f>IF($A10="","",IF(AND(ABS(N(F10))&lt;=$H$3,ABS(N(I10))&lt;=MAX(2,0.02*N(G10))),"MATCH","REVIEW"))</f>
        <v/>
      </c>
    </row>
    <row r="11">
      <c r="A11" s="89">
        <f>IF(Calc_Data!A37="","",Calc_Data!A37)</f>
        <v/>
      </c>
      <c r="B11" s="90">
        <f>IF(Calc_Data!A37="","",Calc_Data!B37)</f>
        <v/>
      </c>
      <c r="C11" s="91">
        <f>IF(Calc_Data!A37="","",Calc_Data!C37)</f>
        <v/>
      </c>
      <c r="D11" s="91">
        <f>IF(Calc_Data!A37="","",Calc_Data!D37)</f>
        <v/>
      </c>
      <c r="E11" s="91">
        <f>IF($A11="","",N(C11)-N(D11))</f>
        <v/>
      </c>
      <c r="F11" s="92">
        <f>IF(OR($A11="",N(D11)=0),"",E11/D11)</f>
        <v/>
      </c>
      <c r="G11" s="91">
        <f>IF(Calc_Data!A37="","",Calc_Data!E37)</f>
        <v/>
      </c>
      <c r="H11" s="91">
        <f>IF(Calc_Data!A37="","",Calc_Data!F37)</f>
        <v/>
      </c>
      <c r="I11" s="91">
        <f>IF($A11="","",N(G11)-N(H11))</f>
        <v/>
      </c>
      <c r="J11" s="91">
        <f>IF(Calc_Data!A37="","",Calc_Data!G37)</f>
        <v/>
      </c>
      <c r="K11" s="91">
        <f>IF(Calc_Data!A37="","",Calc_Data!H37)</f>
        <v/>
      </c>
      <c r="L11" s="91">
        <f>IF($A11="","",N(J11)-N(K11))</f>
        <v/>
      </c>
      <c r="M11" s="92">
        <f>IF(Calc_Data!A37="","",Calc_Data!K37)</f>
        <v/>
      </c>
      <c r="N11" s="92">
        <f>IF(Calc_Data!A37="","",Calc_Data!L37)</f>
        <v/>
      </c>
      <c r="O11" s="93">
        <f>IF($A11="","",(N(M11)-N(N11))*100)</f>
        <v/>
      </c>
      <c r="P11" s="94">
        <f>IF(Calc_Data!A37="","",Calc_Data!M37)</f>
        <v/>
      </c>
      <c r="Q11" s="94">
        <f>IF(Calc_Data!A37="","",Calc_Data!N37)</f>
        <v/>
      </c>
      <c r="R11" s="94">
        <f>IF($A11="","",N(P11)-N(Q11))</f>
        <v/>
      </c>
      <c r="S11" s="95">
        <f>IF($A11="","",IF(AND(ABS(N(F11))&lt;=$H$3,ABS(N(I11))&lt;=MAX(2,0.02*N(G11))),"MATCH","REVIEW"))</f>
        <v/>
      </c>
    </row>
    <row r="12">
      <c r="A12" s="89">
        <f>IF(Calc_Data!A38="","",Calc_Data!A38)</f>
        <v/>
      </c>
      <c r="B12" s="90">
        <f>IF(Calc_Data!A38="","",Calc_Data!B38)</f>
        <v/>
      </c>
      <c r="C12" s="91">
        <f>IF(Calc_Data!A38="","",Calc_Data!C38)</f>
        <v/>
      </c>
      <c r="D12" s="91">
        <f>IF(Calc_Data!A38="","",Calc_Data!D38)</f>
        <v/>
      </c>
      <c r="E12" s="91">
        <f>IF($A12="","",N(C12)-N(D12))</f>
        <v/>
      </c>
      <c r="F12" s="92">
        <f>IF(OR($A12="",N(D12)=0),"",E12/D12)</f>
        <v/>
      </c>
      <c r="G12" s="91">
        <f>IF(Calc_Data!A38="","",Calc_Data!E38)</f>
        <v/>
      </c>
      <c r="H12" s="91">
        <f>IF(Calc_Data!A38="","",Calc_Data!F38)</f>
        <v/>
      </c>
      <c r="I12" s="91">
        <f>IF($A12="","",N(G12)-N(H12))</f>
        <v/>
      </c>
      <c r="J12" s="91">
        <f>IF(Calc_Data!A38="","",Calc_Data!G38)</f>
        <v/>
      </c>
      <c r="K12" s="91">
        <f>IF(Calc_Data!A38="","",Calc_Data!H38)</f>
        <v/>
      </c>
      <c r="L12" s="91">
        <f>IF($A12="","",N(J12)-N(K12))</f>
        <v/>
      </c>
      <c r="M12" s="92">
        <f>IF(Calc_Data!A38="","",Calc_Data!K38)</f>
        <v/>
      </c>
      <c r="N12" s="92">
        <f>IF(Calc_Data!A38="","",Calc_Data!L38)</f>
        <v/>
      </c>
      <c r="O12" s="93">
        <f>IF($A12="","",(N(M12)-N(N12))*100)</f>
        <v/>
      </c>
      <c r="P12" s="94">
        <f>IF(Calc_Data!A38="","",Calc_Data!M38)</f>
        <v/>
      </c>
      <c r="Q12" s="94">
        <f>IF(Calc_Data!A38="","",Calc_Data!N38)</f>
        <v/>
      </c>
      <c r="R12" s="94">
        <f>IF($A12="","",N(P12)-N(Q12))</f>
        <v/>
      </c>
      <c r="S12" s="95">
        <f>IF($A12="","",IF(AND(ABS(N(F12))&lt;=$H$3,ABS(N(I12))&lt;=MAX(2,0.02*N(G12))),"MATCH","REVIEW"))</f>
        <v/>
      </c>
    </row>
    <row r="13">
      <c r="A13" s="89">
        <f>IF(Calc_Data!A39="","",Calc_Data!A39)</f>
        <v/>
      </c>
      <c r="B13" s="90">
        <f>IF(Calc_Data!A39="","",Calc_Data!B39)</f>
        <v/>
      </c>
      <c r="C13" s="91">
        <f>IF(Calc_Data!A39="","",Calc_Data!C39)</f>
        <v/>
      </c>
      <c r="D13" s="91">
        <f>IF(Calc_Data!A39="","",Calc_Data!D39)</f>
        <v/>
      </c>
      <c r="E13" s="91">
        <f>IF($A13="","",N(C13)-N(D13))</f>
        <v/>
      </c>
      <c r="F13" s="92">
        <f>IF(OR($A13="",N(D13)=0),"",E13/D13)</f>
        <v/>
      </c>
      <c r="G13" s="91">
        <f>IF(Calc_Data!A39="","",Calc_Data!E39)</f>
        <v/>
      </c>
      <c r="H13" s="91">
        <f>IF(Calc_Data!A39="","",Calc_Data!F39)</f>
        <v/>
      </c>
      <c r="I13" s="91">
        <f>IF($A13="","",N(G13)-N(H13))</f>
        <v/>
      </c>
      <c r="J13" s="91">
        <f>IF(Calc_Data!A39="","",Calc_Data!G39)</f>
        <v/>
      </c>
      <c r="K13" s="91">
        <f>IF(Calc_Data!A39="","",Calc_Data!H39)</f>
        <v/>
      </c>
      <c r="L13" s="91">
        <f>IF($A13="","",N(J13)-N(K13))</f>
        <v/>
      </c>
      <c r="M13" s="92">
        <f>IF(Calc_Data!A39="","",Calc_Data!K39)</f>
        <v/>
      </c>
      <c r="N13" s="92">
        <f>IF(Calc_Data!A39="","",Calc_Data!L39)</f>
        <v/>
      </c>
      <c r="O13" s="93">
        <f>IF($A13="","",(N(M13)-N(N13))*100)</f>
        <v/>
      </c>
      <c r="P13" s="94">
        <f>IF(Calc_Data!A39="","",Calc_Data!M39)</f>
        <v/>
      </c>
      <c r="Q13" s="94">
        <f>IF(Calc_Data!A39="","",Calc_Data!N39)</f>
        <v/>
      </c>
      <c r="R13" s="94">
        <f>IF($A13="","",N(P13)-N(Q13))</f>
        <v/>
      </c>
      <c r="S13" s="95">
        <f>IF($A13="","",IF(AND(ABS(N(F13))&lt;=$H$3,ABS(N(I13))&lt;=MAX(2,0.02*N(G13))),"MATCH","REVIEW"))</f>
        <v/>
      </c>
    </row>
    <row r="14">
      <c r="A14" s="89">
        <f>IF(Calc_Data!A40="","",Calc_Data!A40)</f>
        <v/>
      </c>
      <c r="B14" s="90">
        <f>IF(Calc_Data!A40="","",Calc_Data!B40)</f>
        <v/>
      </c>
      <c r="C14" s="91">
        <f>IF(Calc_Data!A40="","",Calc_Data!C40)</f>
        <v/>
      </c>
      <c r="D14" s="91">
        <f>IF(Calc_Data!A40="","",Calc_Data!D40)</f>
        <v/>
      </c>
      <c r="E14" s="91">
        <f>IF($A14="","",N(C14)-N(D14))</f>
        <v/>
      </c>
      <c r="F14" s="92">
        <f>IF(OR($A14="",N(D14)=0),"",E14/D14)</f>
        <v/>
      </c>
      <c r="G14" s="91">
        <f>IF(Calc_Data!A40="","",Calc_Data!E40)</f>
        <v/>
      </c>
      <c r="H14" s="91">
        <f>IF(Calc_Data!A40="","",Calc_Data!F40)</f>
        <v/>
      </c>
      <c r="I14" s="91">
        <f>IF($A14="","",N(G14)-N(H14))</f>
        <v/>
      </c>
      <c r="J14" s="91">
        <f>IF(Calc_Data!A40="","",Calc_Data!G40)</f>
        <v/>
      </c>
      <c r="K14" s="91">
        <f>IF(Calc_Data!A40="","",Calc_Data!H40)</f>
        <v/>
      </c>
      <c r="L14" s="91">
        <f>IF($A14="","",N(J14)-N(K14))</f>
        <v/>
      </c>
      <c r="M14" s="92">
        <f>IF(Calc_Data!A40="","",Calc_Data!K40)</f>
        <v/>
      </c>
      <c r="N14" s="92">
        <f>IF(Calc_Data!A40="","",Calc_Data!L40)</f>
        <v/>
      </c>
      <c r="O14" s="93">
        <f>IF($A14="","",(N(M14)-N(N14))*100)</f>
        <v/>
      </c>
      <c r="P14" s="94">
        <f>IF(Calc_Data!A40="","",Calc_Data!M40)</f>
        <v/>
      </c>
      <c r="Q14" s="94">
        <f>IF(Calc_Data!A40="","",Calc_Data!N40)</f>
        <v/>
      </c>
      <c r="R14" s="94">
        <f>IF($A14="","",N(P14)-N(Q14))</f>
        <v/>
      </c>
      <c r="S14" s="95">
        <f>IF($A14="","",IF(AND(ABS(N(F14))&lt;=$H$3,ABS(N(I14))&lt;=MAX(2,0.02*N(G14))),"MATCH","REVIEW"))</f>
        <v/>
      </c>
    </row>
    <row r="15">
      <c r="A15" s="89">
        <f>IF(Calc_Data!A41="","",Calc_Data!A41)</f>
        <v/>
      </c>
      <c r="B15" s="90">
        <f>IF(Calc_Data!A41="","",Calc_Data!B41)</f>
        <v/>
      </c>
      <c r="C15" s="91">
        <f>IF(Calc_Data!A41="","",Calc_Data!C41)</f>
        <v/>
      </c>
      <c r="D15" s="91">
        <f>IF(Calc_Data!A41="","",Calc_Data!D41)</f>
        <v/>
      </c>
      <c r="E15" s="91">
        <f>IF($A15="","",N(C15)-N(D15))</f>
        <v/>
      </c>
      <c r="F15" s="92">
        <f>IF(OR($A15="",N(D15)=0),"",E15/D15)</f>
        <v/>
      </c>
      <c r="G15" s="91">
        <f>IF(Calc_Data!A41="","",Calc_Data!E41)</f>
        <v/>
      </c>
      <c r="H15" s="91">
        <f>IF(Calc_Data!A41="","",Calc_Data!F41)</f>
        <v/>
      </c>
      <c r="I15" s="91">
        <f>IF($A15="","",N(G15)-N(H15))</f>
        <v/>
      </c>
      <c r="J15" s="91">
        <f>IF(Calc_Data!A41="","",Calc_Data!G41)</f>
        <v/>
      </c>
      <c r="K15" s="91">
        <f>IF(Calc_Data!A41="","",Calc_Data!H41)</f>
        <v/>
      </c>
      <c r="L15" s="91">
        <f>IF($A15="","",N(J15)-N(K15))</f>
        <v/>
      </c>
      <c r="M15" s="92">
        <f>IF(Calc_Data!A41="","",Calc_Data!K41)</f>
        <v/>
      </c>
      <c r="N15" s="92">
        <f>IF(Calc_Data!A41="","",Calc_Data!L41)</f>
        <v/>
      </c>
      <c r="O15" s="93">
        <f>IF($A15="","",(N(M15)-N(N15))*100)</f>
        <v/>
      </c>
      <c r="P15" s="94">
        <f>IF(Calc_Data!A41="","",Calc_Data!M41)</f>
        <v/>
      </c>
      <c r="Q15" s="94">
        <f>IF(Calc_Data!A41="","",Calc_Data!N41)</f>
        <v/>
      </c>
      <c r="R15" s="94">
        <f>IF($A15="","",N(P15)-N(Q15))</f>
        <v/>
      </c>
      <c r="S15" s="95">
        <f>IF($A15="","",IF(AND(ABS(N(F15))&lt;=$H$3,ABS(N(I15))&lt;=MAX(2,0.02*N(G15))),"MATCH","REVIEW"))</f>
        <v/>
      </c>
    </row>
    <row r="16">
      <c r="A16" s="89">
        <f>IF(Calc_Data!A42="","",Calc_Data!A42)</f>
        <v/>
      </c>
      <c r="B16" s="90">
        <f>IF(Calc_Data!A42="","",Calc_Data!B42)</f>
        <v/>
      </c>
      <c r="C16" s="91">
        <f>IF(Calc_Data!A42="","",Calc_Data!C42)</f>
        <v/>
      </c>
      <c r="D16" s="91">
        <f>IF(Calc_Data!A42="","",Calc_Data!D42)</f>
        <v/>
      </c>
      <c r="E16" s="91">
        <f>IF($A16="","",N(C16)-N(D16))</f>
        <v/>
      </c>
      <c r="F16" s="92">
        <f>IF(OR($A16="",N(D16)=0),"",E16/D16)</f>
        <v/>
      </c>
      <c r="G16" s="91">
        <f>IF(Calc_Data!A42="","",Calc_Data!E42)</f>
        <v/>
      </c>
      <c r="H16" s="91">
        <f>IF(Calc_Data!A42="","",Calc_Data!F42)</f>
        <v/>
      </c>
      <c r="I16" s="91">
        <f>IF($A16="","",N(G16)-N(H16))</f>
        <v/>
      </c>
      <c r="J16" s="91">
        <f>IF(Calc_Data!A42="","",Calc_Data!G42)</f>
        <v/>
      </c>
      <c r="K16" s="91">
        <f>IF(Calc_Data!A42="","",Calc_Data!H42)</f>
        <v/>
      </c>
      <c r="L16" s="91">
        <f>IF($A16="","",N(J16)-N(K16))</f>
        <v/>
      </c>
      <c r="M16" s="92">
        <f>IF(Calc_Data!A42="","",Calc_Data!K42)</f>
        <v/>
      </c>
      <c r="N16" s="92">
        <f>IF(Calc_Data!A42="","",Calc_Data!L42)</f>
        <v/>
      </c>
      <c r="O16" s="93">
        <f>IF($A16="","",(N(M16)-N(N16))*100)</f>
        <v/>
      </c>
      <c r="P16" s="94">
        <f>IF(Calc_Data!A42="","",Calc_Data!M42)</f>
        <v/>
      </c>
      <c r="Q16" s="94">
        <f>IF(Calc_Data!A42="","",Calc_Data!N42)</f>
        <v/>
      </c>
      <c r="R16" s="94">
        <f>IF($A16="","",N(P16)-N(Q16))</f>
        <v/>
      </c>
      <c r="S16" s="95">
        <f>IF($A16="","",IF(AND(ABS(N(F16))&lt;=$H$3,ABS(N(I16))&lt;=MAX(2,0.02*N(G16))),"MATCH","REVIEW"))</f>
        <v/>
      </c>
    </row>
    <row r="17">
      <c r="A17" s="89">
        <f>IF(Calc_Data!A43="","",Calc_Data!A43)</f>
        <v/>
      </c>
      <c r="B17" s="90">
        <f>IF(Calc_Data!A43="","",Calc_Data!B43)</f>
        <v/>
      </c>
      <c r="C17" s="91">
        <f>IF(Calc_Data!A43="","",Calc_Data!C43)</f>
        <v/>
      </c>
      <c r="D17" s="91">
        <f>IF(Calc_Data!A43="","",Calc_Data!D43)</f>
        <v/>
      </c>
      <c r="E17" s="91">
        <f>IF($A17="","",N(C17)-N(D17))</f>
        <v/>
      </c>
      <c r="F17" s="92">
        <f>IF(OR($A17="",N(D17)=0),"",E17/D17)</f>
        <v/>
      </c>
      <c r="G17" s="91">
        <f>IF(Calc_Data!A43="","",Calc_Data!E43)</f>
        <v/>
      </c>
      <c r="H17" s="91">
        <f>IF(Calc_Data!A43="","",Calc_Data!F43)</f>
        <v/>
      </c>
      <c r="I17" s="91">
        <f>IF($A17="","",N(G17)-N(H17))</f>
        <v/>
      </c>
      <c r="J17" s="91">
        <f>IF(Calc_Data!A43="","",Calc_Data!G43)</f>
        <v/>
      </c>
      <c r="K17" s="91">
        <f>IF(Calc_Data!A43="","",Calc_Data!H43)</f>
        <v/>
      </c>
      <c r="L17" s="91">
        <f>IF($A17="","",N(J17)-N(K17))</f>
        <v/>
      </c>
      <c r="M17" s="92">
        <f>IF(Calc_Data!A43="","",Calc_Data!K43)</f>
        <v/>
      </c>
      <c r="N17" s="92">
        <f>IF(Calc_Data!A43="","",Calc_Data!L43)</f>
        <v/>
      </c>
      <c r="O17" s="93">
        <f>IF($A17="","",(N(M17)-N(N17))*100)</f>
        <v/>
      </c>
      <c r="P17" s="94">
        <f>IF(Calc_Data!A43="","",Calc_Data!M43)</f>
        <v/>
      </c>
      <c r="Q17" s="94">
        <f>IF(Calc_Data!A43="","",Calc_Data!N43)</f>
        <v/>
      </c>
      <c r="R17" s="94">
        <f>IF($A17="","",N(P17)-N(Q17))</f>
        <v/>
      </c>
      <c r="S17" s="95">
        <f>IF($A17="","",IF(AND(ABS(N(F17))&lt;=$H$3,ABS(N(I17))&lt;=MAX(2,0.02*N(G17))),"MATCH","REVIEW"))</f>
        <v/>
      </c>
    </row>
    <row r="18">
      <c r="A18" s="89">
        <f>IF(Calc_Data!A44="","",Calc_Data!A44)</f>
        <v/>
      </c>
      <c r="B18" s="90">
        <f>IF(Calc_Data!A44="","",Calc_Data!B44)</f>
        <v/>
      </c>
      <c r="C18" s="91">
        <f>IF(Calc_Data!A44="","",Calc_Data!C44)</f>
        <v/>
      </c>
      <c r="D18" s="91">
        <f>IF(Calc_Data!A44="","",Calc_Data!D44)</f>
        <v/>
      </c>
      <c r="E18" s="91">
        <f>IF($A18="","",N(C18)-N(D18))</f>
        <v/>
      </c>
      <c r="F18" s="92">
        <f>IF(OR($A18="",N(D18)=0),"",E18/D18)</f>
        <v/>
      </c>
      <c r="G18" s="91">
        <f>IF(Calc_Data!A44="","",Calc_Data!E44)</f>
        <v/>
      </c>
      <c r="H18" s="91">
        <f>IF(Calc_Data!A44="","",Calc_Data!F44)</f>
        <v/>
      </c>
      <c r="I18" s="91">
        <f>IF($A18="","",N(G18)-N(H18))</f>
        <v/>
      </c>
      <c r="J18" s="91">
        <f>IF(Calc_Data!A44="","",Calc_Data!G44)</f>
        <v/>
      </c>
      <c r="K18" s="91">
        <f>IF(Calc_Data!A44="","",Calc_Data!H44)</f>
        <v/>
      </c>
      <c r="L18" s="91">
        <f>IF($A18="","",N(J18)-N(K18))</f>
        <v/>
      </c>
      <c r="M18" s="92">
        <f>IF(Calc_Data!A44="","",Calc_Data!K44)</f>
        <v/>
      </c>
      <c r="N18" s="92">
        <f>IF(Calc_Data!A44="","",Calc_Data!L44)</f>
        <v/>
      </c>
      <c r="O18" s="93">
        <f>IF($A18="","",(N(M18)-N(N18))*100)</f>
        <v/>
      </c>
      <c r="P18" s="94">
        <f>IF(Calc_Data!A44="","",Calc_Data!M44)</f>
        <v/>
      </c>
      <c r="Q18" s="94">
        <f>IF(Calc_Data!A44="","",Calc_Data!N44)</f>
        <v/>
      </c>
      <c r="R18" s="94">
        <f>IF($A18="","",N(P18)-N(Q18))</f>
        <v/>
      </c>
      <c r="S18" s="95">
        <f>IF($A18="","",IF(AND(ABS(N(F18))&lt;=$H$3,ABS(N(I18))&lt;=MAX(2,0.02*N(G18))),"MATCH","REVIEW"))</f>
        <v/>
      </c>
    </row>
    <row r="19">
      <c r="A19" s="89">
        <f>IF(Calc_Data!A45="","",Calc_Data!A45)</f>
        <v/>
      </c>
      <c r="B19" s="90">
        <f>IF(Calc_Data!A45="","",Calc_Data!B45)</f>
        <v/>
      </c>
      <c r="C19" s="91">
        <f>IF(Calc_Data!A45="","",Calc_Data!C45)</f>
        <v/>
      </c>
      <c r="D19" s="91">
        <f>IF(Calc_Data!A45="","",Calc_Data!D45)</f>
        <v/>
      </c>
      <c r="E19" s="91">
        <f>IF($A19="","",N(C19)-N(D19))</f>
        <v/>
      </c>
      <c r="F19" s="92">
        <f>IF(OR($A19="",N(D19)=0),"",E19/D19)</f>
        <v/>
      </c>
      <c r="G19" s="91">
        <f>IF(Calc_Data!A45="","",Calc_Data!E45)</f>
        <v/>
      </c>
      <c r="H19" s="91">
        <f>IF(Calc_Data!A45="","",Calc_Data!F45)</f>
        <v/>
      </c>
      <c r="I19" s="91">
        <f>IF($A19="","",N(G19)-N(H19))</f>
        <v/>
      </c>
      <c r="J19" s="91">
        <f>IF(Calc_Data!A45="","",Calc_Data!G45)</f>
        <v/>
      </c>
      <c r="K19" s="91">
        <f>IF(Calc_Data!A45="","",Calc_Data!H45)</f>
        <v/>
      </c>
      <c r="L19" s="91">
        <f>IF($A19="","",N(J19)-N(K19))</f>
        <v/>
      </c>
      <c r="M19" s="92">
        <f>IF(Calc_Data!A45="","",Calc_Data!K45)</f>
        <v/>
      </c>
      <c r="N19" s="92">
        <f>IF(Calc_Data!A45="","",Calc_Data!L45)</f>
        <v/>
      </c>
      <c r="O19" s="93">
        <f>IF($A19="","",(N(M19)-N(N19))*100)</f>
        <v/>
      </c>
      <c r="P19" s="94">
        <f>IF(Calc_Data!A45="","",Calc_Data!M45)</f>
        <v/>
      </c>
      <c r="Q19" s="94">
        <f>IF(Calc_Data!A45="","",Calc_Data!N45)</f>
        <v/>
      </c>
      <c r="R19" s="94">
        <f>IF($A19="","",N(P19)-N(Q19))</f>
        <v/>
      </c>
      <c r="S19" s="95">
        <f>IF($A19="","",IF(AND(ABS(N(F19))&lt;=$H$3,ABS(N(I19))&lt;=MAX(2,0.02*N(G19))),"MATCH","REVIEW"))</f>
        <v/>
      </c>
    </row>
    <row r="20">
      <c r="A20" s="89">
        <f>IF(Calc_Data!A46="","",Calc_Data!A46)</f>
        <v/>
      </c>
      <c r="B20" s="90">
        <f>IF(Calc_Data!A46="","",Calc_Data!B46)</f>
        <v/>
      </c>
      <c r="C20" s="91">
        <f>IF(Calc_Data!A46="","",Calc_Data!C46)</f>
        <v/>
      </c>
      <c r="D20" s="91">
        <f>IF(Calc_Data!A46="","",Calc_Data!D46)</f>
        <v/>
      </c>
      <c r="E20" s="91">
        <f>IF($A20="","",N(C20)-N(D20))</f>
        <v/>
      </c>
      <c r="F20" s="92">
        <f>IF(OR($A20="",N(D20)=0),"",E20/D20)</f>
        <v/>
      </c>
      <c r="G20" s="91">
        <f>IF(Calc_Data!A46="","",Calc_Data!E46)</f>
        <v/>
      </c>
      <c r="H20" s="91">
        <f>IF(Calc_Data!A46="","",Calc_Data!F46)</f>
        <v/>
      </c>
      <c r="I20" s="91">
        <f>IF($A20="","",N(G20)-N(H20))</f>
        <v/>
      </c>
      <c r="J20" s="91">
        <f>IF(Calc_Data!A46="","",Calc_Data!G46)</f>
        <v/>
      </c>
      <c r="K20" s="91">
        <f>IF(Calc_Data!A46="","",Calc_Data!H46)</f>
        <v/>
      </c>
      <c r="L20" s="91">
        <f>IF($A20="","",N(J20)-N(K20))</f>
        <v/>
      </c>
      <c r="M20" s="92">
        <f>IF(Calc_Data!A46="","",Calc_Data!K46)</f>
        <v/>
      </c>
      <c r="N20" s="92">
        <f>IF(Calc_Data!A46="","",Calc_Data!L46)</f>
        <v/>
      </c>
      <c r="O20" s="93">
        <f>IF($A20="","",(N(M20)-N(N20))*100)</f>
        <v/>
      </c>
      <c r="P20" s="94">
        <f>IF(Calc_Data!A46="","",Calc_Data!M46)</f>
        <v/>
      </c>
      <c r="Q20" s="94">
        <f>IF(Calc_Data!A46="","",Calc_Data!N46)</f>
        <v/>
      </c>
      <c r="R20" s="94">
        <f>IF($A20="","",N(P20)-N(Q20))</f>
        <v/>
      </c>
      <c r="S20" s="95">
        <f>IF($A20="","",IF(AND(ABS(N(F20))&lt;=$H$3,ABS(N(I20))&lt;=MAX(2,0.02*N(G20))),"MATCH","REVIEW"))</f>
        <v/>
      </c>
    </row>
    <row r="21">
      <c r="A21" s="89">
        <f>IF(Calc_Data!A47="","",Calc_Data!A47)</f>
        <v/>
      </c>
      <c r="B21" s="90">
        <f>IF(Calc_Data!A47="","",Calc_Data!B47)</f>
        <v/>
      </c>
      <c r="C21" s="91">
        <f>IF(Calc_Data!A47="","",Calc_Data!C47)</f>
        <v/>
      </c>
      <c r="D21" s="91">
        <f>IF(Calc_Data!A47="","",Calc_Data!D47)</f>
        <v/>
      </c>
      <c r="E21" s="91">
        <f>IF($A21="","",N(C21)-N(D21))</f>
        <v/>
      </c>
      <c r="F21" s="92">
        <f>IF(OR($A21="",N(D21)=0),"",E21/D21)</f>
        <v/>
      </c>
      <c r="G21" s="91">
        <f>IF(Calc_Data!A47="","",Calc_Data!E47)</f>
        <v/>
      </c>
      <c r="H21" s="91">
        <f>IF(Calc_Data!A47="","",Calc_Data!F47)</f>
        <v/>
      </c>
      <c r="I21" s="91">
        <f>IF($A21="","",N(G21)-N(H21))</f>
        <v/>
      </c>
      <c r="J21" s="91">
        <f>IF(Calc_Data!A47="","",Calc_Data!G47)</f>
        <v/>
      </c>
      <c r="K21" s="91">
        <f>IF(Calc_Data!A47="","",Calc_Data!H47)</f>
        <v/>
      </c>
      <c r="L21" s="91">
        <f>IF($A21="","",N(J21)-N(K21))</f>
        <v/>
      </c>
      <c r="M21" s="92">
        <f>IF(Calc_Data!A47="","",Calc_Data!K47)</f>
        <v/>
      </c>
      <c r="N21" s="92">
        <f>IF(Calc_Data!A47="","",Calc_Data!L47)</f>
        <v/>
      </c>
      <c r="O21" s="93">
        <f>IF($A21="","",(N(M21)-N(N21))*100)</f>
        <v/>
      </c>
      <c r="P21" s="94">
        <f>IF(Calc_Data!A47="","",Calc_Data!M47)</f>
        <v/>
      </c>
      <c r="Q21" s="94">
        <f>IF(Calc_Data!A47="","",Calc_Data!N47)</f>
        <v/>
      </c>
      <c r="R21" s="94">
        <f>IF($A21="","",N(P21)-N(Q21))</f>
        <v/>
      </c>
      <c r="S21" s="95">
        <f>IF($A21="","",IF(AND(ABS(N(F21))&lt;=$H$3,ABS(N(I21))&lt;=MAX(2,0.02*N(G21))),"MATCH","REVIEW"))</f>
        <v/>
      </c>
    </row>
    <row r="22">
      <c r="A22" s="89">
        <f>IF(Calc_Data!A48="","",Calc_Data!A48)</f>
        <v/>
      </c>
      <c r="B22" s="90">
        <f>IF(Calc_Data!A48="","",Calc_Data!B48)</f>
        <v/>
      </c>
      <c r="C22" s="91">
        <f>IF(Calc_Data!A48="","",Calc_Data!C48)</f>
        <v/>
      </c>
      <c r="D22" s="91">
        <f>IF(Calc_Data!A48="","",Calc_Data!D48)</f>
        <v/>
      </c>
      <c r="E22" s="91">
        <f>IF($A22="","",N(C22)-N(D22))</f>
        <v/>
      </c>
      <c r="F22" s="92">
        <f>IF(OR($A22="",N(D22)=0),"",E22/D22)</f>
        <v/>
      </c>
      <c r="G22" s="91">
        <f>IF(Calc_Data!A48="","",Calc_Data!E48)</f>
        <v/>
      </c>
      <c r="H22" s="91">
        <f>IF(Calc_Data!A48="","",Calc_Data!F48)</f>
        <v/>
      </c>
      <c r="I22" s="91">
        <f>IF($A22="","",N(G22)-N(H22))</f>
        <v/>
      </c>
      <c r="J22" s="91">
        <f>IF(Calc_Data!A48="","",Calc_Data!G48)</f>
        <v/>
      </c>
      <c r="K22" s="91">
        <f>IF(Calc_Data!A48="","",Calc_Data!H48)</f>
        <v/>
      </c>
      <c r="L22" s="91">
        <f>IF($A22="","",N(J22)-N(K22))</f>
        <v/>
      </c>
      <c r="M22" s="92">
        <f>IF(Calc_Data!A48="","",Calc_Data!K48)</f>
        <v/>
      </c>
      <c r="N22" s="92">
        <f>IF(Calc_Data!A48="","",Calc_Data!L48)</f>
        <v/>
      </c>
      <c r="O22" s="93">
        <f>IF($A22="","",(N(M22)-N(N22))*100)</f>
        <v/>
      </c>
      <c r="P22" s="94">
        <f>IF(Calc_Data!A48="","",Calc_Data!M48)</f>
        <v/>
      </c>
      <c r="Q22" s="94">
        <f>IF(Calc_Data!A48="","",Calc_Data!N48)</f>
        <v/>
      </c>
      <c r="R22" s="94">
        <f>IF($A22="","",N(P22)-N(Q22))</f>
        <v/>
      </c>
      <c r="S22" s="95">
        <f>IF($A22="","",IF(AND(ABS(N(F22))&lt;=$H$3,ABS(N(I22))&lt;=MAX(2,0.02*N(G22))),"MATCH","REVIEW"))</f>
        <v/>
      </c>
    </row>
    <row r="23">
      <c r="A23" s="89">
        <f>IF(Calc_Data!A49="","",Calc_Data!A49)</f>
        <v/>
      </c>
      <c r="B23" s="90">
        <f>IF(Calc_Data!A49="","",Calc_Data!B49)</f>
        <v/>
      </c>
      <c r="C23" s="91">
        <f>IF(Calc_Data!A49="","",Calc_Data!C49)</f>
        <v/>
      </c>
      <c r="D23" s="91">
        <f>IF(Calc_Data!A49="","",Calc_Data!D49)</f>
        <v/>
      </c>
      <c r="E23" s="91">
        <f>IF($A23="","",N(C23)-N(D23))</f>
        <v/>
      </c>
      <c r="F23" s="92">
        <f>IF(OR($A23="",N(D23)=0),"",E23/D23)</f>
        <v/>
      </c>
      <c r="G23" s="91">
        <f>IF(Calc_Data!A49="","",Calc_Data!E49)</f>
        <v/>
      </c>
      <c r="H23" s="91">
        <f>IF(Calc_Data!A49="","",Calc_Data!F49)</f>
        <v/>
      </c>
      <c r="I23" s="91">
        <f>IF($A23="","",N(G23)-N(H23))</f>
        <v/>
      </c>
      <c r="J23" s="91">
        <f>IF(Calc_Data!A49="","",Calc_Data!G49)</f>
        <v/>
      </c>
      <c r="K23" s="91">
        <f>IF(Calc_Data!A49="","",Calc_Data!H49)</f>
        <v/>
      </c>
      <c r="L23" s="91">
        <f>IF($A23="","",N(J23)-N(K23))</f>
        <v/>
      </c>
      <c r="M23" s="92">
        <f>IF(Calc_Data!A49="","",Calc_Data!K49)</f>
        <v/>
      </c>
      <c r="N23" s="92">
        <f>IF(Calc_Data!A49="","",Calc_Data!L49)</f>
        <v/>
      </c>
      <c r="O23" s="93">
        <f>IF($A23="","",(N(M23)-N(N23))*100)</f>
        <v/>
      </c>
      <c r="P23" s="94">
        <f>IF(Calc_Data!A49="","",Calc_Data!M49)</f>
        <v/>
      </c>
      <c r="Q23" s="94">
        <f>IF(Calc_Data!A49="","",Calc_Data!N49)</f>
        <v/>
      </c>
      <c r="R23" s="94">
        <f>IF($A23="","",N(P23)-N(Q23))</f>
        <v/>
      </c>
      <c r="S23" s="95">
        <f>IF($A23="","",IF(AND(ABS(N(F23))&lt;=$H$3,ABS(N(I23))&lt;=MAX(2,0.02*N(G23))),"MATCH","REVIEW"))</f>
        <v/>
      </c>
    </row>
    <row r="24">
      <c r="A24" s="89">
        <f>IF(Calc_Data!A50="","",Calc_Data!A50)</f>
        <v/>
      </c>
      <c r="B24" s="90">
        <f>IF(Calc_Data!A50="","",Calc_Data!B50)</f>
        <v/>
      </c>
      <c r="C24" s="91">
        <f>IF(Calc_Data!A50="","",Calc_Data!C50)</f>
        <v/>
      </c>
      <c r="D24" s="91">
        <f>IF(Calc_Data!A50="","",Calc_Data!D50)</f>
        <v/>
      </c>
      <c r="E24" s="91">
        <f>IF($A24="","",N(C24)-N(D24))</f>
        <v/>
      </c>
      <c r="F24" s="92">
        <f>IF(OR($A24="",N(D24)=0),"",E24/D24)</f>
        <v/>
      </c>
      <c r="G24" s="91">
        <f>IF(Calc_Data!A50="","",Calc_Data!E50)</f>
        <v/>
      </c>
      <c r="H24" s="91">
        <f>IF(Calc_Data!A50="","",Calc_Data!F50)</f>
        <v/>
      </c>
      <c r="I24" s="91">
        <f>IF($A24="","",N(G24)-N(H24))</f>
        <v/>
      </c>
      <c r="J24" s="91">
        <f>IF(Calc_Data!A50="","",Calc_Data!G50)</f>
        <v/>
      </c>
      <c r="K24" s="91">
        <f>IF(Calc_Data!A50="","",Calc_Data!H50)</f>
        <v/>
      </c>
      <c r="L24" s="91">
        <f>IF($A24="","",N(J24)-N(K24))</f>
        <v/>
      </c>
      <c r="M24" s="92">
        <f>IF(Calc_Data!A50="","",Calc_Data!K50)</f>
        <v/>
      </c>
      <c r="N24" s="92">
        <f>IF(Calc_Data!A50="","",Calc_Data!L50)</f>
        <v/>
      </c>
      <c r="O24" s="93">
        <f>IF($A24="","",(N(M24)-N(N24))*100)</f>
        <v/>
      </c>
      <c r="P24" s="94">
        <f>IF(Calc_Data!A50="","",Calc_Data!M50)</f>
        <v/>
      </c>
      <c r="Q24" s="94">
        <f>IF(Calc_Data!A50="","",Calc_Data!N50)</f>
        <v/>
      </c>
      <c r="R24" s="94">
        <f>IF($A24="","",N(P24)-N(Q24))</f>
        <v/>
      </c>
      <c r="S24" s="95">
        <f>IF($A24="","",IF(AND(ABS(N(F24))&lt;=$H$3,ABS(N(I24))&lt;=MAX(2,0.02*N(G24))),"MATCH","REVIEW"))</f>
        <v/>
      </c>
    </row>
    <row r="25">
      <c r="A25" s="89">
        <f>IF(Calc_Data!A51="","",Calc_Data!A51)</f>
        <v/>
      </c>
      <c r="B25" s="90">
        <f>IF(Calc_Data!A51="","",Calc_Data!B51)</f>
        <v/>
      </c>
      <c r="C25" s="91">
        <f>IF(Calc_Data!A51="","",Calc_Data!C51)</f>
        <v/>
      </c>
      <c r="D25" s="91">
        <f>IF(Calc_Data!A51="","",Calc_Data!D51)</f>
        <v/>
      </c>
      <c r="E25" s="91">
        <f>IF($A25="","",N(C25)-N(D25))</f>
        <v/>
      </c>
      <c r="F25" s="92">
        <f>IF(OR($A25="",N(D25)=0),"",E25/D25)</f>
        <v/>
      </c>
      <c r="G25" s="91">
        <f>IF(Calc_Data!A51="","",Calc_Data!E51)</f>
        <v/>
      </c>
      <c r="H25" s="91">
        <f>IF(Calc_Data!A51="","",Calc_Data!F51)</f>
        <v/>
      </c>
      <c r="I25" s="91">
        <f>IF($A25="","",N(G25)-N(H25))</f>
        <v/>
      </c>
      <c r="J25" s="91">
        <f>IF(Calc_Data!A51="","",Calc_Data!G51)</f>
        <v/>
      </c>
      <c r="K25" s="91">
        <f>IF(Calc_Data!A51="","",Calc_Data!H51)</f>
        <v/>
      </c>
      <c r="L25" s="91">
        <f>IF($A25="","",N(J25)-N(K25))</f>
        <v/>
      </c>
      <c r="M25" s="92">
        <f>IF(Calc_Data!A51="","",Calc_Data!K51)</f>
        <v/>
      </c>
      <c r="N25" s="92">
        <f>IF(Calc_Data!A51="","",Calc_Data!L51)</f>
        <v/>
      </c>
      <c r="O25" s="93">
        <f>IF($A25="","",(N(M25)-N(N25))*100)</f>
        <v/>
      </c>
      <c r="P25" s="94">
        <f>IF(Calc_Data!A51="","",Calc_Data!M51)</f>
        <v/>
      </c>
      <c r="Q25" s="94">
        <f>IF(Calc_Data!A51="","",Calc_Data!N51)</f>
        <v/>
      </c>
      <c r="R25" s="94">
        <f>IF($A25="","",N(P25)-N(Q25))</f>
        <v/>
      </c>
      <c r="S25" s="95">
        <f>IF($A25="","",IF(AND(ABS(N(F25))&lt;=$H$3,ABS(N(I25))&lt;=MAX(2,0.02*N(G25))),"MATCH","REVIEW"))</f>
        <v/>
      </c>
    </row>
    <row r="26">
      <c r="A26" s="89">
        <f>IF(Calc_Data!A52="","",Calc_Data!A52)</f>
        <v/>
      </c>
      <c r="B26" s="90">
        <f>IF(Calc_Data!A52="","",Calc_Data!B52)</f>
        <v/>
      </c>
      <c r="C26" s="91">
        <f>IF(Calc_Data!A52="","",Calc_Data!C52)</f>
        <v/>
      </c>
      <c r="D26" s="91">
        <f>IF(Calc_Data!A52="","",Calc_Data!D52)</f>
        <v/>
      </c>
      <c r="E26" s="91">
        <f>IF($A26="","",N(C26)-N(D26))</f>
        <v/>
      </c>
      <c r="F26" s="92">
        <f>IF(OR($A26="",N(D26)=0),"",E26/D26)</f>
        <v/>
      </c>
      <c r="G26" s="91">
        <f>IF(Calc_Data!A52="","",Calc_Data!E52)</f>
        <v/>
      </c>
      <c r="H26" s="91">
        <f>IF(Calc_Data!A52="","",Calc_Data!F52)</f>
        <v/>
      </c>
      <c r="I26" s="91">
        <f>IF($A26="","",N(G26)-N(H26))</f>
        <v/>
      </c>
      <c r="J26" s="91">
        <f>IF(Calc_Data!A52="","",Calc_Data!G52)</f>
        <v/>
      </c>
      <c r="K26" s="91">
        <f>IF(Calc_Data!A52="","",Calc_Data!H52)</f>
        <v/>
      </c>
      <c r="L26" s="91">
        <f>IF($A26="","",N(J26)-N(K26))</f>
        <v/>
      </c>
      <c r="M26" s="92">
        <f>IF(Calc_Data!A52="","",Calc_Data!K52)</f>
        <v/>
      </c>
      <c r="N26" s="92">
        <f>IF(Calc_Data!A52="","",Calc_Data!L52)</f>
        <v/>
      </c>
      <c r="O26" s="93">
        <f>IF($A26="","",(N(M26)-N(N26))*100)</f>
        <v/>
      </c>
      <c r="P26" s="94">
        <f>IF(Calc_Data!A52="","",Calc_Data!M52)</f>
        <v/>
      </c>
      <c r="Q26" s="94">
        <f>IF(Calc_Data!A52="","",Calc_Data!N52)</f>
        <v/>
      </c>
      <c r="R26" s="94">
        <f>IF($A26="","",N(P26)-N(Q26))</f>
        <v/>
      </c>
      <c r="S26" s="95">
        <f>IF($A26="","",IF(AND(ABS(N(F26))&lt;=$H$3,ABS(N(I26))&lt;=MAX(2,0.02*N(G26))),"MATCH","REVIEW"))</f>
        <v/>
      </c>
    </row>
    <row r="27">
      <c r="A27" s="89">
        <f>IF(Calc_Data!A53="","",Calc_Data!A53)</f>
        <v/>
      </c>
      <c r="B27" s="90">
        <f>IF(Calc_Data!A53="","",Calc_Data!B53)</f>
        <v/>
      </c>
      <c r="C27" s="91">
        <f>IF(Calc_Data!A53="","",Calc_Data!C53)</f>
        <v/>
      </c>
      <c r="D27" s="91">
        <f>IF(Calc_Data!A53="","",Calc_Data!D53)</f>
        <v/>
      </c>
      <c r="E27" s="91">
        <f>IF($A27="","",N(C27)-N(D27))</f>
        <v/>
      </c>
      <c r="F27" s="92">
        <f>IF(OR($A27="",N(D27)=0),"",E27/D27)</f>
        <v/>
      </c>
      <c r="G27" s="91">
        <f>IF(Calc_Data!A53="","",Calc_Data!E53)</f>
        <v/>
      </c>
      <c r="H27" s="91">
        <f>IF(Calc_Data!A53="","",Calc_Data!F53)</f>
        <v/>
      </c>
      <c r="I27" s="91">
        <f>IF($A27="","",N(G27)-N(H27))</f>
        <v/>
      </c>
      <c r="J27" s="91">
        <f>IF(Calc_Data!A53="","",Calc_Data!G53)</f>
        <v/>
      </c>
      <c r="K27" s="91">
        <f>IF(Calc_Data!A53="","",Calc_Data!H53)</f>
        <v/>
      </c>
      <c r="L27" s="91">
        <f>IF($A27="","",N(J27)-N(K27))</f>
        <v/>
      </c>
      <c r="M27" s="92">
        <f>IF(Calc_Data!A53="","",Calc_Data!K53)</f>
        <v/>
      </c>
      <c r="N27" s="92">
        <f>IF(Calc_Data!A53="","",Calc_Data!L53)</f>
        <v/>
      </c>
      <c r="O27" s="93">
        <f>IF($A27="","",(N(M27)-N(N27))*100)</f>
        <v/>
      </c>
      <c r="P27" s="94">
        <f>IF(Calc_Data!A53="","",Calc_Data!M53)</f>
        <v/>
      </c>
      <c r="Q27" s="94">
        <f>IF(Calc_Data!A53="","",Calc_Data!N53)</f>
        <v/>
      </c>
      <c r="R27" s="94">
        <f>IF($A27="","",N(P27)-N(Q27))</f>
        <v/>
      </c>
      <c r="S27" s="95">
        <f>IF($A27="","",IF(AND(ABS(N(F27))&lt;=$H$3,ABS(N(I27))&lt;=MAX(2,0.02*N(G27))),"MATCH","REVIEW"))</f>
        <v/>
      </c>
    </row>
    <row r="28">
      <c r="A28" s="89">
        <f>IF(Calc_Data!A54="","",Calc_Data!A54)</f>
        <v/>
      </c>
      <c r="B28" s="90">
        <f>IF(Calc_Data!A54="","",Calc_Data!B54)</f>
        <v/>
      </c>
      <c r="C28" s="91">
        <f>IF(Calc_Data!A54="","",Calc_Data!C54)</f>
        <v/>
      </c>
      <c r="D28" s="91">
        <f>IF(Calc_Data!A54="","",Calc_Data!D54)</f>
        <v/>
      </c>
      <c r="E28" s="91">
        <f>IF($A28="","",N(C28)-N(D28))</f>
        <v/>
      </c>
      <c r="F28" s="92">
        <f>IF(OR($A28="",N(D28)=0),"",E28/D28)</f>
        <v/>
      </c>
      <c r="G28" s="91">
        <f>IF(Calc_Data!A54="","",Calc_Data!E54)</f>
        <v/>
      </c>
      <c r="H28" s="91">
        <f>IF(Calc_Data!A54="","",Calc_Data!F54)</f>
        <v/>
      </c>
      <c r="I28" s="91">
        <f>IF($A28="","",N(G28)-N(H28))</f>
        <v/>
      </c>
      <c r="J28" s="91">
        <f>IF(Calc_Data!A54="","",Calc_Data!G54)</f>
        <v/>
      </c>
      <c r="K28" s="91">
        <f>IF(Calc_Data!A54="","",Calc_Data!H54)</f>
        <v/>
      </c>
      <c r="L28" s="91">
        <f>IF($A28="","",N(J28)-N(K28))</f>
        <v/>
      </c>
      <c r="M28" s="92">
        <f>IF(Calc_Data!A54="","",Calc_Data!K54)</f>
        <v/>
      </c>
      <c r="N28" s="92">
        <f>IF(Calc_Data!A54="","",Calc_Data!L54)</f>
        <v/>
      </c>
      <c r="O28" s="93">
        <f>IF($A28="","",(N(M28)-N(N28))*100)</f>
        <v/>
      </c>
      <c r="P28" s="94">
        <f>IF(Calc_Data!A54="","",Calc_Data!M54)</f>
        <v/>
      </c>
      <c r="Q28" s="94">
        <f>IF(Calc_Data!A54="","",Calc_Data!N54)</f>
        <v/>
      </c>
      <c r="R28" s="94">
        <f>IF($A28="","",N(P28)-N(Q28))</f>
        <v/>
      </c>
      <c r="S28" s="95">
        <f>IF($A28="","",IF(AND(ABS(N(F28))&lt;=$H$3,ABS(N(I28))&lt;=MAX(2,0.02*N(G28))),"MATCH","REVIEW"))</f>
        <v/>
      </c>
    </row>
    <row r="29">
      <c r="A29" s="89">
        <f>IF(Calc_Data!A55="","",Calc_Data!A55)</f>
        <v/>
      </c>
      <c r="B29" s="90">
        <f>IF(Calc_Data!A55="","",Calc_Data!B55)</f>
        <v/>
      </c>
      <c r="C29" s="91">
        <f>IF(Calc_Data!A55="","",Calc_Data!C55)</f>
        <v/>
      </c>
      <c r="D29" s="91">
        <f>IF(Calc_Data!A55="","",Calc_Data!D55)</f>
        <v/>
      </c>
      <c r="E29" s="91">
        <f>IF($A29="","",N(C29)-N(D29))</f>
        <v/>
      </c>
      <c r="F29" s="92">
        <f>IF(OR($A29="",N(D29)=0),"",E29/D29)</f>
        <v/>
      </c>
      <c r="G29" s="91">
        <f>IF(Calc_Data!A55="","",Calc_Data!E55)</f>
        <v/>
      </c>
      <c r="H29" s="91">
        <f>IF(Calc_Data!A55="","",Calc_Data!F55)</f>
        <v/>
      </c>
      <c r="I29" s="91">
        <f>IF($A29="","",N(G29)-N(H29))</f>
        <v/>
      </c>
      <c r="J29" s="91">
        <f>IF(Calc_Data!A55="","",Calc_Data!G55)</f>
        <v/>
      </c>
      <c r="K29" s="91">
        <f>IF(Calc_Data!A55="","",Calc_Data!H55)</f>
        <v/>
      </c>
      <c r="L29" s="91">
        <f>IF($A29="","",N(J29)-N(K29))</f>
        <v/>
      </c>
      <c r="M29" s="92">
        <f>IF(Calc_Data!A55="","",Calc_Data!K55)</f>
        <v/>
      </c>
      <c r="N29" s="92">
        <f>IF(Calc_Data!A55="","",Calc_Data!L55)</f>
        <v/>
      </c>
      <c r="O29" s="93">
        <f>IF($A29="","",(N(M29)-N(N29))*100)</f>
        <v/>
      </c>
      <c r="P29" s="94">
        <f>IF(Calc_Data!A55="","",Calc_Data!M55)</f>
        <v/>
      </c>
      <c r="Q29" s="94">
        <f>IF(Calc_Data!A55="","",Calc_Data!N55)</f>
        <v/>
      </c>
      <c r="R29" s="94">
        <f>IF($A29="","",N(P29)-N(Q29))</f>
        <v/>
      </c>
      <c r="S29" s="95">
        <f>IF($A29="","",IF(AND(ABS(N(F29))&lt;=$H$3,ABS(N(I29))&lt;=MAX(2,0.02*N(G29))),"MATCH","REVIEW"))</f>
        <v/>
      </c>
    </row>
    <row r="30">
      <c r="A30" s="89">
        <f>IF(Calc_Data!A56="","",Calc_Data!A56)</f>
        <v/>
      </c>
      <c r="B30" s="90">
        <f>IF(Calc_Data!A56="","",Calc_Data!B56)</f>
        <v/>
      </c>
      <c r="C30" s="91">
        <f>IF(Calc_Data!A56="","",Calc_Data!C56)</f>
        <v/>
      </c>
      <c r="D30" s="91">
        <f>IF(Calc_Data!A56="","",Calc_Data!D56)</f>
        <v/>
      </c>
      <c r="E30" s="91">
        <f>IF($A30="","",N(C30)-N(D30))</f>
        <v/>
      </c>
      <c r="F30" s="92">
        <f>IF(OR($A30="",N(D30)=0),"",E30/D30)</f>
        <v/>
      </c>
      <c r="G30" s="91">
        <f>IF(Calc_Data!A56="","",Calc_Data!E56)</f>
        <v/>
      </c>
      <c r="H30" s="91">
        <f>IF(Calc_Data!A56="","",Calc_Data!F56)</f>
        <v/>
      </c>
      <c r="I30" s="91">
        <f>IF($A30="","",N(G30)-N(H30))</f>
        <v/>
      </c>
      <c r="J30" s="91">
        <f>IF(Calc_Data!A56="","",Calc_Data!G56)</f>
        <v/>
      </c>
      <c r="K30" s="91">
        <f>IF(Calc_Data!A56="","",Calc_Data!H56)</f>
        <v/>
      </c>
      <c r="L30" s="91">
        <f>IF($A30="","",N(J30)-N(K30))</f>
        <v/>
      </c>
      <c r="M30" s="92">
        <f>IF(Calc_Data!A56="","",Calc_Data!K56)</f>
        <v/>
      </c>
      <c r="N30" s="92">
        <f>IF(Calc_Data!A56="","",Calc_Data!L56)</f>
        <v/>
      </c>
      <c r="O30" s="93">
        <f>IF($A30="","",(N(M30)-N(N30))*100)</f>
        <v/>
      </c>
      <c r="P30" s="94">
        <f>IF(Calc_Data!A56="","",Calc_Data!M56)</f>
        <v/>
      </c>
      <c r="Q30" s="94">
        <f>IF(Calc_Data!A56="","",Calc_Data!N56)</f>
        <v/>
      </c>
      <c r="R30" s="94">
        <f>IF($A30="","",N(P30)-N(Q30))</f>
        <v/>
      </c>
      <c r="S30" s="95">
        <f>IF($A30="","",IF(AND(ABS(N(F30))&lt;=$H$3,ABS(N(I30))&lt;=MAX(2,0.02*N(G30))),"MATCH","REVIEW"))</f>
        <v/>
      </c>
    </row>
    <row r="31">
      <c r="A31" s="89">
        <f>IF(Calc_Data!A57="","",Calc_Data!A57)</f>
        <v/>
      </c>
      <c r="B31" s="90">
        <f>IF(Calc_Data!A57="","",Calc_Data!B57)</f>
        <v/>
      </c>
      <c r="C31" s="91">
        <f>IF(Calc_Data!A57="","",Calc_Data!C57)</f>
        <v/>
      </c>
      <c r="D31" s="91">
        <f>IF(Calc_Data!A57="","",Calc_Data!D57)</f>
        <v/>
      </c>
      <c r="E31" s="91">
        <f>IF($A31="","",N(C31)-N(D31))</f>
        <v/>
      </c>
      <c r="F31" s="92">
        <f>IF(OR($A31="",N(D31)=0),"",E31/D31)</f>
        <v/>
      </c>
      <c r="G31" s="91">
        <f>IF(Calc_Data!A57="","",Calc_Data!E57)</f>
        <v/>
      </c>
      <c r="H31" s="91">
        <f>IF(Calc_Data!A57="","",Calc_Data!F57)</f>
        <v/>
      </c>
      <c r="I31" s="91">
        <f>IF($A31="","",N(G31)-N(H31))</f>
        <v/>
      </c>
      <c r="J31" s="91">
        <f>IF(Calc_Data!A57="","",Calc_Data!G57)</f>
        <v/>
      </c>
      <c r="K31" s="91">
        <f>IF(Calc_Data!A57="","",Calc_Data!H57)</f>
        <v/>
      </c>
      <c r="L31" s="91">
        <f>IF($A31="","",N(J31)-N(K31))</f>
        <v/>
      </c>
      <c r="M31" s="92">
        <f>IF(Calc_Data!A57="","",Calc_Data!K57)</f>
        <v/>
      </c>
      <c r="N31" s="92">
        <f>IF(Calc_Data!A57="","",Calc_Data!L57)</f>
        <v/>
      </c>
      <c r="O31" s="93">
        <f>IF($A31="","",(N(M31)-N(N31))*100)</f>
        <v/>
      </c>
      <c r="P31" s="94">
        <f>IF(Calc_Data!A57="","",Calc_Data!M57)</f>
        <v/>
      </c>
      <c r="Q31" s="94">
        <f>IF(Calc_Data!A57="","",Calc_Data!N57)</f>
        <v/>
      </c>
      <c r="R31" s="94">
        <f>IF($A31="","",N(P31)-N(Q31))</f>
        <v/>
      </c>
      <c r="S31" s="95">
        <f>IF($A31="","",IF(AND(ABS(N(F31))&lt;=$H$3,ABS(N(I31))&lt;=MAX(2,0.02*N(G31))),"MATCH","REVIEW"))</f>
        <v/>
      </c>
    </row>
    <row r="32">
      <c r="A32" s="89">
        <f>IF(Calc_Data!A58="","",Calc_Data!A58)</f>
        <v/>
      </c>
      <c r="B32" s="90">
        <f>IF(Calc_Data!A58="","",Calc_Data!B58)</f>
        <v/>
      </c>
      <c r="C32" s="91">
        <f>IF(Calc_Data!A58="","",Calc_Data!C58)</f>
        <v/>
      </c>
      <c r="D32" s="91">
        <f>IF(Calc_Data!A58="","",Calc_Data!D58)</f>
        <v/>
      </c>
      <c r="E32" s="91">
        <f>IF($A32="","",N(C32)-N(D32))</f>
        <v/>
      </c>
      <c r="F32" s="92">
        <f>IF(OR($A32="",N(D32)=0),"",E32/D32)</f>
        <v/>
      </c>
      <c r="G32" s="91">
        <f>IF(Calc_Data!A58="","",Calc_Data!E58)</f>
        <v/>
      </c>
      <c r="H32" s="91">
        <f>IF(Calc_Data!A58="","",Calc_Data!F58)</f>
        <v/>
      </c>
      <c r="I32" s="91">
        <f>IF($A32="","",N(G32)-N(H32))</f>
        <v/>
      </c>
      <c r="J32" s="91">
        <f>IF(Calc_Data!A58="","",Calc_Data!G58)</f>
        <v/>
      </c>
      <c r="K32" s="91">
        <f>IF(Calc_Data!A58="","",Calc_Data!H58)</f>
        <v/>
      </c>
      <c r="L32" s="91">
        <f>IF($A32="","",N(J32)-N(K32))</f>
        <v/>
      </c>
      <c r="M32" s="92">
        <f>IF(Calc_Data!A58="","",Calc_Data!K58)</f>
        <v/>
      </c>
      <c r="N32" s="92">
        <f>IF(Calc_Data!A58="","",Calc_Data!L58)</f>
        <v/>
      </c>
      <c r="O32" s="93">
        <f>IF($A32="","",(N(M32)-N(N32))*100)</f>
        <v/>
      </c>
      <c r="P32" s="94">
        <f>IF(Calc_Data!A58="","",Calc_Data!M58)</f>
        <v/>
      </c>
      <c r="Q32" s="94">
        <f>IF(Calc_Data!A58="","",Calc_Data!N58)</f>
        <v/>
      </c>
      <c r="R32" s="94">
        <f>IF($A32="","",N(P32)-N(Q32))</f>
        <v/>
      </c>
      <c r="S32" s="95">
        <f>IF($A32="","",IF(AND(ABS(N(F32))&lt;=$H$3,ABS(N(I32))&lt;=MAX(2,0.02*N(G32))),"MATCH","REVIEW"))</f>
        <v/>
      </c>
    </row>
    <row r="33">
      <c r="A33" s="89">
        <f>IF(Calc_Data!A59="","",Calc_Data!A59)</f>
        <v/>
      </c>
      <c r="B33" s="90">
        <f>IF(Calc_Data!A59="","",Calc_Data!B59)</f>
        <v/>
      </c>
      <c r="C33" s="91">
        <f>IF(Calc_Data!A59="","",Calc_Data!C59)</f>
        <v/>
      </c>
      <c r="D33" s="91">
        <f>IF(Calc_Data!A59="","",Calc_Data!D59)</f>
        <v/>
      </c>
      <c r="E33" s="91">
        <f>IF($A33="","",N(C33)-N(D33))</f>
        <v/>
      </c>
      <c r="F33" s="92">
        <f>IF(OR($A33="",N(D33)=0),"",E33/D33)</f>
        <v/>
      </c>
      <c r="G33" s="91">
        <f>IF(Calc_Data!A59="","",Calc_Data!E59)</f>
        <v/>
      </c>
      <c r="H33" s="91">
        <f>IF(Calc_Data!A59="","",Calc_Data!F59)</f>
        <v/>
      </c>
      <c r="I33" s="91">
        <f>IF($A33="","",N(G33)-N(H33))</f>
        <v/>
      </c>
      <c r="J33" s="91">
        <f>IF(Calc_Data!A59="","",Calc_Data!G59)</f>
        <v/>
      </c>
      <c r="K33" s="91">
        <f>IF(Calc_Data!A59="","",Calc_Data!H59)</f>
        <v/>
      </c>
      <c r="L33" s="91">
        <f>IF($A33="","",N(J33)-N(K33))</f>
        <v/>
      </c>
      <c r="M33" s="92">
        <f>IF(Calc_Data!A59="","",Calc_Data!K59)</f>
        <v/>
      </c>
      <c r="N33" s="92">
        <f>IF(Calc_Data!A59="","",Calc_Data!L59)</f>
        <v/>
      </c>
      <c r="O33" s="93">
        <f>IF($A33="","",(N(M33)-N(N33))*100)</f>
        <v/>
      </c>
      <c r="P33" s="94">
        <f>IF(Calc_Data!A59="","",Calc_Data!M59)</f>
        <v/>
      </c>
      <c r="Q33" s="94">
        <f>IF(Calc_Data!A59="","",Calc_Data!N59)</f>
        <v/>
      </c>
      <c r="R33" s="94">
        <f>IF($A33="","",N(P33)-N(Q33))</f>
        <v/>
      </c>
      <c r="S33" s="95">
        <f>IF($A33="","",IF(AND(ABS(N(F33))&lt;=$H$3,ABS(N(I33))&lt;=MAX(2,0.02*N(G33))),"MATCH","REVIEW"))</f>
        <v/>
      </c>
    </row>
    <row r="34">
      <c r="A34" s="89">
        <f>IF(Calc_Data!A60="","",Calc_Data!A60)</f>
        <v/>
      </c>
      <c r="B34" s="90">
        <f>IF(Calc_Data!A60="","",Calc_Data!B60)</f>
        <v/>
      </c>
      <c r="C34" s="91">
        <f>IF(Calc_Data!A60="","",Calc_Data!C60)</f>
        <v/>
      </c>
      <c r="D34" s="91">
        <f>IF(Calc_Data!A60="","",Calc_Data!D60)</f>
        <v/>
      </c>
      <c r="E34" s="91">
        <f>IF($A34="","",N(C34)-N(D34))</f>
        <v/>
      </c>
      <c r="F34" s="92">
        <f>IF(OR($A34="",N(D34)=0),"",E34/D34)</f>
        <v/>
      </c>
      <c r="G34" s="91">
        <f>IF(Calc_Data!A60="","",Calc_Data!E60)</f>
        <v/>
      </c>
      <c r="H34" s="91">
        <f>IF(Calc_Data!A60="","",Calc_Data!F60)</f>
        <v/>
      </c>
      <c r="I34" s="91">
        <f>IF($A34="","",N(G34)-N(H34))</f>
        <v/>
      </c>
      <c r="J34" s="91">
        <f>IF(Calc_Data!A60="","",Calc_Data!G60)</f>
        <v/>
      </c>
      <c r="K34" s="91">
        <f>IF(Calc_Data!A60="","",Calc_Data!H60)</f>
        <v/>
      </c>
      <c r="L34" s="91">
        <f>IF($A34="","",N(J34)-N(K34))</f>
        <v/>
      </c>
      <c r="M34" s="92">
        <f>IF(Calc_Data!A60="","",Calc_Data!K60)</f>
        <v/>
      </c>
      <c r="N34" s="92">
        <f>IF(Calc_Data!A60="","",Calc_Data!L60)</f>
        <v/>
      </c>
      <c r="O34" s="93">
        <f>IF($A34="","",(N(M34)-N(N34))*100)</f>
        <v/>
      </c>
      <c r="P34" s="94">
        <f>IF(Calc_Data!A60="","",Calc_Data!M60)</f>
        <v/>
      </c>
      <c r="Q34" s="94">
        <f>IF(Calc_Data!A60="","",Calc_Data!N60)</f>
        <v/>
      </c>
      <c r="R34" s="94">
        <f>IF($A34="","",N(P34)-N(Q34))</f>
        <v/>
      </c>
      <c r="S34" s="95">
        <f>IF($A34="","",IF(AND(ABS(N(F34))&lt;=$H$3,ABS(N(I34))&lt;=MAX(2,0.02*N(G34))),"MATCH","REVIEW"))</f>
        <v/>
      </c>
    </row>
    <row r="35">
      <c r="A35" s="89">
        <f>IF(Calc_Data!A61="","",Calc_Data!A61)</f>
        <v/>
      </c>
      <c r="B35" s="90">
        <f>IF(Calc_Data!A61="","",Calc_Data!B61)</f>
        <v/>
      </c>
      <c r="C35" s="91">
        <f>IF(Calc_Data!A61="","",Calc_Data!C61)</f>
        <v/>
      </c>
      <c r="D35" s="91">
        <f>IF(Calc_Data!A61="","",Calc_Data!D61)</f>
        <v/>
      </c>
      <c r="E35" s="91">
        <f>IF($A35="","",N(C35)-N(D35))</f>
        <v/>
      </c>
      <c r="F35" s="92">
        <f>IF(OR($A35="",N(D35)=0),"",E35/D35)</f>
        <v/>
      </c>
      <c r="G35" s="91">
        <f>IF(Calc_Data!A61="","",Calc_Data!E61)</f>
        <v/>
      </c>
      <c r="H35" s="91">
        <f>IF(Calc_Data!A61="","",Calc_Data!F61)</f>
        <v/>
      </c>
      <c r="I35" s="91">
        <f>IF($A35="","",N(G35)-N(H35))</f>
        <v/>
      </c>
      <c r="J35" s="91">
        <f>IF(Calc_Data!A61="","",Calc_Data!G61)</f>
        <v/>
      </c>
      <c r="K35" s="91">
        <f>IF(Calc_Data!A61="","",Calc_Data!H61)</f>
        <v/>
      </c>
      <c r="L35" s="91">
        <f>IF($A35="","",N(J35)-N(K35))</f>
        <v/>
      </c>
      <c r="M35" s="92">
        <f>IF(Calc_Data!A61="","",Calc_Data!K61)</f>
        <v/>
      </c>
      <c r="N35" s="92">
        <f>IF(Calc_Data!A61="","",Calc_Data!L61)</f>
        <v/>
      </c>
      <c r="O35" s="93">
        <f>IF($A35="","",(N(M35)-N(N35))*100)</f>
        <v/>
      </c>
      <c r="P35" s="94">
        <f>IF(Calc_Data!A61="","",Calc_Data!M61)</f>
        <v/>
      </c>
      <c r="Q35" s="94">
        <f>IF(Calc_Data!A61="","",Calc_Data!N61)</f>
        <v/>
      </c>
      <c r="R35" s="94">
        <f>IF($A35="","",N(P35)-N(Q35))</f>
        <v/>
      </c>
      <c r="S35" s="95">
        <f>IF($A35="","",IF(AND(ABS(N(F35))&lt;=$H$3,ABS(N(I35))&lt;=MAX(2,0.02*N(G35))),"MATCH","REVIEW"))</f>
        <v/>
      </c>
    </row>
    <row r="36">
      <c r="A36" s="89">
        <f>IF(Calc_Data!A62="","",Calc_Data!A62)</f>
        <v/>
      </c>
      <c r="B36" s="90">
        <f>IF(Calc_Data!A62="","",Calc_Data!B62)</f>
        <v/>
      </c>
      <c r="C36" s="91">
        <f>IF(Calc_Data!A62="","",Calc_Data!C62)</f>
        <v/>
      </c>
      <c r="D36" s="91">
        <f>IF(Calc_Data!A62="","",Calc_Data!D62)</f>
        <v/>
      </c>
      <c r="E36" s="91">
        <f>IF($A36="","",N(C36)-N(D36))</f>
        <v/>
      </c>
      <c r="F36" s="92">
        <f>IF(OR($A36="",N(D36)=0),"",E36/D36)</f>
        <v/>
      </c>
      <c r="G36" s="91">
        <f>IF(Calc_Data!A62="","",Calc_Data!E62)</f>
        <v/>
      </c>
      <c r="H36" s="91">
        <f>IF(Calc_Data!A62="","",Calc_Data!F62)</f>
        <v/>
      </c>
      <c r="I36" s="91">
        <f>IF($A36="","",N(G36)-N(H36))</f>
        <v/>
      </c>
      <c r="J36" s="91">
        <f>IF(Calc_Data!A62="","",Calc_Data!G62)</f>
        <v/>
      </c>
      <c r="K36" s="91">
        <f>IF(Calc_Data!A62="","",Calc_Data!H62)</f>
        <v/>
      </c>
      <c r="L36" s="91">
        <f>IF($A36="","",N(J36)-N(K36))</f>
        <v/>
      </c>
      <c r="M36" s="92">
        <f>IF(Calc_Data!A62="","",Calc_Data!K62)</f>
        <v/>
      </c>
      <c r="N36" s="92">
        <f>IF(Calc_Data!A62="","",Calc_Data!L62)</f>
        <v/>
      </c>
      <c r="O36" s="93">
        <f>IF($A36="","",(N(M36)-N(N36))*100)</f>
        <v/>
      </c>
      <c r="P36" s="94">
        <f>IF(Calc_Data!A62="","",Calc_Data!M62)</f>
        <v/>
      </c>
      <c r="Q36" s="94">
        <f>IF(Calc_Data!A62="","",Calc_Data!N62)</f>
        <v/>
      </c>
      <c r="R36" s="94">
        <f>IF($A36="","",N(P36)-N(Q36))</f>
        <v/>
      </c>
      <c r="S36" s="95">
        <f>IF($A36="","",IF(AND(ABS(N(F36))&lt;=$H$3,ABS(N(I36))&lt;=MAX(2,0.02*N(G36))),"MATCH","REVIEW"))</f>
        <v/>
      </c>
    </row>
    <row r="37">
      <c r="A37" s="96" t="inlineStr">
        <is>
          <t>TOTAL</t>
        </is>
      </c>
      <c r="B37" s="97" t="n"/>
      <c r="C37" s="98">
        <f>SUM(C6:C36)</f>
        <v/>
      </c>
      <c r="D37" s="98">
        <f>SUM(D6:D36)</f>
        <v/>
      </c>
      <c r="E37" s="98">
        <f>SUM(E6:E36)</f>
        <v/>
      </c>
      <c r="F37" s="99">
        <f>IFERROR(E37/D37,0)</f>
        <v/>
      </c>
      <c r="G37" s="98">
        <f>SUM(G6:G36)</f>
        <v/>
      </c>
      <c r="H37" s="98">
        <f>SUM(H6:H36)</f>
        <v/>
      </c>
      <c r="I37" s="97">
        <f>SUM(I6:I36)</f>
        <v/>
      </c>
      <c r="J37" s="98">
        <f>SUM(J6:J36)</f>
        <v/>
      </c>
      <c r="K37" s="98">
        <f>SUM(K6:K36)</f>
        <v/>
      </c>
      <c r="L37" s="97">
        <f>SUM(L6:L36)</f>
        <v/>
      </c>
      <c r="M37" s="99">
        <f>Calc_Data!C18</f>
        <v/>
      </c>
      <c r="N37" s="99">
        <f>Calc_Data!D18</f>
        <v/>
      </c>
      <c r="O37" s="100">
        <f>(M37-N37)*100</f>
        <v/>
      </c>
      <c r="P37" s="101">
        <f>Calc_Data!C20</f>
        <v/>
      </c>
      <c r="Q37" s="101">
        <f>Calc_Data!D20</f>
        <v/>
      </c>
      <c r="R37" s="101">
        <f>P37-Q37</f>
        <v/>
      </c>
      <c r="S37" s="97">
        <f>COUNTIF(S6:S36,"REVIEW")&amp;" flagged"</f>
        <v/>
      </c>
    </row>
  </sheetData>
  <mergeCells count="2">
    <mergeCell ref="A2:S2"/>
    <mergeCell ref="A1:S1"/>
  </mergeCells>
  <conditionalFormatting sqref="F6:F36">
    <cfRule type="cellIs" priority="1" operator="greaterThan" dxfId="0">
      <formula>$H$3</formula>
    </cfRule>
    <cfRule type="cellIs" priority="2" operator="lessThan" dxfId="0">
      <formula>-$H$3</formula>
    </cfRule>
  </conditionalFormatting>
  <conditionalFormatting sqref="S6:S36">
    <cfRule type="expression" priority="3" dxfId="0">
      <formula>$S6="REVIEW"</formula>
    </cfRule>
    <cfRule type="expression" priority="4" dxfId="1">
      <formula>$S6="MATCH"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B23B3B"/>
    <outlinePr summaryBelow="1" summaryRight="1"/>
    <pageSetUpPr fitToPage="1"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0" customWidth="1" min="4" max="4"/>
    <col width="10" customWidth="1" min="5" max="5"/>
    <col width="58" customWidth="1" min="6" max="6"/>
  </cols>
  <sheetData>
    <row r="1" ht="30" customHeight="1">
      <c r="A1" s="1" t="inlineStr">
        <is>
          <t>DATA QUALITY CHECKS</t>
        </is>
      </c>
    </row>
    <row r="2" ht="18" customHeight="1">
      <c r="A2" s="2" t="inlineStr">
        <is>
          <t>Run these before reading any report. FAIL rows are data problems, not formula errors.</t>
        </is>
      </c>
    </row>
    <row r="5">
      <c r="A5" s="41" t="inlineStr">
        <is>
          <t>#</t>
        </is>
      </c>
      <c r="B5" s="41" t="inlineStr">
        <is>
          <t>Check</t>
        </is>
      </c>
      <c r="C5" s="41" t="inlineStr">
        <is>
          <t>Source</t>
        </is>
      </c>
      <c r="D5" s="41" t="inlineStr">
        <is>
          <t>Result</t>
        </is>
      </c>
      <c r="E5" s="41" t="inlineStr">
        <is>
          <t>Status</t>
        </is>
      </c>
      <c r="F5" s="41" t="inlineStr">
        <is>
          <t>What to do</t>
        </is>
      </c>
    </row>
    <row r="6">
      <c r="A6" s="102" t="n">
        <v>1</v>
      </c>
      <c r="B6" s="103" t="inlineStr">
        <is>
          <t>Rows loaded in period (Verint)</t>
        </is>
      </c>
      <c r="C6" s="102" t="inlineStr">
        <is>
          <t>Verint</t>
        </is>
      </c>
      <c r="D6" s="104">
        <f>COUNTIFS(VER_DATE,"&gt;="&amp;Calc_Data!$B$3,VER_DATE,"&lt;="&amp;Calc_Data!$B$4)</f>
        <v/>
      </c>
      <c r="E6" s="95">
        <f>"INFO"</f>
        <v/>
      </c>
      <c r="F6" s="105" t="inlineStr">
        <is>
          <t>Count of raw rows inside the reporting period.</t>
        </is>
      </c>
    </row>
    <row r="7">
      <c r="A7" s="102" t="n">
        <v>2</v>
      </c>
      <c r="B7" s="103" t="inlineStr">
        <is>
          <t>Missing date (Verint)</t>
        </is>
      </c>
      <c r="C7" s="102" t="inlineStr">
        <is>
          <t>Verint</t>
        </is>
      </c>
      <c r="D7" s="104">
        <f>SUMPRODUCT(--ISBLANK(VER_DATE),--(VER_QUEUE&lt;&gt;""))</f>
        <v/>
      </c>
      <c r="E7" s="95">
        <f>IF(D7&gt;0,"FAIL","PASS")</f>
        <v/>
      </c>
      <c r="F7" s="105" t="inlineStr">
        <is>
          <t>Every row needs a Date. Delete or fix blank-date rows.</t>
        </is>
      </c>
    </row>
    <row r="8">
      <c r="A8" s="102" t="n">
        <v>3</v>
      </c>
      <c r="B8" s="103" t="inlineStr">
        <is>
          <t>Missing queue / skill (Verint)</t>
        </is>
      </c>
      <c r="C8" s="102" t="inlineStr">
        <is>
          <t>Verint</t>
        </is>
      </c>
      <c r="D8" s="104">
        <f>SUMPRODUCT(--ISBLANK(VER_QUEUE),--(VER_DATE&lt;&gt;""))</f>
        <v/>
      </c>
      <c r="E8" s="95">
        <f>IF(D8&gt;0,"FAIL","PASS")</f>
        <v/>
      </c>
      <c r="F8" s="105" t="inlineStr">
        <is>
          <t>Fill Queue / Skill so filters and reconciliation work.</t>
        </is>
      </c>
    </row>
    <row r="9">
      <c r="A9" s="102" t="n">
        <v>4</v>
      </c>
      <c r="B9" s="103" t="inlineStr">
        <is>
          <t>Missing interval start (Verint)</t>
        </is>
      </c>
      <c r="C9" s="102" t="inlineStr">
        <is>
          <t>Verint</t>
        </is>
      </c>
      <c r="D9" s="104">
        <f>SUMPRODUCT(--ISBLANK(VER_TIME),--(VER_DATE&lt;&gt;""))</f>
        <v/>
      </c>
      <c r="E9" s="95">
        <f>IF(D9&gt;0,"FAIL","PASS")</f>
        <v/>
      </c>
      <c r="F9" s="105" t="inlineStr">
        <is>
          <t>Interval Start must be a time value (hh:mm).</t>
        </is>
      </c>
    </row>
    <row r="10">
      <c r="A10" s="102" t="n">
        <v>5</v>
      </c>
      <c r="B10" s="103" t="inlineStr">
        <is>
          <t>Abandoned greater than offered (Verint)</t>
        </is>
      </c>
      <c r="C10" s="102" t="inlineStr">
        <is>
          <t>Verint</t>
        </is>
      </c>
      <c r="D10" s="104">
        <f>SUMPRODUCT(--((VER_ABAND&gt;VER_OFFERED)*(VER_OFFERED&lt;&gt;"")))</f>
        <v/>
      </c>
      <c r="E10" s="95">
        <f>IF(D10&gt;0,"FAIL","PASS")</f>
        <v/>
      </c>
      <c r="F10" s="105" t="inlineStr">
        <is>
          <t>Check the export mapping - abandons cannot exceed offered.</t>
        </is>
      </c>
    </row>
    <row r="11">
      <c r="A11" s="102" t="n">
        <v>6</v>
      </c>
      <c r="B11" s="103" t="inlineStr">
        <is>
          <t>Negative volumes (Verint)</t>
        </is>
      </c>
      <c r="C11" s="102" t="inlineStr">
        <is>
          <t>Verint</t>
        </is>
      </c>
      <c r="D11" s="104">
        <f>SUMPRODUCT(--(((VER_OFFERED&lt;0)+(VER_HANDLED&lt;0)+(VER_ABAND&lt;0))&gt;0))</f>
        <v/>
      </c>
      <c r="E11" s="95">
        <f>IF(D11&gt;0,"FAIL","PASS")</f>
        <v/>
      </c>
      <c r="F11" s="105" t="inlineStr">
        <is>
          <t>Remove negative values; they break every total.</t>
        </is>
      </c>
    </row>
    <row r="12">
      <c r="A12" s="102" t="n">
        <v>7</v>
      </c>
      <c r="B12" s="103" t="inlineStr">
        <is>
          <t>Service level outside 0-100% (Verint)</t>
        </is>
      </c>
      <c r="C12" s="102" t="inlineStr">
        <is>
          <t>Verint</t>
        </is>
      </c>
      <c r="D12" s="104">
        <f>SUMPRODUCT(--(((VER_SL&lt;0)+(VER_SL&gt;1))&gt;0))</f>
        <v/>
      </c>
      <c r="E12" s="95">
        <f>IF(D12&gt;0,"FAIL","PASS")</f>
        <v/>
      </c>
      <c r="F12" s="105" t="inlineStr">
        <is>
          <t>Store Service Level as a percentage (0.85 = 85%), not 85.</t>
        </is>
      </c>
    </row>
    <row r="13">
      <c r="A13" s="102" t="n">
        <v>8</v>
      </c>
      <c r="B13" s="103" t="inlineStr">
        <is>
          <t>Handled without handle time (Verint)</t>
        </is>
      </c>
      <c r="C13" s="102" t="inlineStr">
        <is>
          <t>Verint</t>
        </is>
      </c>
      <c r="D13" s="104">
        <f>SUMPRODUCT(--((VER_HANDLED&gt;0)*(VER_AHT=0)))</f>
        <v/>
      </c>
      <c r="E13" s="95">
        <f>IF(D13&gt;0,"FAIL","PASS")</f>
        <v/>
      </c>
      <c r="F13" s="105" t="inlineStr">
        <is>
          <t>AHT or talk/hold/ACW is missing - weighted AHT will read 0.</t>
        </is>
      </c>
    </row>
    <row r="14">
      <c r="A14" s="102" t="n">
        <v>9</v>
      </c>
      <c r="B14" s="103" t="inlineStr">
        <is>
          <t>Dates outside the selected period (Verint)</t>
        </is>
      </c>
      <c r="C14" s="102" t="inlineStr">
        <is>
          <t>Verint</t>
        </is>
      </c>
      <c r="D14" s="104">
        <f>SUMPRODUCT(--(VER_DATE&lt;&gt;""),--(VER_DATE&lt;Calc_Data!$B$3))+SUMPRODUCT(--(VER_DATE&lt;&gt;""),--(VER_DATE&gt;Calc_Data!$B$4))</f>
        <v/>
      </c>
      <c r="E14" s="95">
        <f>"INFO"</f>
        <v/>
      </c>
      <c r="F14" s="105" t="inlineStr">
        <is>
          <t>Rows exist outside the period; they are excluded from reports.</t>
        </is>
      </c>
    </row>
    <row r="15">
      <c r="A15" s="102" t="n">
        <v>10</v>
      </c>
      <c r="B15" s="103" t="inlineStr">
        <is>
          <t>Sample rows present - delete before live use (Verint)</t>
        </is>
      </c>
      <c r="C15" s="102" t="inlineStr">
        <is>
          <t>Verint</t>
        </is>
      </c>
      <c r="D15" s="104">
        <f>COUNTIF(VER_SRC,"SAMPLE*")</f>
        <v/>
      </c>
      <c r="E15" s="95">
        <f>"INFO"</f>
        <v/>
      </c>
      <c r="F15" s="105" t="inlineStr">
        <is>
          <t>Template demo rows. Clear rows 6:101 once real data is loaded.</t>
        </is>
      </c>
    </row>
    <row r="16">
      <c r="A16" s="102" t="n">
        <v>11</v>
      </c>
      <c r="B16" s="103" t="inlineStr">
        <is>
          <t>Rows loaded in period (IEX)</t>
        </is>
      </c>
      <c r="C16" s="102" t="inlineStr">
        <is>
          <t>IEX</t>
        </is>
      </c>
      <c r="D16" s="104">
        <f>COUNTIFS(IEX_DATE,"&gt;="&amp;Calc_Data!$B$3,IEX_DATE,"&lt;="&amp;Calc_Data!$B$4)</f>
        <v/>
      </c>
      <c r="E16" s="95">
        <f>"INFO"</f>
        <v/>
      </c>
      <c r="F16" s="105" t="inlineStr">
        <is>
          <t>Count of raw rows inside the reporting period.</t>
        </is>
      </c>
    </row>
    <row r="17">
      <c r="A17" s="102" t="n">
        <v>12</v>
      </c>
      <c r="B17" s="103" t="inlineStr">
        <is>
          <t>Missing date (IEX)</t>
        </is>
      </c>
      <c r="C17" s="102" t="inlineStr">
        <is>
          <t>IEX</t>
        </is>
      </c>
      <c r="D17" s="104">
        <f>SUMPRODUCT(--ISBLANK(IEX_DATE),--(IEX_QUEUE&lt;&gt;""))</f>
        <v/>
      </c>
      <c r="E17" s="95">
        <f>IF(D17&gt;0,"FAIL","PASS")</f>
        <v/>
      </c>
      <c r="F17" s="105" t="inlineStr">
        <is>
          <t>Every row needs a Date. Delete or fix blank-date rows.</t>
        </is>
      </c>
    </row>
    <row r="18">
      <c r="A18" s="102" t="n">
        <v>13</v>
      </c>
      <c r="B18" s="103" t="inlineStr">
        <is>
          <t>Missing queue / skill (IEX)</t>
        </is>
      </c>
      <c r="C18" s="102" t="inlineStr">
        <is>
          <t>IEX</t>
        </is>
      </c>
      <c r="D18" s="104">
        <f>SUMPRODUCT(--ISBLANK(IEX_QUEUE),--(IEX_DATE&lt;&gt;""))</f>
        <v/>
      </c>
      <c r="E18" s="95">
        <f>IF(D18&gt;0,"FAIL","PASS")</f>
        <v/>
      </c>
      <c r="F18" s="105" t="inlineStr">
        <is>
          <t>Fill Queue / Skill so filters and reconciliation work.</t>
        </is>
      </c>
    </row>
    <row r="19">
      <c r="A19" s="102" t="n">
        <v>14</v>
      </c>
      <c r="B19" s="103" t="inlineStr">
        <is>
          <t>Missing interval start (IEX)</t>
        </is>
      </c>
      <c r="C19" s="102" t="inlineStr">
        <is>
          <t>IEX</t>
        </is>
      </c>
      <c r="D19" s="104">
        <f>SUMPRODUCT(--ISBLANK(IEX_TIME),--(IEX_DATE&lt;&gt;""))</f>
        <v/>
      </c>
      <c r="E19" s="95">
        <f>IF(D19&gt;0,"FAIL","PASS")</f>
        <v/>
      </c>
      <c r="F19" s="105" t="inlineStr">
        <is>
          <t>Interval Start must be a time value (hh:mm).</t>
        </is>
      </c>
    </row>
    <row r="20">
      <c r="A20" s="102" t="n">
        <v>15</v>
      </c>
      <c r="B20" s="103" t="inlineStr">
        <is>
          <t>Abandoned greater than offered (IEX)</t>
        </is>
      </c>
      <c r="C20" s="102" t="inlineStr">
        <is>
          <t>IEX</t>
        </is>
      </c>
      <c r="D20" s="104">
        <f>SUMPRODUCT(--((IEX_ABAND&gt;IEX_OFFERED)*(IEX_OFFERED&lt;&gt;"")))</f>
        <v/>
      </c>
      <c r="E20" s="95">
        <f>IF(D20&gt;0,"FAIL","PASS")</f>
        <v/>
      </c>
      <c r="F20" s="105" t="inlineStr">
        <is>
          <t>Check the export mapping - abandons cannot exceed offered.</t>
        </is>
      </c>
    </row>
    <row r="21">
      <c r="A21" s="102" t="n">
        <v>16</v>
      </c>
      <c r="B21" s="103" t="inlineStr">
        <is>
          <t>Negative volumes (IEX)</t>
        </is>
      </c>
      <c r="C21" s="102" t="inlineStr">
        <is>
          <t>IEX</t>
        </is>
      </c>
      <c r="D21" s="104">
        <f>SUMPRODUCT(--(((IEX_OFFERED&lt;0)+(IEX_HANDLED&lt;0)+(IEX_ABAND&lt;0))&gt;0))</f>
        <v/>
      </c>
      <c r="E21" s="95">
        <f>IF(D21&gt;0,"FAIL","PASS")</f>
        <v/>
      </c>
      <c r="F21" s="105" t="inlineStr">
        <is>
          <t>Remove negative values; they break every total.</t>
        </is>
      </c>
    </row>
    <row r="22">
      <c r="A22" s="102" t="n">
        <v>17</v>
      </c>
      <c r="B22" s="103" t="inlineStr">
        <is>
          <t>Service level outside 0-100% (IEX)</t>
        </is>
      </c>
      <c r="C22" s="102" t="inlineStr">
        <is>
          <t>IEX</t>
        </is>
      </c>
      <c r="D22" s="104">
        <f>SUMPRODUCT(--(((IEX_SL&lt;0)+(IEX_SL&gt;1))&gt;0))</f>
        <v/>
      </c>
      <c r="E22" s="95">
        <f>IF(D22&gt;0,"FAIL","PASS")</f>
        <v/>
      </c>
      <c r="F22" s="105" t="inlineStr">
        <is>
          <t>Store Service Level as a percentage (0.85 = 85%), not 85.</t>
        </is>
      </c>
    </row>
    <row r="23">
      <c r="A23" s="102" t="n">
        <v>18</v>
      </c>
      <c r="B23" s="103" t="inlineStr">
        <is>
          <t>Handled without handle time (IEX)</t>
        </is>
      </c>
      <c r="C23" s="102" t="inlineStr">
        <is>
          <t>IEX</t>
        </is>
      </c>
      <c r="D23" s="104">
        <f>SUMPRODUCT(--((IEX_HANDLED&gt;0)*(IEX_AHT=0)))</f>
        <v/>
      </c>
      <c r="E23" s="95">
        <f>IF(D23&gt;0,"FAIL","PASS")</f>
        <v/>
      </c>
      <c r="F23" s="105" t="inlineStr">
        <is>
          <t>AHT or talk/hold/ACW is missing - weighted AHT will read 0.</t>
        </is>
      </c>
    </row>
    <row r="24">
      <c r="A24" s="102" t="n">
        <v>19</v>
      </c>
      <c r="B24" s="103" t="inlineStr">
        <is>
          <t>Dates outside the selected period (IEX)</t>
        </is>
      </c>
      <c r="C24" s="102" t="inlineStr">
        <is>
          <t>IEX</t>
        </is>
      </c>
      <c r="D24" s="104">
        <f>SUMPRODUCT(--(IEX_DATE&lt;&gt;""),--(IEX_DATE&lt;Calc_Data!$B$3))+SUMPRODUCT(--(IEX_DATE&lt;&gt;""),--(IEX_DATE&gt;Calc_Data!$B$4))</f>
        <v/>
      </c>
      <c r="E24" s="95">
        <f>"INFO"</f>
        <v/>
      </c>
      <c r="F24" s="105" t="inlineStr">
        <is>
          <t>Rows exist outside the period; they are excluded from reports.</t>
        </is>
      </c>
    </row>
    <row r="25">
      <c r="A25" s="102" t="n">
        <v>20</v>
      </c>
      <c r="B25" s="103" t="inlineStr">
        <is>
          <t>Sample rows present - delete before live use (IEX)</t>
        </is>
      </c>
      <c r="C25" s="102" t="inlineStr">
        <is>
          <t>IEX</t>
        </is>
      </c>
      <c r="D25" s="104">
        <f>COUNTIF(IEX_SRC,"SAMPLE*")</f>
        <v/>
      </c>
      <c r="E25" s="95">
        <f>"INFO"</f>
        <v/>
      </c>
      <c r="F25" s="105" t="inlineStr">
        <is>
          <t>Template demo rows. Clear rows 6:101 once real data is loaded.</t>
        </is>
      </c>
    </row>
    <row r="27">
      <c r="B27" s="22" t="inlineStr">
        <is>
          <t>Checks failing</t>
        </is>
      </c>
      <c r="D27" s="106">
        <f>COUNTIF(E6:E25,"FAIL")</f>
        <v/>
      </c>
    </row>
    <row r="29">
      <c r="B29" s="24" t="inlineStr">
        <is>
          <t>Status meanings: PASS = no records matched the rule; FAIL = records need fixing; INFO = informational count.</t>
        </is>
      </c>
    </row>
  </sheetData>
  <mergeCells count="3">
    <mergeCell ref="A2:F2"/>
    <mergeCell ref="B29:F29"/>
    <mergeCell ref="A1:F1"/>
  </mergeCells>
  <conditionalFormatting sqref="E6:E25">
    <cfRule type="expression" priority="1" dxfId="0">
      <formula>$E6="FAIL"</formula>
    </cfRule>
    <cfRule type="expression" priority="2" dxfId="2">
      <formula>$E6="PASS"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WFM Analytics</dc:creator>
  <dc:title>Verint + IEX Raw Template</dc:title>
  <dc:description>Raw interval template for Verint Workforce Management and IEX TotalView with formula-driven KPIs, reconciliation and data quality checks.</dc:description>
  <dc:subject>WFM interval data capture and reconciliation</dc:subject>
  <dcterms:created xsi:type="dcterms:W3CDTF">2026-10-21T08:15:00Z</dcterms:created>
  <dcterms:modified xsi:type="dcterms:W3CDTF">2026-10-21T08:15:01Z</dcterms:modified>
</cp:coreProperties>
</file>