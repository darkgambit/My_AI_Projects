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 Dashboard" sheetId="1" state="visible" r:id="rId1"/>
    <sheet name="Case Register" sheetId="2" state="visible" r:id="rId2"/>
    <sheet name="Hearing Calendar" sheetId="3" state="visible" r:id="rId3"/>
    <sheet name="Document Compliance" sheetId="4" state="visible" r:id="rId4"/>
    <sheet name="Watchlist" sheetId="5" state="visible" r:id="rId5"/>
    <sheet name="Analysis" sheetId="6" state="visible" r:id="rId6"/>
    <sheet name="Lists" sheetId="7" state="visible" r:id="rId7"/>
    <sheet name="User Guide" sheetId="8" state="visible" r:id="rId8"/>
  </sheets>
  <definedNames>
    <definedName name="OffList">Lists!$A$6:$A$104</definedName>
    <definedName name="OffCat">Lists!$B$6:$B$104</definedName>
    <definedName name="StgList">Lists!$H$6:$H$15</definedName>
    <definedName name="StgPct">Lists!$I$6:$I$15</definedName>
    <definedName name="PriList">Lists!$J$6:$J$8</definedName>
    <definedName name="StatusList">Lists!$K$6:$K$11</definedName>
    <definedName name="OutcomeList">Lists!$L$6:$L$12</definedName>
    <definedName name="CourtList">Lists!$M$6:$M$14</definedName>
    <definedName name="CustodyList">Lists!$N$6:$N$11</definedName>
    <definedName name="PersonnelList">Lists!$O$6:$O$13</definedName>
    <definedName name="BrgyList">Lists!$P$6:$P$17</definedName>
    <definedName name="HearTypeList">Lists!$Q$6:$Q$13</definedName>
    <definedName name="HearResultList">Lists!$R$6:$R$12</definedName>
    <definedName name="CatList">Lists!$F$6:$F$15</definedName>
    <definedName name="LGUName">Lists!$C$120</definedName>
    <definedName name="Province">Lists!$C$121</definedName>
    <definedName name="OfficeName">Lists!$C$122</definedName>
    <definedName name="PreparedBy">Lists!$C$123</definedName>
    <definedName name="PeriodLabel">Lists!$C$125</definedName>
    <definedName name="AgeMonitor">Lists!$C$126</definedName>
    <definedName name="AgeFu">Lists!$C$127</definedName>
    <definedName name="AgeCrit">Lists!$C$128</definedName>
    <definedName name="AgeWindow">Lists!$C$129</definedName>
    <definedName name="RegCaseNo">'Case Register'!$A$3:$A$602</definedName>
    <definedName name="RegTitle">'Case Register'!$C$3:$C$602</definedName>
    <definedName name="RegOffense">'Case Register'!$F$3:$F$602</definedName>
    <definedName name="RegCat">'Case Register'!$G$3:$G$602</definedName>
    <definedName name="RegStage">'Case Register'!$H$3:$H$602</definedName>
    <definedName name="RegPriority">'Case Register'!$J$3:$J$602</definedName>
    <definedName name="RegStatus">'Case Register'!$K$3:$K$602</definedName>
    <definedName name="RegOutcome">'Case Register'!$L$3:$L$602</definedName>
    <definedName name="RegCourt">'Case Register'!$M$3:$M$602</definedName>
    <definedName name="RegPersonnel">'Case Register'!$O$3:$O$602</definedName>
    <definedName name="RegBrgy">'Case Register'!$P$3:$P$602</definedName>
    <definedName name="RegNextHearing">'Case Register'!$T$3:$T$602</definedName>
    <definedName name="RegAge">'Case Register'!$AI$3:$AI$602</definedName>
    <definedName name="RegProgress">'Case Register'!$AJ$3:$AJ$602</definedName>
    <definedName name="RegDaysStage">'Case Register'!$AH$3:$AH$602</definedName>
    <definedName name="RegDaysPending">'Case Register'!$AG$3:$AG$602</definedName>
    <definedName name="RegDocsPct">'Case Register'!$AK$3:$AK$602</definedName>
    <definedName name="RegCustody">'Case Register'!$W$3:$W$602</definedName>
    <definedName name="RegRankKey">'Case Register'!$AP$3:$AP$602</definedName>
    <definedName name="RegFiled">'Case Register'!$R$3:$R$602</definedName>
    <definedName name="RegDoc1">'Case Register'!$Y$3:$Y$602</definedName>
    <definedName name="RegDoc2">'Case Register'!$Z$3:$Z$602</definedName>
    <definedName name="RegDoc3">'Case Register'!$AA$3:$AA$602</definedName>
    <definedName name="RegDoc4">'Case Register'!$AB$3:$AB$602</definedName>
    <definedName name="RegDoc5">'Case Register'!$AC$3:$AC$602</definedName>
    <definedName name="RegDoc6">'Case Register'!$AD$3:$AD$602</definedName>
    <definedName name="RegDoc7">'Case Register'!$AE$3:$AE$602</definedName>
    <definedName name="RegDoc8">'Case Register'!$AF$3:$AF$602</definedName>
    <definedName name="_xlnm.Print_Area" localSheetId="0">'Case Dashboard'!$A$1:$N$52</definedName>
    <definedName name="_xlnm.Print_Titles" localSheetId="1">'Case Register'!$1:$2</definedName>
    <definedName name="_xlnm.Print_Area" localSheetId="1">'Case Register'!$A$1:$AM$602</definedName>
    <definedName name="_xlnm.Print_Titles" localSheetId="2">'Hearing Calendar'!$1:$2</definedName>
    <definedName name="_xlnm.Print_Titles" localSheetId="3">'Document Compliance'!$1:$2</definedName>
  </definedNames>
  <calcPr calcId="124519" fullCalcOnLoad="1"/>
</workbook>
</file>

<file path=xl/styles.xml><?xml version="1.0" encoding="utf-8"?>
<styleSheet xmlns="http://schemas.openxmlformats.org/spreadsheetml/2006/main">
  <numFmts count="3">
    <numFmt numFmtId="164" formatCode="dd mmm yyyy"/>
    <numFmt numFmtId="165" formatCode="yyyy-mm-dd"/>
    <numFmt numFmtId="166" formatCode="mmm yyyy"/>
  </numFmts>
  <fonts count="40">
    <font>
      <name val="Calibri"/>
      <family val="2"/>
      <color theme="1"/>
      <sz val="11"/>
      <scheme val="minor"/>
    </font>
    <font>
      <name val="Segoe UI"/>
      <b val="1"/>
      <color rgb="00FFFFFF"/>
      <sz val="14"/>
    </font>
    <font>
      <name val="Segoe UI"/>
      <i val="1"/>
      <color rgb="006B7280"/>
      <sz val="9"/>
    </font>
    <font>
      <name val="Segoe UI"/>
      <b val="1"/>
      <color rgb="00FFFFFF"/>
      <sz val="9"/>
    </font>
    <font>
      <name val="Segoe UI"/>
      <b val="1"/>
      <color rgb="000B2545"/>
      <sz val="8"/>
    </font>
    <font>
      <name val="Segoe UI"/>
      <color rgb="001F2937"/>
      <sz val="9"/>
    </font>
    <font>
      <name val="Segoe UI"/>
      <color rgb="006B7280"/>
      <sz val="9"/>
    </font>
    <font>
      <name val="Segoe UI"/>
      <b val="1"/>
      <color rgb="000B2545"/>
      <sz val="9"/>
    </font>
    <font>
      <name val="Segoe UI"/>
      <b val="1"/>
      <color rgb="00C8A44D"/>
      <sz val="9"/>
    </font>
    <font>
      <name val="Segoe UI"/>
      <b val="1"/>
      <color rgb="00FFFFFF"/>
      <sz val="8.5"/>
    </font>
    <font>
      <name val="Segoe UI"/>
      <b val="1"/>
      <color rgb="000B2545"/>
      <sz val="8.5"/>
    </font>
    <font>
      <name val="Segoe UI"/>
      <b val="1"/>
      <color rgb="00FFFFFF"/>
      <sz val="8"/>
    </font>
    <font>
      <name val="Segoe UI"/>
      <color rgb="00374151"/>
      <sz val="9"/>
    </font>
    <font>
      <name val="Segoe UI"/>
      <b val="1"/>
      <color rgb="00374151"/>
      <sz val="9"/>
    </font>
    <font>
      <name val="Segoe UI"/>
      <b val="1"/>
      <color rgb="00FFFFFF"/>
      <sz val="13"/>
    </font>
    <font>
      <name val="Segoe UI"/>
      <b val="1"/>
      <color rgb="000B2545"/>
      <sz val="10"/>
    </font>
    <font>
      <name val="Segoe UI"/>
      <b val="1"/>
      <color rgb="006B7280"/>
      <sz val="8"/>
    </font>
    <font>
      <name val="Segoe UI"/>
      <b val="1"/>
      <color rgb="00BFD3E6"/>
      <sz val="10"/>
    </font>
    <font>
      <name val="Segoe UI"/>
      <b val="1"/>
      <color rgb="00FFFFFF"/>
      <sz val="21"/>
    </font>
    <font>
      <name val="Segoe UI"/>
      <color rgb="00D6E2EE"/>
      <sz val="9"/>
    </font>
    <font>
      <name val="Segoe UI"/>
      <b val="1"/>
      <color rgb="001B4079"/>
      <sz val="9"/>
    </font>
    <font>
      <name val="Segoe UI"/>
      <b val="1"/>
      <color rgb="006B7280"/>
      <sz val="7.5"/>
    </font>
    <font>
      <name val="Segoe UI"/>
      <b val="1"/>
      <color rgb="000B2545"/>
      <sz val="24"/>
    </font>
    <font>
      <name val="Segoe UI"/>
      <color rgb="008A94A6"/>
      <sz val="7.5"/>
    </font>
    <font>
      <name val="Segoe UI"/>
      <b val="1"/>
      <color rgb="001D4ED8"/>
      <sz val="24"/>
    </font>
    <font>
      <name val="Segoe UI"/>
      <b val="1"/>
      <color rgb="00B7791F"/>
      <sz val="24"/>
    </font>
    <font>
      <name val="Segoe UI"/>
      <b val="1"/>
      <color rgb="001E7B4F"/>
      <sz val="24"/>
    </font>
    <font>
      <name val="Segoe UI"/>
      <b val="1"/>
      <color rgb="00B42318"/>
      <sz val="24"/>
    </font>
    <font>
      <name val="Segoe UI"/>
      <b val="1"/>
      <color rgb="000F6E6A"/>
      <sz val="24"/>
    </font>
    <font>
      <name val="Segoe UI"/>
      <i val="1"/>
      <color rgb="007A8699"/>
      <sz val="7.5"/>
    </font>
    <font>
      <name val="Segoe UI"/>
      <b val="1"/>
      <color rgb="00FFFFFF"/>
      <sz val="11.5"/>
    </font>
    <font>
      <name val="Segoe UI"/>
      <b val="1"/>
      <color rgb="000B2545"/>
      <sz val="11.5"/>
    </font>
    <font>
      <name val="Segoe UI"/>
      <b val="1"/>
      <color rgb="00C8A44D"/>
      <sz val="11"/>
    </font>
    <font>
      <name val="Segoe UI"/>
      <b val="1"/>
      <color rgb="001F2937"/>
      <sz val="9.5"/>
    </font>
    <font>
      <name val="Segoe UI"/>
      <b val="1"/>
      <color rgb="000B2545"/>
      <sz val="9.5"/>
    </font>
    <font>
      <name val="Segoe UI"/>
      <color rgb="001F2937"/>
      <sz val="9.5"/>
    </font>
    <font>
      <name val="Segoe UI"/>
      <b val="1"/>
      <color rgb="001F2937"/>
      <sz val="9"/>
    </font>
    <font>
      <name val="Segoe UI"/>
      <i val="1"/>
      <color rgb="006B7280"/>
      <sz val="8.5"/>
    </font>
    <font>
      <name val="Segoe UI"/>
      <b val="1"/>
      <color rgb="00FFFFFF"/>
      <sz val="15"/>
    </font>
    <font>
      <name val="Segoe UI"/>
      <b val="1"/>
      <color rgb="00FFFFFF"/>
      <sz val="10.5"/>
    </font>
  </fonts>
  <fills count="15">
    <fill>
      <patternFill/>
    </fill>
    <fill>
      <patternFill patternType="gray125"/>
    </fill>
    <fill>
      <patternFill patternType="solid">
        <fgColor rgb="000B2545"/>
        <bgColor rgb="000B2545"/>
      </patternFill>
    </fill>
    <fill>
      <patternFill patternType="solid">
        <fgColor rgb="0013315C"/>
        <bgColor rgb="0013315C"/>
      </patternFill>
    </fill>
    <fill>
      <patternFill patternType="solid">
        <fgColor rgb="00F4F7FA"/>
        <bgColor rgb="00F4F7FA"/>
      </patternFill>
    </fill>
    <fill>
      <patternFill patternType="solid">
        <fgColor rgb="00FBF5E6"/>
        <bgColor rgb="00FBF5E6"/>
      </patternFill>
    </fill>
    <fill>
      <patternFill patternType="solid">
        <fgColor rgb="00FFFFFF"/>
        <bgColor rgb="00FFFFFF"/>
      </patternFill>
    </fill>
    <fill>
      <patternFill patternType="solid">
        <fgColor rgb="001B4079"/>
        <bgColor rgb="001B4079"/>
      </patternFill>
    </fill>
    <fill>
      <patternFill patternType="solid">
        <fgColor rgb="002A4E7A"/>
        <bgColor rgb="002A4E7A"/>
      </patternFill>
    </fill>
    <fill>
      <patternFill patternType="solid">
        <fgColor rgb="00C8A44D"/>
        <bgColor rgb="00C8A44D"/>
      </patternFill>
    </fill>
    <fill>
      <patternFill patternType="solid">
        <fgColor rgb="004A5568"/>
        <bgColor rgb="004A5568"/>
      </patternFill>
    </fill>
    <fill>
      <patternFill patternType="solid">
        <fgColor rgb="00B08F3C"/>
        <bgColor rgb="00B08F3C"/>
      </patternFill>
    </fill>
    <fill>
      <patternFill patternType="solid">
        <fgColor rgb="00EFF2F6"/>
        <bgColor rgb="00EFF2F6"/>
      </patternFill>
    </fill>
    <fill>
      <patternFill patternType="solid">
        <fgColor rgb="000F6E6A"/>
        <bgColor rgb="000F6E6A"/>
      </patternFill>
    </fill>
    <fill>
      <patternFill patternType="solid">
        <fgColor rgb="00B42318"/>
        <bgColor rgb="00B42318"/>
      </patternFill>
    </fill>
  </fills>
  <borders count="18">
    <border>
      <left/>
      <right/>
      <top/>
      <bottom/>
      <diagonal/>
    </border>
    <border>
      <left style="thin">
        <color rgb="00D9E1EA"/>
      </left>
      <right style="thin">
        <color rgb="00D9E1EA"/>
      </right>
      <top style="thin">
        <color rgb="00D9E1EA"/>
      </top>
      <bottom style="thin">
        <color rgb="00D9E1EA"/>
      </bottom>
    </border>
    <border>
      <left style="thin">
        <color rgb="00EDF1F6"/>
      </left>
      <right style="thin">
        <color rgb="00EDF1F6"/>
      </right>
      <top style="thin">
        <color rgb="00EDF1F6"/>
      </top>
      <bottom style="thin">
        <color rgb="00EDF1F6"/>
      </bottom>
    </border>
    <border>
      <left style="thin">
        <color rgb="00FFFFFF"/>
      </left>
      <right style="thin">
        <color rgb="00FFFFFF"/>
      </right>
    </border>
    <border>
      <left style="thin">
        <color rgb="00FFFFFF"/>
      </left>
      <right style="thin">
        <color rgb="00FFFFFF"/>
      </right>
      <top style="thin">
        <color rgb="00FFFFFF"/>
      </top>
      <bottom style="thin">
        <color rgb="00FFFFFF"/>
      </bottom>
    </border>
    <border>
      <right style="thin">
        <color rgb="00EDF1F6"/>
      </right>
      <bottom style="thin">
        <color rgb="00E4EAF1"/>
      </bottom>
    </border>
    <border>
      <bottom style="thin">
        <color rgb="00EDF1F6"/>
      </bottom>
    </border>
    <border>
      <left style="thin">
        <color rgb="00D9E1EA"/>
      </left>
      <right style="thin">
        <color rgb="00D9E1EA"/>
      </right>
      <top style="medium">
        <color rgb="000B2545"/>
      </top>
    </border>
    <border>
      <left style="thin">
        <color rgb="00D9E1EA"/>
      </left>
      <right style="thin">
        <color rgb="00D9E1EA"/>
      </right>
    </border>
    <border>
      <left style="thin">
        <color rgb="00D9E1EA"/>
      </left>
      <right style="thin">
        <color rgb="00D9E1EA"/>
      </right>
      <bottom style="thin">
        <color rgb="00D9E1EA"/>
      </bottom>
    </border>
    <border>
      <left style="thin">
        <color rgb="00D9E1EA"/>
      </left>
      <right style="thin">
        <color rgb="00D9E1EA"/>
      </right>
      <top style="medium">
        <color rgb="001D4ED8"/>
      </top>
    </border>
    <border>
      <left style="thin">
        <color rgb="00D9E1EA"/>
      </left>
      <right style="thin">
        <color rgb="00D9E1EA"/>
      </right>
      <top style="medium">
        <color rgb="00B7791F"/>
      </top>
    </border>
    <border>
      <left style="thin">
        <color rgb="00D9E1EA"/>
      </left>
      <right style="thin">
        <color rgb="00D9E1EA"/>
      </right>
      <top style="medium">
        <color rgb="001E7B4F"/>
      </top>
    </border>
    <border>
      <left style="thin">
        <color rgb="00D9E1EA"/>
      </left>
      <right style="thin">
        <color rgb="00D9E1EA"/>
      </right>
      <top style="medium">
        <color rgb="00B42318"/>
      </top>
    </border>
    <border>
      <left style="thin">
        <color rgb="00D9E1EA"/>
      </left>
      <right style="thin">
        <color rgb="00D9E1EA"/>
      </right>
      <top style="medium">
        <color rgb="000F6E6A"/>
      </top>
    </border>
    <border>
      <bottom style="thin">
        <color rgb="00E4EAF1"/>
      </bottom>
    </border>
    <border>
      <right style="thin">
        <color rgb="00F1F4F8"/>
      </right>
      <bottom style="thin">
        <color rgb="00E4EAF1"/>
      </bottom>
    </border>
    <border>
      <bottom style="thin">
        <color rgb="00E9EEF4"/>
      </bottom>
    </border>
  </borders>
  <cellStyleXfs count="1">
    <xf numFmtId="0" fontId="0" fillId="0" borderId="0"/>
  </cellStyleXfs>
  <cellXfs count="88">
    <xf numFmtId="0" fontId="0" fillId="0" borderId="0" pivotButton="0" quotePrefix="0" xfId="0"/>
    <xf numFmtId="0" fontId="0" fillId="4" borderId="0" pivotButton="0" quotePrefix="0" xfId="0"/>
    <xf numFmtId="0" fontId="17" fillId="2" borderId="0" applyAlignment="1" pivotButton="0" quotePrefix="0" xfId="0">
      <alignment horizontal="left" vertical="center" indent="1"/>
    </xf>
    <xf numFmtId="0" fontId="0" fillId="2" borderId="0" pivotButton="0" quotePrefix="0" xfId="0"/>
    <xf numFmtId="0" fontId="18" fillId="2" borderId="0" applyAlignment="1" pivotButton="0" quotePrefix="0" xfId="0">
      <alignment horizontal="left" vertical="center" indent="1"/>
    </xf>
    <xf numFmtId="0" fontId="19" fillId="2" borderId="0" applyAlignment="1" pivotButton="0" quotePrefix="0" xfId="0">
      <alignment horizontal="left" vertical="center" indent="1"/>
    </xf>
    <xf numFmtId="0" fontId="0" fillId="9" borderId="0" pivotButton="0" quotePrefix="0" xfId="0"/>
    <xf numFmtId="0" fontId="20" fillId="4" borderId="0" applyAlignment="1" pivotButton="0" quotePrefix="0" xfId="0">
      <alignment horizontal="left" vertical="bottom"/>
    </xf>
    <xf numFmtId="0" fontId="21" fillId="6" borderId="7" applyAlignment="1" pivotButton="0" quotePrefix="0" xfId="0">
      <alignment horizontal="left" vertical="center" wrapText="1" indent="1"/>
    </xf>
    <xf numFmtId="0" fontId="21" fillId="6" borderId="10" applyAlignment="1" pivotButton="0" quotePrefix="0" xfId="0">
      <alignment horizontal="left" vertical="center" wrapText="1" indent="1"/>
    </xf>
    <xf numFmtId="0" fontId="21" fillId="6" borderId="11" applyAlignment="1" pivotButton="0" quotePrefix="0" xfId="0">
      <alignment horizontal="left" vertical="center" wrapText="1" indent="1"/>
    </xf>
    <xf numFmtId="0" fontId="21" fillId="6" borderId="12" applyAlignment="1" pivotButton="0" quotePrefix="0" xfId="0">
      <alignment horizontal="left" vertical="center" wrapText="1" indent="1"/>
    </xf>
    <xf numFmtId="0" fontId="21" fillId="6" borderId="13" applyAlignment="1" pivotButton="0" quotePrefix="0" xfId="0">
      <alignment horizontal="left" vertical="center" wrapText="1" indent="1"/>
    </xf>
    <xf numFmtId="0" fontId="21" fillId="6" borderId="14" applyAlignment="1" pivotButton="0" quotePrefix="0" xfId="0">
      <alignment horizontal="left" vertical="center" wrapText="1" indent="1"/>
    </xf>
    <xf numFmtId="1" fontId="22" fillId="6" borderId="8" applyAlignment="1" pivotButton="0" quotePrefix="0" xfId="0">
      <alignment horizontal="left" vertical="center" indent="1"/>
    </xf>
    <xf numFmtId="1" fontId="24" fillId="6" borderId="8" applyAlignment="1" pivotButton="0" quotePrefix="0" xfId="0">
      <alignment horizontal="left" vertical="center" indent="1"/>
    </xf>
    <xf numFmtId="1" fontId="25" fillId="6" borderId="8" applyAlignment="1" pivotButton="0" quotePrefix="0" xfId="0">
      <alignment horizontal="left" vertical="center" indent="1"/>
    </xf>
    <xf numFmtId="1" fontId="26" fillId="6" borderId="8" applyAlignment="1" pivotButton="0" quotePrefix="0" xfId="0">
      <alignment horizontal="left" vertical="center" indent="1"/>
    </xf>
    <xf numFmtId="1" fontId="27" fillId="6" borderId="8" applyAlignment="1" pivotButton="0" quotePrefix="0" xfId="0">
      <alignment horizontal="left" vertical="center" indent="1"/>
    </xf>
    <xf numFmtId="9" fontId="28" fillId="6" borderId="8" applyAlignment="1" pivotButton="0" quotePrefix="0" xfId="0">
      <alignment horizontal="left" vertical="center" indent="1"/>
    </xf>
    <xf numFmtId="0" fontId="23" fillId="6" borderId="9" applyAlignment="1" pivotButton="0" quotePrefix="0" xfId="0">
      <alignment horizontal="left" vertical="center" wrapText="1" indent="1"/>
    </xf>
    <xf numFmtId="0" fontId="29" fillId="4" borderId="0" applyAlignment="1" pivotButton="0" quotePrefix="0" xfId="0">
      <alignment horizontal="left" vertical="top" wrapText="1"/>
    </xf>
    <xf numFmtId="0" fontId="9" fillId="2" borderId="3" applyAlignment="1" pivotButton="0" quotePrefix="0" xfId="0">
      <alignment horizontal="center" vertical="center"/>
    </xf>
    <xf numFmtId="0" fontId="9" fillId="3" borderId="3" applyAlignment="1" pivotButton="0" quotePrefix="0" xfId="0">
      <alignment horizontal="center" vertical="center"/>
    </xf>
    <xf numFmtId="0" fontId="9" fillId="7" borderId="3" applyAlignment="1" pivotButton="0" quotePrefix="0" xfId="0">
      <alignment horizontal="center" vertical="center"/>
    </xf>
    <xf numFmtId="0" fontId="9" fillId="8" borderId="3" applyAlignment="1" pivotButton="0" quotePrefix="0" xfId="0">
      <alignment horizontal="center" vertical="center"/>
    </xf>
    <xf numFmtId="0" fontId="10" fillId="9" borderId="3" applyAlignment="1" pivotButton="0" quotePrefix="0" xfId="0">
      <alignment horizontal="center" vertical="center"/>
    </xf>
    <xf numFmtId="0" fontId="9" fillId="10" borderId="3" applyAlignment="1" pivotButton="0" quotePrefix="0" xfId="0">
      <alignment horizontal="center" vertical="center"/>
    </xf>
    <xf numFmtId="0" fontId="11" fillId="2" borderId="4" applyAlignment="1" pivotButton="0" quotePrefix="0" xfId="0">
      <alignment horizontal="center" vertical="center" wrapText="1"/>
    </xf>
    <xf numFmtId="0" fontId="11" fillId="11" borderId="4" applyAlignment="1" pivotButton="0" quotePrefix="0" xfId="0">
      <alignment horizontal="center" vertical="center" wrapText="1"/>
    </xf>
    <xf numFmtId="0" fontId="5" fillId="0" borderId="5" applyAlignment="1" pivotButton="0" quotePrefix="0" xfId="0">
      <alignment horizontal="left" vertical="center"/>
    </xf>
    <xf numFmtId="164" fontId="5" fillId="0" borderId="5" applyAlignment="1" pivotButton="0" quotePrefix="0" xfId="0">
      <alignment horizontal="center" vertical="center"/>
    </xf>
    <xf numFmtId="0" fontId="5" fillId="0" borderId="5" applyAlignment="1" pivotButton="0" quotePrefix="0" xfId="0">
      <alignment horizontal="left" vertical="center" wrapText="1"/>
    </xf>
    <xf numFmtId="0" fontId="12" fillId="12" borderId="5" applyAlignment="1" pivotButton="0" quotePrefix="0" xfId="0">
      <alignment horizontal="left" vertical="center" wrapText="1"/>
    </xf>
    <xf numFmtId="0" fontId="5" fillId="0" borderId="5" applyAlignment="1" pivotButton="0" quotePrefix="0" xfId="0">
      <alignment horizontal="center" vertical="center" wrapText="1"/>
    </xf>
    <xf numFmtId="0" fontId="13" fillId="0" borderId="5" applyAlignment="1" pivotButton="0" quotePrefix="0" xfId="0">
      <alignment horizontal="center" vertical="center"/>
    </xf>
    <xf numFmtId="1" fontId="12" fillId="12" borderId="5" applyAlignment="1" pivotButton="0" quotePrefix="0" xfId="0">
      <alignment horizontal="center" vertical="center"/>
    </xf>
    <xf numFmtId="0" fontId="12" fillId="12" borderId="5" applyAlignment="1" pivotButton="0" quotePrefix="0" xfId="0">
      <alignment horizontal="center" vertical="center"/>
    </xf>
    <xf numFmtId="9" fontId="12" fillId="12" borderId="5" applyAlignment="1" pivotButton="0" quotePrefix="0" xfId="0">
      <alignment horizontal="center" vertical="center"/>
    </xf>
    <xf numFmtId="0" fontId="30" fillId="13" borderId="0" applyAlignment="1" pivotButton="0" quotePrefix="0" xfId="0">
      <alignment horizontal="left" vertical="center" indent="1"/>
    </xf>
    <xf numFmtId="0" fontId="0" fillId="13" borderId="0" pivotButton="0" quotePrefix="0" xfId="0"/>
    <xf numFmtId="0" fontId="9" fillId="7" borderId="4" applyAlignment="1" pivotButton="0" quotePrefix="0" xfId="0">
      <alignment horizontal="center" vertical="center" wrapText="1"/>
    </xf>
    <xf numFmtId="0" fontId="9" fillId="10" borderId="4" applyAlignment="1" pivotButton="0" quotePrefix="0" xfId="0">
      <alignment horizontal="center" vertical="center" wrapText="1"/>
    </xf>
    <xf numFmtId="0" fontId="5" fillId="12" borderId="5" applyAlignment="1" pivotButton="0" quotePrefix="0" xfId="0">
      <alignment horizontal="left" vertical="center" wrapText="1"/>
    </xf>
    <xf numFmtId="1" fontId="5" fillId="12" borderId="5" applyAlignment="1" pivotButton="0" quotePrefix="0" xfId="0">
      <alignment horizontal="center" vertical="center"/>
    </xf>
    <xf numFmtId="0" fontId="5" fillId="12" borderId="5" applyAlignment="1" pivotButton="0" quotePrefix="0" xfId="0">
      <alignment horizontal="center" vertical="center"/>
    </xf>
    <xf numFmtId="0" fontId="31" fillId="9" borderId="0" applyAlignment="1" pivotButton="0" quotePrefix="0" xfId="0">
      <alignment horizontal="left" vertical="center" indent="1"/>
    </xf>
    <xf numFmtId="9" fontId="5" fillId="12" borderId="5" applyAlignment="1" pivotButton="0" quotePrefix="0" xfId="0">
      <alignment horizontal="center" vertical="center"/>
    </xf>
    <xf numFmtId="0" fontId="14" fillId="14" borderId="0" applyAlignment="1" pivotButton="0" quotePrefix="0" xfId="0">
      <alignment horizontal="left" vertical="center" indent="1"/>
    </xf>
    <xf numFmtId="0" fontId="0" fillId="14" borderId="0" pivotButton="0" quotePrefix="0" xfId="0"/>
    <xf numFmtId="0" fontId="2" fillId="0" borderId="0" applyAlignment="1" pivotButton="0" quotePrefix="0" xfId="0">
      <alignment horizontal="left" vertical="center" wrapText="1"/>
    </xf>
    <xf numFmtId="0" fontId="9" fillId="2" borderId="4" applyAlignment="1" pivotButton="0" quotePrefix="0" xfId="0">
      <alignment horizontal="center" vertical="center" wrapText="1"/>
    </xf>
    <xf numFmtId="0" fontId="32" fillId="5" borderId="16" applyAlignment="1" pivotButton="0" quotePrefix="0" xfId="0">
      <alignment horizontal="center" vertical="center"/>
    </xf>
    <xf numFmtId="0" fontId="34" fillId="0" borderId="16" applyAlignment="1" pivotButton="0" quotePrefix="0" xfId="0">
      <alignment horizontal="left" vertical="center"/>
    </xf>
    <xf numFmtId="0" fontId="35" fillId="0" borderId="16" applyAlignment="1" pivotButton="0" quotePrefix="0" xfId="0">
      <alignment horizontal="left" vertical="center" wrapText="1"/>
    </xf>
    <xf numFmtId="0" fontId="35" fillId="0" borderId="16" applyAlignment="1" pivotButton="0" quotePrefix="0" xfId="0">
      <alignment horizontal="left" vertical="center"/>
    </xf>
    <xf numFmtId="0" fontId="36" fillId="0" borderId="16" applyAlignment="1" pivotButton="0" quotePrefix="0" xfId="0">
      <alignment horizontal="center" vertical="center"/>
    </xf>
    <xf numFmtId="164" fontId="35" fillId="0" borderId="16" applyAlignment="1" pivotButton="0" quotePrefix="0" xfId="0">
      <alignment horizontal="center" vertical="center"/>
    </xf>
    <xf numFmtId="0" fontId="35" fillId="0" borderId="16" applyAlignment="1" pivotButton="0" quotePrefix="0" xfId="0">
      <alignment horizontal="center" vertical="center"/>
    </xf>
    <xf numFmtId="0" fontId="37" fillId="0" borderId="0" applyAlignment="1" pivotButton="0" quotePrefix="0" xfId="0">
      <alignment horizontal="left" vertical="top" wrapText="1"/>
    </xf>
    <xf numFmtId="0" fontId="14" fillId="2" borderId="0" applyAlignment="1" pivotButton="0" quotePrefix="0" xfId="0">
      <alignment horizontal="left" vertical="center" indent="1"/>
    </xf>
    <xf numFmtId="0" fontId="2" fillId="0" borderId="0" pivotButton="0" quotePrefix="0" xfId="0"/>
    <xf numFmtId="0" fontId="15" fillId="0" borderId="0" pivotButton="0" quotePrefix="0" xfId="0"/>
    <xf numFmtId="0" fontId="16" fillId="0" borderId="0" pivotButton="0" quotePrefix="0" xfId="0"/>
    <xf numFmtId="0" fontId="16" fillId="0" borderId="0" applyAlignment="1" pivotButton="0" quotePrefix="0" xfId="0">
      <alignment horizontal="center" vertical="center"/>
    </xf>
    <xf numFmtId="0" fontId="5" fillId="0" borderId="6" pivotButton="0" quotePrefix="0" xfId="0"/>
    <xf numFmtId="1" fontId="7" fillId="0" borderId="6" applyAlignment="1" pivotButton="0" quotePrefix="0" xfId="0">
      <alignment horizontal="center" vertical="center"/>
    </xf>
    <xf numFmtId="166" fontId="5" fillId="0" borderId="6" pivotButton="0" quotePrefix="0" xfId="0"/>
    <xf numFmtId="0" fontId="7" fillId="0" borderId="6" applyAlignment="1" pivotButton="0" quotePrefix="0" xfId="0">
      <alignment horizontal="center" vertical="center"/>
    </xf>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5" fillId="0" borderId="2" pivotButton="0" quotePrefix="0" xfId="0"/>
    <xf numFmtId="0" fontId="6" fillId="0" borderId="2" pivotButton="0" quotePrefix="0" xfId="0"/>
    <xf numFmtId="0" fontId="6" fillId="0" borderId="2" applyAlignment="1" pivotButton="0" quotePrefix="0" xfId="0">
      <alignment horizontal="center" vertical="center"/>
    </xf>
    <xf numFmtId="0" fontId="4" fillId="4" borderId="1" applyAlignment="1" pivotButton="0" quotePrefix="0" xfId="0">
      <alignment horizontal="center" vertical="center" indent="1"/>
    </xf>
    <xf numFmtId="0" fontId="4" fillId="4" borderId="1" applyAlignment="1" pivotButton="0" quotePrefix="0" xfId="0">
      <alignment horizontal="center" vertical="center"/>
    </xf>
    <xf numFmtId="0" fontId="7" fillId="4" borderId="1" applyAlignment="1" pivotButton="0" quotePrefix="0" xfId="0">
      <alignment horizontal="left" vertical="center" indent="1"/>
    </xf>
    <xf numFmtId="0" fontId="8" fillId="5" borderId="1" applyAlignment="1" pivotButton="0" quotePrefix="0" xfId="0">
      <alignment horizontal="center" vertical="center"/>
    </xf>
    <xf numFmtId="1" fontId="7" fillId="6" borderId="1" applyAlignment="1" pivotButton="0" quotePrefix="0" xfId="0">
      <alignment horizontal="center" vertical="center"/>
    </xf>
    <xf numFmtId="0" fontId="38" fillId="2" borderId="0" applyAlignment="1" pivotButton="0" quotePrefix="0" xfId="0">
      <alignment horizontal="left" vertical="center" indent="1"/>
    </xf>
    <xf numFmtId="0" fontId="39" fillId="3" borderId="0" applyAlignment="1" pivotButton="0" quotePrefix="0" xfId="0">
      <alignment horizontal="left" vertical="center" indent="1"/>
    </xf>
    <xf numFmtId="0" fontId="7" fillId="6" borderId="17" applyAlignment="1" pivotButton="0" quotePrefix="0" xfId="0">
      <alignment horizontal="left" vertical="top" wrapText="1" indent="1"/>
    </xf>
    <xf numFmtId="0" fontId="5" fillId="6" borderId="17" applyAlignment="1" pivotButton="0" quotePrefix="0" xfId="0">
      <alignment horizontal="left" vertical="top" wrapText="1"/>
    </xf>
    <xf numFmtId="0" fontId="7" fillId="4" borderId="17" applyAlignment="1" pivotButton="0" quotePrefix="0" xfId="0">
      <alignment horizontal="left" vertical="top" wrapText="1" indent="1"/>
    </xf>
    <xf numFmtId="0" fontId="5" fillId="4" borderId="17" applyAlignment="1" pivotButton="0" quotePrefix="0" xfId="0">
      <alignment horizontal="left" vertical="top" wrapText="1"/>
    </xf>
    <xf numFmtId="0" fontId="37" fillId="0" borderId="0" applyAlignment="1" pivotButton="0" quotePrefix="0" xfId="0">
      <alignment horizontal="left" vertical="center" wrapText="1" indent="1"/>
    </xf>
  </cellXfs>
  <cellStyles count="1">
    <cellStyle name="Normal" xfId="0" builtinId="0" hidden="0"/>
  </cellStyles>
  <dxfs count="20">
    <dxf>
      <font>
        <name val="Segoe UI"/>
        <b val="1"/>
        <color rgb="006B7280"/>
        <sz val="8.5"/>
      </font>
      <fill>
        <patternFill patternType="solid">
          <fgColor rgb="00E8ECF1"/>
          <bgColor rgb="00E8ECF1"/>
        </patternFill>
      </fill>
    </dxf>
    <dxf>
      <font>
        <name val="Segoe UI"/>
        <b val="1"/>
        <color rgb="00B42318"/>
        <sz val="8.5"/>
      </font>
      <fill>
        <patternFill patternType="solid">
          <fgColor rgb="00FCE9E7"/>
          <bgColor rgb="00FCE9E7"/>
        </patternFill>
      </fill>
      <border>
        <left style="thin">
          <color rgb="00F0B4AE"/>
        </left>
        <right style="thin">
          <color rgb="00F0B4AE"/>
        </right>
        <top style="thin">
          <color rgb="00F0B4AE"/>
        </top>
        <bottom style="thin">
          <color rgb="00F0B4AE"/>
        </bottom>
      </border>
    </dxf>
    <dxf>
      <font>
        <name val="Segoe UI"/>
        <b val="1"/>
        <color rgb="00B7791F"/>
        <sz val="8.5"/>
      </font>
      <fill>
        <patternFill patternType="solid">
          <fgColor rgb="00FDF4E3"/>
          <bgColor rgb="00FDF4E3"/>
        </patternFill>
      </fill>
      <border>
        <left style="thin">
          <color rgb="00EBCF9A"/>
        </left>
        <right style="thin">
          <color rgb="00EBCF9A"/>
        </right>
        <top style="thin">
          <color rgb="00EBCF9A"/>
        </top>
        <bottom style="thin">
          <color rgb="00EBCF9A"/>
        </bottom>
      </border>
    </dxf>
    <dxf>
      <font>
        <name val="Segoe UI"/>
        <b val="1"/>
        <color rgb="001D4ED8"/>
        <sz val="8.5"/>
      </font>
      <fill>
        <patternFill patternType="solid">
          <fgColor rgb="00E8EEFB"/>
          <bgColor rgb="00E8EEFB"/>
        </patternFill>
      </fill>
    </dxf>
    <dxf>
      <font>
        <name val="Segoe UI"/>
        <b val="1"/>
        <color rgb="001E7B4F"/>
        <sz val="8.5"/>
      </font>
      <fill>
        <patternFill patternType="solid">
          <fgColor rgb="00E7F4EC"/>
          <bgColor rgb="00E7F4EC"/>
        </patternFill>
      </fill>
    </dxf>
    <dxf>
      <font>
        <name val="Segoe UI"/>
        <b val="1"/>
        <color rgb="00B42318"/>
        <sz val="9.5"/>
      </font>
      <fill>
        <patternFill patternType="solid">
          <fgColor rgb="00FFF1F0"/>
          <bgColor rgb="00FFF1F0"/>
        </patternFill>
      </fill>
    </dxf>
    <dxf>
      <font>
        <name val="Segoe UI"/>
        <b val="1"/>
        <color rgb="006B7280"/>
        <sz val="9.5"/>
      </font>
    </dxf>
    <dxf>
      <font>
        <name val="Segoe UI"/>
        <b val="1"/>
        <color rgb="00B42318"/>
        <sz val="9"/>
      </font>
      <fill>
        <patternFill patternType="solid">
          <fgColor rgb="00FCE9E7"/>
          <bgColor rgb="00FCE9E7"/>
        </patternFill>
      </fill>
    </dxf>
    <dxf>
      <font>
        <name val="Segoe UI"/>
        <b val="1"/>
        <color rgb="00B7791F"/>
        <sz val="9"/>
      </font>
      <fill>
        <patternFill patternType="solid">
          <fgColor rgb="00FDF4E3"/>
          <bgColor rgb="00FDF4E3"/>
        </patternFill>
      </fill>
    </dxf>
    <dxf>
      <font>
        <name val="Segoe UI"/>
        <b val="1"/>
        <color rgb="006B7280"/>
        <sz val="9"/>
      </font>
      <fill>
        <patternFill patternType="solid">
          <fgColor rgb="00EFF2F6"/>
          <bgColor rgb="00EFF2F6"/>
        </patternFill>
      </fill>
    </dxf>
    <dxf>
      <font>
        <name val="Segoe UI"/>
        <b val="1"/>
        <color rgb="001D4ED8"/>
        <sz val="9"/>
      </font>
      <fill>
        <patternFill patternType="solid">
          <fgColor rgb="00E8EEFB"/>
          <bgColor rgb="00E8EEFB"/>
        </patternFill>
      </fill>
    </dxf>
    <dxf>
      <font>
        <name val="Segoe UI"/>
        <b val="1"/>
        <color rgb="004B5563"/>
        <sz val="9"/>
      </font>
      <fill>
        <patternFill patternType="solid">
          <fgColor rgb="00F3F4F6"/>
          <bgColor rgb="00F3F4F6"/>
        </patternFill>
      </fill>
    </dxf>
    <dxf>
      <font>
        <name val="Segoe UI"/>
        <b val="1"/>
        <color rgb="006B7280"/>
        <sz val="9"/>
      </font>
      <fill>
        <patternFill patternType="solid">
          <fgColor rgb="00E8ECF1"/>
          <bgColor rgb="00E8ECF1"/>
        </patternFill>
      </fill>
    </dxf>
    <dxf>
      <font>
        <name val="Segoe UI"/>
        <b val="1"/>
        <color rgb="005B21B6"/>
        <sz val="9"/>
      </font>
      <fill>
        <patternFill patternType="solid">
          <fgColor rgb="00EDE9FE"/>
          <bgColor rgb="00EDE9FE"/>
        </patternFill>
      </fill>
    </dxf>
    <dxf>
      <font>
        <name val="Segoe UI"/>
        <b val="1"/>
        <color rgb="001E7B4F"/>
        <sz val="9"/>
      </font>
      <fill>
        <patternFill patternType="solid">
          <fgColor rgb="00E7F4EC"/>
          <bgColor rgb="00E7F4EC"/>
        </patternFill>
      </fill>
    </dxf>
    <dxf>
      <font>
        <name val="Segoe UI"/>
        <b val="1"/>
        <color rgb="00FFFFFF"/>
        <sz val="9"/>
      </font>
      <fill>
        <patternFill patternType="solid">
          <fgColor rgb="00B42318"/>
          <bgColor rgb="00B42318"/>
        </patternFill>
      </fill>
    </dxf>
    <dxf>
      <font>
        <name val="Segoe UI"/>
        <b val="1"/>
        <color rgb="00FFFFFF"/>
        <sz val="9"/>
      </font>
      <fill>
        <patternFill patternType="solid">
          <fgColor rgb="00C8A44D"/>
          <bgColor rgb="00C8A44D"/>
        </patternFill>
      </fill>
    </dxf>
    <dxf>
      <font>
        <name val="Segoe UI"/>
        <color rgb="009CA3AF"/>
        <sz val="9"/>
      </font>
    </dxf>
    <dxf>
      <font>
        <name val="Segoe UI"/>
        <b val="1"/>
        <color rgb="00C8A44D"/>
        <sz val="9"/>
      </font>
      <fill>
        <patternFill patternType="solid">
          <fgColor rgb="00FBF5E6"/>
          <bgColor rgb="00FBF5E6"/>
        </patternFill>
      </fill>
    </dxf>
    <dxf>
      <font>
        <name val="Segoe UI"/>
        <b val="1"/>
        <color rgb="006B7280"/>
        <sz val="9"/>
      </font>
      <fill>
        <patternFill patternType="solid">
          <fgColor rgb="00F3F4F6"/>
          <bgColor rgb="00F3F4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2"/>
  <chart>
    <title>
      <tx>
        <rich>
          <a:bodyPr/>
          <a:p>
            <a:pPr>
              <a:defRPr sz="1050" b="1">
                <a:solidFill>
                  <a:srgbClr val="0B2545"/>
                </a:solidFill>
                <a:latin typeface="Segoe UI"/>
              </a:defRPr>
            </a:pPr>
            <a:r>
              <a:rPr sz="1050" b="1">
                <a:solidFill>
                  <a:srgbClr val="0B2545"/>
                </a:solidFill>
                <a:latin typeface="Segoe UI"/>
              </a:rPr>
              <a:t>Cases by stage</a:t>
            </a:r>
            <a:endParaRPr sz="1050" b="1">
              <a:solidFill>
                <a:srgbClr val="0B2545"/>
              </a:solidFill>
              <a:latin typeface="Segoe UI"/>
            </a:endParaRPr>
          </a:p>
        </rich>
      </tx>
    </title>
    <plotArea>
      <barChart>
        <barDir val="bar"/>
        <grouping val="clustered"/>
        <ser>
          <idx val="0"/>
          <order val="0"/>
          <spPr>
            <a:solidFill>
              <a:srgbClr val="1B4079"/>
            </a:solidFill>
            <a:ln>
              <a:noFill/>
              <a:prstDash val="solid"/>
            </a:ln>
          </spPr>
          <cat>
            <numRef>
              <f>'Analysis'!$B$6:$B$15</f>
            </numRef>
          </cat>
          <val>
            <numRef>
              <f>'Analysis'!$C$6:$C$15</f>
            </numRef>
          </val>
        </ser>
        <dLbls>
          <showVal val="1"/>
        </dLbls>
        <gapWidth val="45"/>
        <axId val="10"/>
        <axId val="100"/>
      </barChart>
      <catAx>
        <axId val="10"/>
        <scaling>
          <orientation val="minMax"/>
        </scaling>
        <axPos val="l"/>
        <majorGridlines>
          <spPr>
            <a:ln>
              <a:solidFill>
                <a:srgbClr val="E8EDF3"/>
              </a:solidFill>
              <a:prstDash val="solid"/>
            </a:ln>
          </spPr>
        </majorGridlines>
        <majorTickMark val="none"/>
        <minorTickMark val="none"/>
        <spPr>
          <a:ln>
            <a:solidFill>
              <a:srgbClr val="D9E1EA"/>
            </a:solidFill>
            <a:prstDash val="solid"/>
          </a:ln>
        </spPr>
        <txPr>
          <a:bodyPr/>
          <a:p>
            <a:pPr>
              <a:defRPr sz="800" b="0">
                <a:solidFill>
                  <a:srgbClr val="6B7280"/>
                </a:solidFill>
                <a:latin typeface="Segoe UI"/>
              </a:defRPr>
            </a:pPr>
            <a:r>
              <a:rPr sz="800" b="0">
                <a:solidFill>
                  <a:srgbClr val="6B7280"/>
                </a:solidFill>
                <a:latin typeface="Segoe UI"/>
              </a:rPr>
              <a:t/>
            </a:r>
            <a:endParaRPr sz="800" b="0">
              <a:solidFill>
                <a:srgbClr val="6B7280"/>
              </a:solidFill>
              <a:latin typeface="Segoe UI"/>
            </a:endParaRPr>
          </a:p>
        </txPr>
        <crossAx val="100"/>
        <lblOffset val="100"/>
      </catAx>
      <valAx>
        <axId val="100"/>
        <scaling>
          <orientation val="minMax"/>
        </scaling>
        <axPos val="l"/>
        <majorTickMark val="none"/>
        <minorTickMark val="none"/>
        <spPr>
          <a:ln>
            <a:solidFill>
              <a:srgbClr val="D9E1EA"/>
            </a:solidFill>
            <a:prstDash val="solid"/>
          </a:ln>
        </spPr>
        <txPr>
          <a:bodyPr/>
          <a:p>
            <a:pPr>
              <a:defRPr sz="800" b="0">
                <a:solidFill>
                  <a:srgbClr val="6B7280"/>
                </a:solidFill>
                <a:latin typeface="Segoe UI"/>
              </a:defRPr>
            </a:pPr>
            <a:r>
              <a:rPr sz="800" b="0">
                <a:solidFill>
                  <a:srgbClr val="6B7280"/>
                </a:solidFill>
                <a:latin typeface="Segoe UI"/>
              </a:rPr>
              <a:t/>
            </a:r>
            <a:endParaRPr sz="800" b="0">
              <a:solidFill>
                <a:srgbClr val="6B7280"/>
              </a:solidFill>
              <a:latin typeface="Segoe UI"/>
            </a:endParaRPr>
          </a:p>
        </txPr>
        <crossAx val="10"/>
      </valAx>
    </plotArea>
    <plotVisOnly val="1"/>
    <dispBlanksAs val="gap"/>
  </chart>
  <spPr>
    <a:solidFill>
      <a:srgbClr val="FFFFFF"/>
    </a:solidFill>
    <a:ln>
      <a:solidFill>
        <a:srgbClr val="D9E1EA"/>
      </a:solidFill>
      <a:prstDash val="solid"/>
    </a:ln>
  </spPr>
</chartSpace>
</file>

<file path=xl/charts/chart2.xml><?xml version="1.0" encoding="utf-8"?>
<chartSpace xmlns:a="http://schemas.openxmlformats.org/drawingml/2006/main" xmlns="http://schemas.openxmlformats.org/drawingml/2006/chart">
  <style val="2"/>
  <chart>
    <title>
      <tx>
        <rich>
          <a:bodyPr/>
          <a:p>
            <a:pPr>
              <a:defRPr sz="1050" b="1">
                <a:solidFill>
                  <a:srgbClr val="0B2545"/>
                </a:solidFill>
                <a:latin typeface="Segoe UI"/>
              </a:defRPr>
            </a:pPr>
            <a:r>
              <a:rPr sz="1050" b="1">
                <a:solidFill>
                  <a:srgbClr val="0B2545"/>
                </a:solidFill>
                <a:latin typeface="Segoe UI"/>
              </a:rPr>
              <a:t>Case status mix</a:t>
            </a:r>
            <a:endParaRPr sz="1050" b="1">
              <a:solidFill>
                <a:srgbClr val="0B2545"/>
              </a:solidFill>
              <a:latin typeface="Segoe UI"/>
            </a:endParaRPr>
          </a:p>
        </rich>
      </tx>
    </title>
    <plotArea>
      <doughnutChart>
        <varyColors val="1"/>
        <ser>
          <idx val="0"/>
          <order val="0"/>
          <spPr>
            <a:ln>
              <a:prstDash val="solid"/>
            </a:ln>
          </spPr>
          <dPt>
            <idx val="0"/>
            <spPr>
              <a:solidFill>
                <a:srgbClr val="0B2545"/>
              </a:solidFill>
              <a:ln>
                <a:solidFill>
                  <a:srgbClr val="FFFFFF"/>
                </a:solidFill>
                <a:prstDash val="solid"/>
              </a:ln>
            </spPr>
          </dPt>
          <dPt>
            <idx val="1"/>
            <spPr>
              <a:solidFill>
                <a:srgbClr val="C8A44D"/>
              </a:solidFill>
              <a:ln>
                <a:solidFill>
                  <a:srgbClr val="FFFFFF"/>
                </a:solidFill>
                <a:prstDash val="solid"/>
              </a:ln>
            </spPr>
          </dPt>
          <dPt>
            <idx val="2"/>
            <spPr>
              <a:solidFill>
                <a:srgbClr val="9CA3AF"/>
              </a:solidFill>
              <a:ln>
                <a:solidFill>
                  <a:srgbClr val="FFFFFF"/>
                </a:solidFill>
                <a:prstDash val="solid"/>
              </a:ln>
            </spPr>
          </dPt>
          <dPt>
            <idx val="3"/>
            <spPr>
              <a:solidFill>
                <a:srgbClr val="6B7280"/>
              </a:solidFill>
              <a:ln>
                <a:solidFill>
                  <a:srgbClr val="FFFFFF"/>
                </a:solidFill>
                <a:prstDash val="solid"/>
              </a:ln>
            </spPr>
          </dPt>
          <dPt>
            <idx val="4"/>
            <spPr>
              <a:solidFill>
                <a:srgbClr val="1E7B4F"/>
              </a:solidFill>
              <a:ln>
                <a:solidFill>
                  <a:srgbClr val="FFFFFF"/>
                </a:solidFill>
                <a:prstDash val="solid"/>
              </a:ln>
            </spPr>
          </dPt>
          <dPt>
            <idx val="5"/>
            <spPr>
              <a:solidFill>
                <a:srgbClr val="5B21B6"/>
              </a:solidFill>
              <a:ln>
                <a:solidFill>
                  <a:srgbClr val="FFFFFF"/>
                </a:solidFill>
                <a:prstDash val="solid"/>
              </a:ln>
            </spPr>
          </dPt>
          <cat>
            <numRef>
              <f>'Analysis'!$B$34:$B$39</f>
            </numRef>
          </cat>
          <val>
            <numRef>
              <f>'Analysis'!$C$34:$C$39</f>
            </numRef>
          </val>
        </ser>
        <dLbls>
          <txPr>
            <a:bodyPr/>
            <a:p>
              <a:pPr>
                <a:defRPr sz="800" b="1">
                  <a:solidFill>
                    <a:srgbClr val="FFFFFF"/>
                  </a:solidFill>
                  <a:latin typeface="Segoe UI"/>
                </a:defRPr>
              </a:pPr>
              <a:r>
                <a:rPr sz="800" b="1">
                  <a:solidFill>
                    <a:srgbClr val="FFFFFF"/>
                  </a:solidFill>
                  <a:latin typeface="Segoe UI"/>
                </a:rPr>
                <a:t/>
              </a:r>
              <a:endParaRPr sz="800" b="1">
                <a:solidFill>
                  <a:srgbClr val="FFFFFF"/>
                </a:solidFill>
                <a:latin typeface="Segoe UI"/>
              </a:endParaRPr>
            </a:p>
          </txPr>
          <showVal val="1"/>
        </dLbls>
        <firstSliceAng val="0"/>
        <holeSize val="58"/>
      </doughnutChart>
    </plotArea>
    <legend>
      <legendPos val="r"/>
      <overlay val="0"/>
      <txPr>
        <a:bodyPr/>
        <a:p>
          <a:pPr>
            <a:defRPr sz="800" b="0">
              <a:solidFill>
                <a:srgbClr val="6B7280"/>
              </a:solidFill>
              <a:latin typeface="Segoe UI"/>
            </a:defRPr>
          </a:pPr>
          <a:r>
            <a:rPr sz="800" b="0">
              <a:solidFill>
                <a:srgbClr val="6B7280"/>
              </a:solidFill>
              <a:latin typeface="Segoe UI"/>
            </a:rPr>
            <a:t/>
          </a:r>
          <a:endParaRPr sz="800" b="0">
            <a:solidFill>
              <a:srgbClr val="6B7280"/>
            </a:solidFill>
            <a:latin typeface="Segoe UI"/>
          </a:endParaRPr>
        </a:p>
      </txPr>
    </legend>
    <plotVisOnly val="1"/>
    <dispBlanksAs val="gap"/>
  </chart>
  <spPr>
    <a:solidFill>
      <a:srgbClr val="FFFFFF"/>
    </a:solidFill>
    <a:ln>
      <a:solidFill>
        <a:srgbClr val="D9E1EA"/>
      </a:solidFill>
      <a:prstDash val="solid"/>
    </a:ln>
  </spPr>
</chartSpace>
</file>

<file path=xl/charts/chart3.xml><?xml version="1.0" encoding="utf-8"?>
<chartSpace xmlns:a="http://schemas.openxmlformats.org/drawingml/2006/main" xmlns="http://schemas.openxmlformats.org/drawingml/2006/chart">
  <style val="2"/>
  <chart>
    <title>
      <tx>
        <rich>
          <a:bodyPr/>
          <a:p>
            <a:pPr>
              <a:defRPr sz="1050" b="1">
                <a:solidFill>
                  <a:srgbClr val="0B2545"/>
                </a:solidFill>
                <a:latin typeface="Segoe UI"/>
              </a:defRPr>
            </a:pPr>
            <a:r>
              <a:rPr sz="1050" b="1">
                <a:solidFill>
                  <a:srgbClr val="0B2545"/>
                </a:solidFill>
                <a:latin typeface="Segoe UI"/>
              </a:rPr>
              <a:t>Monthly case intake (12 months)</a:t>
            </a:r>
            <a:endParaRPr sz="1050" b="1">
              <a:solidFill>
                <a:srgbClr val="0B2545"/>
              </a:solidFill>
              <a:latin typeface="Segoe UI"/>
            </a:endParaRPr>
          </a:p>
        </rich>
      </tx>
    </title>
    <plotArea>
      <lineChart>
        <grouping val="standard"/>
        <ser>
          <idx val="0"/>
          <order val="0"/>
          <spPr>
            <a:ln w="28000">
              <a:solidFill>
                <a:srgbClr val="C8A44D"/>
              </a:solidFill>
              <a:prstDash val="solid"/>
            </a:ln>
          </spPr>
          <marker>
            <symbol val="circle"/>
            <size val="6"/>
            <spPr>
              <a:ln>
                <a:prstDash val="solid"/>
              </a:ln>
            </spPr>
          </marker>
          <cat>
            <numRef>
              <f>'Analysis'!$B$44:$B$55</f>
            </numRef>
          </cat>
          <val>
            <numRef>
              <f>'Analysis'!$C$44:$C$55</f>
            </numRef>
          </val>
          <smooth val="0"/>
        </ser>
        <axId val="10"/>
        <axId val="100"/>
      </lineChart>
      <catAx>
        <axId val="10"/>
        <scaling>
          <orientation val="minMax"/>
        </scaling>
        <axPos val="l"/>
        <majorTickMark val="none"/>
        <minorTickMark val="none"/>
        <spPr>
          <a:ln>
            <a:solidFill>
              <a:srgbClr val="D9E1EA"/>
            </a:solidFill>
            <a:prstDash val="solid"/>
          </a:ln>
        </spPr>
        <txPr>
          <a:bodyPr/>
          <a:p>
            <a:pPr>
              <a:defRPr sz="750" b="0">
                <a:solidFill>
                  <a:srgbClr val="6B7280"/>
                </a:solidFill>
                <a:latin typeface="Segoe UI"/>
              </a:defRPr>
            </a:pPr>
            <a:r>
              <a:rPr sz="750" b="0">
                <a:solidFill>
                  <a:srgbClr val="6B7280"/>
                </a:solidFill>
                <a:latin typeface="Segoe UI"/>
              </a:rPr>
              <a:t/>
            </a:r>
            <a:endParaRPr sz="750" b="0">
              <a:solidFill>
                <a:srgbClr val="6B7280"/>
              </a:solidFill>
              <a:latin typeface="Segoe UI"/>
            </a:endParaRPr>
          </a:p>
        </txPr>
        <crossAx val="100"/>
        <lblOffset val="100"/>
        <tickLblSkip val="1"/>
      </catAx>
      <valAx>
        <axId val="100"/>
        <scaling>
          <orientation val="minMax"/>
          <min val="0"/>
        </scaling>
        <axPos val="l"/>
        <majorGridlines>
          <spPr>
            <a:ln>
              <a:solidFill>
                <a:srgbClr val="E8EDF3"/>
              </a:solidFill>
              <a:prstDash val="solid"/>
            </a:ln>
          </spPr>
        </majorGridlines>
        <majorTickMark val="none"/>
        <minorTickMark val="none"/>
        <spPr>
          <a:ln>
            <a:solidFill>
              <a:srgbClr val="D9E1EA"/>
            </a:solidFill>
            <a:prstDash val="solid"/>
          </a:ln>
        </spPr>
        <txPr>
          <a:bodyPr/>
          <a:p>
            <a:pPr>
              <a:defRPr sz="800" b="0">
                <a:solidFill>
                  <a:srgbClr val="6B7280"/>
                </a:solidFill>
                <a:latin typeface="Segoe UI"/>
              </a:defRPr>
            </a:pPr>
            <a:r>
              <a:rPr sz="800" b="0">
                <a:solidFill>
                  <a:srgbClr val="6B7280"/>
                </a:solidFill>
                <a:latin typeface="Segoe UI"/>
              </a:rPr>
              <a:t/>
            </a:r>
            <a:endParaRPr sz="800" b="0">
              <a:solidFill>
                <a:srgbClr val="6B7280"/>
              </a:solidFill>
              <a:latin typeface="Segoe UI"/>
            </a:endParaRPr>
          </a:p>
        </txPr>
        <crossAx val="10"/>
      </valAx>
    </plotArea>
    <plotVisOnly val="1"/>
    <dispBlanksAs val="gap"/>
  </chart>
  <spPr>
    <a:solidFill>
      <a:srgbClr val="FFFFFF"/>
    </a:solidFill>
    <a:ln>
      <a:solidFill>
        <a:srgbClr val="D9E1EA"/>
      </a:solidFill>
      <a:prstDash val="solid"/>
    </a:ln>
  </spPr>
</chartSpace>
</file>

<file path=xl/charts/chart4.xml><?xml version="1.0" encoding="utf-8"?>
<chartSpace xmlns:a="http://schemas.openxmlformats.org/drawingml/2006/main" xmlns="http://schemas.openxmlformats.org/drawingml/2006/chart">
  <style val="2"/>
  <chart>
    <title>
      <tx>
        <rich>
          <a:bodyPr/>
          <a:p>
            <a:pPr>
              <a:defRPr sz="1050" b="1">
                <a:solidFill>
                  <a:srgbClr val="0B2545"/>
                </a:solidFill>
                <a:latin typeface="Segoe UI"/>
              </a:defRPr>
            </a:pPr>
            <a:r>
              <a:rPr sz="1050" b="1">
                <a:solidFill>
                  <a:srgbClr val="0B2545"/>
                </a:solidFill>
                <a:latin typeface="Segoe UI"/>
              </a:rPr>
              <a:t>Volume by offense category</a:t>
            </a:r>
            <a:endParaRPr sz="1050" b="1">
              <a:solidFill>
                <a:srgbClr val="0B2545"/>
              </a:solidFill>
              <a:latin typeface="Segoe UI"/>
            </a:endParaRPr>
          </a:p>
        </rich>
      </tx>
    </title>
    <plotArea>
      <barChart>
        <barDir val="bar"/>
        <grouping val="clustered"/>
        <ser>
          <idx val="0"/>
          <order val="0"/>
          <spPr>
            <a:solidFill>
              <a:srgbClr val="13315C"/>
            </a:solidFill>
            <a:ln>
              <a:noFill/>
              <a:prstDash val="solid"/>
            </a:ln>
          </spPr>
          <cat>
            <numRef>
              <f>'Analysis'!$B$20:$B$29</f>
            </numRef>
          </cat>
          <val>
            <numRef>
              <f>'Analysis'!$C$20:$C$29</f>
            </numRef>
          </val>
        </ser>
        <dLbls>
          <showVal val="1"/>
        </dLbls>
        <gapWidth val="45"/>
        <axId val="10"/>
        <axId val="100"/>
      </barChart>
      <catAx>
        <axId val="10"/>
        <scaling>
          <orientation val="minMax"/>
        </scaling>
        <axPos val="l"/>
        <majorGridlines>
          <spPr>
            <a:ln>
              <a:solidFill>
                <a:srgbClr val="E8EDF3"/>
              </a:solidFill>
              <a:prstDash val="solid"/>
            </a:ln>
          </spPr>
        </majorGridlines>
        <majorTickMark val="none"/>
        <minorTickMark val="none"/>
        <spPr>
          <a:ln>
            <a:solidFill>
              <a:srgbClr val="D9E1EA"/>
            </a:solidFill>
            <a:prstDash val="solid"/>
          </a:ln>
        </spPr>
        <txPr>
          <a:bodyPr/>
          <a:p>
            <a:pPr>
              <a:defRPr sz="800" b="0">
                <a:solidFill>
                  <a:srgbClr val="6B7280"/>
                </a:solidFill>
                <a:latin typeface="Segoe UI"/>
              </a:defRPr>
            </a:pPr>
            <a:r>
              <a:rPr sz="800" b="0">
                <a:solidFill>
                  <a:srgbClr val="6B7280"/>
                </a:solidFill>
                <a:latin typeface="Segoe UI"/>
              </a:rPr>
              <a:t/>
            </a:r>
            <a:endParaRPr sz="800" b="0">
              <a:solidFill>
                <a:srgbClr val="6B7280"/>
              </a:solidFill>
              <a:latin typeface="Segoe UI"/>
            </a:endParaRPr>
          </a:p>
        </txPr>
        <crossAx val="100"/>
        <lblOffset val="100"/>
      </catAx>
      <valAx>
        <axId val="100"/>
        <scaling>
          <orientation val="minMax"/>
        </scaling>
        <axPos val="l"/>
        <majorTickMark val="none"/>
        <minorTickMark val="none"/>
        <spPr>
          <a:ln>
            <a:solidFill>
              <a:srgbClr val="D9E1EA"/>
            </a:solidFill>
            <a:prstDash val="solid"/>
          </a:ln>
        </spPr>
        <txPr>
          <a:bodyPr/>
          <a:p>
            <a:pPr>
              <a:defRPr sz="800" b="0">
                <a:solidFill>
                  <a:srgbClr val="6B7280"/>
                </a:solidFill>
                <a:latin typeface="Segoe UI"/>
              </a:defRPr>
            </a:pPr>
            <a:r>
              <a:rPr sz="800" b="0">
                <a:solidFill>
                  <a:srgbClr val="6B7280"/>
                </a:solidFill>
                <a:latin typeface="Segoe UI"/>
              </a:rPr>
              <a:t/>
            </a:r>
            <a:endParaRPr sz="800" b="0">
              <a:solidFill>
                <a:srgbClr val="6B7280"/>
              </a:solidFill>
              <a:latin typeface="Segoe UI"/>
            </a:endParaRPr>
          </a:p>
        </txPr>
        <crossAx val="10"/>
      </valAx>
    </plotArea>
    <plotVisOnly val="1"/>
    <dispBlanksAs val="gap"/>
  </chart>
  <spPr>
    <a:solidFill>
      <a:srgbClr val="FFFFFF"/>
    </a:solidFill>
    <a:ln>
      <a:solidFill>
        <a:srgbClr val="D9E1EA"/>
      </a:solidFill>
      <a:prstDash val="solid"/>
    </a:ln>
  </spPr>
</chartSpace>
</file>

<file path=xl/charts/chart5.xml><?xml version="1.0" encoding="utf-8"?>
<chartSpace xmlns:a="http://schemas.openxmlformats.org/drawingml/2006/main" xmlns="http://schemas.openxmlformats.org/drawingml/2006/chart">
  <style val="2"/>
  <chart>
    <title>
      <tx>
        <rich>
          <a:bodyPr/>
          <a:p>
            <a:pPr>
              <a:defRPr sz="1050" b="1">
                <a:solidFill>
                  <a:srgbClr val="0B2545"/>
                </a:solidFill>
                <a:latin typeface="Segoe UI"/>
              </a:defRPr>
            </a:pPr>
            <a:r>
              <a:rPr sz="1050" b="1">
                <a:solidFill>
                  <a:srgbClr val="0B2545"/>
                </a:solidFill>
                <a:latin typeface="Segoe UI"/>
              </a:rPr>
              <a:t>Caseload per prosecutor / investigator</a:t>
            </a:r>
            <a:endParaRPr sz="1050" b="1">
              <a:solidFill>
                <a:srgbClr val="0B2545"/>
              </a:solidFill>
              <a:latin typeface="Segoe UI"/>
            </a:endParaRPr>
          </a:p>
        </rich>
      </tx>
    </title>
    <plotArea>
      <barChart>
        <barDir val="col"/>
        <grouping val="clustered"/>
        <ser>
          <idx val="0"/>
          <order val="0"/>
          <spPr>
            <a:solidFill>
              <a:srgbClr val="0F6E6A"/>
            </a:solidFill>
            <a:ln>
              <a:noFill/>
              <a:prstDash val="solid"/>
            </a:ln>
          </spPr>
          <cat>
            <numRef>
              <f>'Analysis'!$B$73:$B$80</f>
            </numRef>
          </cat>
          <val>
            <numRef>
              <f>'Analysis'!$C$73:$C$80</f>
            </numRef>
          </val>
        </ser>
        <dLbls>
          <showVal val="1"/>
        </dLbls>
        <gapWidth val="55"/>
        <axId val="10"/>
        <axId val="100"/>
      </barChart>
      <catAx>
        <axId val="10"/>
        <scaling>
          <orientation val="minMax"/>
        </scaling>
        <axPos val="l"/>
        <majorTickMark val="none"/>
        <minorTickMark val="none"/>
        <spPr>
          <a:ln>
            <a:solidFill>
              <a:srgbClr val="D9E1EA"/>
            </a:solidFill>
            <a:prstDash val="solid"/>
          </a:ln>
        </spPr>
        <txPr>
          <a:bodyPr/>
          <a:p>
            <a:pPr>
              <a:defRPr sz="750" b="0">
                <a:solidFill>
                  <a:srgbClr val="6B7280"/>
                </a:solidFill>
                <a:latin typeface="Segoe UI"/>
              </a:defRPr>
            </a:pPr>
            <a:r>
              <a:rPr sz="750" b="0">
                <a:solidFill>
                  <a:srgbClr val="6B7280"/>
                </a:solidFill>
                <a:latin typeface="Segoe UI"/>
              </a:rPr>
              <a:t/>
            </a:r>
            <a:endParaRPr sz="750" b="0">
              <a:solidFill>
                <a:srgbClr val="6B7280"/>
              </a:solidFill>
              <a:latin typeface="Segoe UI"/>
            </a:endParaRPr>
          </a:p>
        </txPr>
        <crossAx val="100"/>
        <lblOffset val="100"/>
      </catAx>
      <valAx>
        <axId val="100"/>
        <scaling>
          <orientation val="minMax"/>
        </scaling>
        <axPos val="l"/>
        <majorGridlines>
          <spPr>
            <a:ln>
              <a:solidFill>
                <a:srgbClr val="E8EDF3"/>
              </a:solidFill>
              <a:prstDash val="solid"/>
            </a:ln>
          </spPr>
        </majorGridlines>
        <majorTickMark val="none"/>
        <minorTickMark val="none"/>
        <spPr>
          <a:ln>
            <a:solidFill>
              <a:srgbClr val="D9E1EA"/>
            </a:solidFill>
            <a:prstDash val="solid"/>
          </a:ln>
        </spPr>
        <txPr>
          <a:bodyPr/>
          <a:p>
            <a:pPr>
              <a:defRPr sz="800" b="0">
                <a:solidFill>
                  <a:srgbClr val="6B7280"/>
                </a:solidFill>
                <a:latin typeface="Segoe UI"/>
              </a:defRPr>
            </a:pPr>
            <a:r>
              <a:rPr sz="800" b="0">
                <a:solidFill>
                  <a:srgbClr val="6B7280"/>
                </a:solidFill>
                <a:latin typeface="Segoe UI"/>
              </a:rPr>
              <a:t/>
            </a:r>
            <a:endParaRPr sz="800" b="0">
              <a:solidFill>
                <a:srgbClr val="6B7280"/>
              </a:solidFill>
              <a:latin typeface="Segoe UI"/>
            </a:endParaRPr>
          </a:p>
        </txPr>
        <crossAx val="10"/>
      </valAx>
    </plotArea>
    <plotVisOnly val="1"/>
    <dispBlanksAs val="gap"/>
  </chart>
  <spPr>
    <a:solidFill>
      <a:srgbClr val="FFFFFF"/>
    </a:solidFill>
    <a:ln>
      <a:solidFill>
        <a:srgbClr val="D9E1EA"/>
      </a:solidFill>
      <a:prstDash val="solid"/>
    </a:ln>
  </spPr>
</chartSpace>
</file>

<file path=xl/charts/chart6.xml><?xml version="1.0" encoding="utf-8"?>
<chartSpace xmlns:a="http://schemas.openxmlformats.org/drawingml/2006/main" xmlns="http://schemas.openxmlformats.org/drawingml/2006/chart">
  <style val="2"/>
  <chart>
    <title>
      <tx>
        <rich>
          <a:bodyPr/>
          <a:p>
            <a:pPr>
              <a:defRPr sz="1050" b="1">
                <a:solidFill>
                  <a:srgbClr val="0B2545"/>
                </a:solidFill>
                <a:latin typeface="Segoe UI"/>
              </a:defRPr>
            </a:pPr>
            <a:r>
              <a:rPr sz="1050" b="1">
                <a:solidFill>
                  <a:srgbClr val="0B2545"/>
                </a:solidFill>
                <a:latin typeface="Segoe UI"/>
              </a:rPr>
              <a:t>Geographic distribution by barangay</a:t>
            </a:r>
            <a:endParaRPr sz="1050" b="1">
              <a:solidFill>
                <a:srgbClr val="0B2545"/>
              </a:solidFill>
              <a:latin typeface="Segoe UI"/>
            </a:endParaRPr>
          </a:p>
        </rich>
      </tx>
    </title>
    <plotArea>
      <barChart>
        <barDir val="bar"/>
        <grouping val="clustered"/>
        <ser>
          <idx val="0"/>
          <order val="0"/>
          <spPr>
            <a:solidFill>
              <a:srgbClr val="C8A44D"/>
            </a:solidFill>
            <a:ln>
              <a:noFill/>
              <a:prstDash val="solid"/>
            </a:ln>
          </spPr>
          <cat>
            <numRef>
              <f>'Analysis'!$B$85:$B$96</f>
            </numRef>
          </cat>
          <val>
            <numRef>
              <f>'Analysis'!$C$85:$C$96</f>
            </numRef>
          </val>
        </ser>
        <dLbls>
          <showVal val="1"/>
        </dLbls>
        <gapWidth val="45"/>
        <axId val="10"/>
        <axId val="100"/>
      </barChart>
      <catAx>
        <axId val="10"/>
        <scaling>
          <orientation val="minMax"/>
        </scaling>
        <axPos val="l"/>
        <majorGridlines>
          <spPr>
            <a:ln>
              <a:solidFill>
                <a:srgbClr val="E8EDF3"/>
              </a:solidFill>
              <a:prstDash val="solid"/>
            </a:ln>
          </spPr>
        </majorGridlines>
        <majorTickMark val="none"/>
        <minorTickMark val="none"/>
        <spPr>
          <a:ln>
            <a:solidFill>
              <a:srgbClr val="D9E1EA"/>
            </a:solidFill>
            <a:prstDash val="solid"/>
          </a:ln>
        </spPr>
        <txPr>
          <a:bodyPr/>
          <a:p>
            <a:pPr>
              <a:defRPr sz="800" b="0">
                <a:solidFill>
                  <a:srgbClr val="6B7280"/>
                </a:solidFill>
                <a:latin typeface="Segoe UI"/>
              </a:defRPr>
            </a:pPr>
            <a:r>
              <a:rPr sz="800" b="0">
                <a:solidFill>
                  <a:srgbClr val="6B7280"/>
                </a:solidFill>
                <a:latin typeface="Segoe UI"/>
              </a:rPr>
              <a:t/>
            </a:r>
            <a:endParaRPr sz="800" b="0">
              <a:solidFill>
                <a:srgbClr val="6B7280"/>
              </a:solidFill>
              <a:latin typeface="Segoe UI"/>
            </a:endParaRPr>
          </a:p>
        </txPr>
        <crossAx val="100"/>
        <lblOffset val="100"/>
      </catAx>
      <valAx>
        <axId val="100"/>
        <scaling>
          <orientation val="minMax"/>
        </scaling>
        <axPos val="l"/>
        <majorTickMark val="none"/>
        <minorTickMark val="none"/>
        <spPr>
          <a:ln>
            <a:solidFill>
              <a:srgbClr val="D9E1EA"/>
            </a:solidFill>
            <a:prstDash val="solid"/>
          </a:ln>
        </spPr>
        <txPr>
          <a:bodyPr/>
          <a:p>
            <a:pPr>
              <a:defRPr sz="800" b="0">
                <a:solidFill>
                  <a:srgbClr val="6B7280"/>
                </a:solidFill>
                <a:latin typeface="Segoe UI"/>
              </a:defRPr>
            </a:pPr>
            <a:r>
              <a:rPr sz="800" b="0">
                <a:solidFill>
                  <a:srgbClr val="6B7280"/>
                </a:solidFill>
                <a:latin typeface="Segoe UI"/>
              </a:rPr>
              <a:t/>
            </a:r>
            <a:endParaRPr sz="800" b="0">
              <a:solidFill>
                <a:srgbClr val="6B7280"/>
              </a:solidFill>
              <a:latin typeface="Segoe UI"/>
            </a:endParaRPr>
          </a:p>
        </txPr>
        <crossAx val="10"/>
      </valAx>
    </plotArea>
    <plotVisOnly val="1"/>
    <dispBlanksAs val="gap"/>
  </chart>
  <spPr>
    <a:solidFill>
      <a:srgbClr val="FFFFFF"/>
    </a:solidFill>
    <a:ln>
      <a:solidFill>
        <a:srgbClr val="D9E1EA"/>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15</row>
      <rowOff>0</rowOff>
    </from>
    <ext cx="3491999" cy="3024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15</row>
      <rowOff>0</rowOff>
    </from>
    <ext cx="3491999" cy="3024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15</row>
      <rowOff>0</rowOff>
    </from>
    <ext cx="3491999" cy="3024000"/>
    <graphicFrame>
      <nvGraphicFramePr>
        <cNvPr id="3" name="Chart 3"/>
        <cNvGraphicFramePr/>
      </nvGraphicFramePr>
      <xfrm/>
      <a:graphic>
        <a:graphicData uri="http://schemas.openxmlformats.org/drawingml/2006/chart">
          <c:chart r:id="rId3"/>
        </a:graphicData>
      </a:graphic>
    </graphicFrame>
    <clientData/>
  </oneCellAnchor>
  <oneCellAnchor>
    <from>
      <col>1</col>
      <colOff>0</colOff>
      <row>32</row>
      <rowOff>0</rowOff>
    </from>
    <ext cx="3491999" cy="3024000"/>
    <graphicFrame>
      <nvGraphicFramePr>
        <cNvPr id="4" name="Chart 4"/>
        <cNvGraphicFramePr/>
      </nvGraphicFramePr>
      <xfrm/>
      <a:graphic>
        <a:graphicData uri="http://schemas.openxmlformats.org/drawingml/2006/chart">
          <c:chart r:id="rId4"/>
        </a:graphicData>
      </a:graphic>
    </graphicFrame>
    <clientData/>
  </oneCellAnchor>
  <oneCellAnchor>
    <from>
      <col>5</col>
      <colOff>0</colOff>
      <row>32</row>
      <rowOff>0</rowOff>
    </from>
    <ext cx="3491999" cy="3024000"/>
    <graphicFrame>
      <nvGraphicFramePr>
        <cNvPr id="5" name="Chart 5"/>
        <cNvGraphicFramePr/>
      </nvGraphicFramePr>
      <xfrm/>
      <a:graphic>
        <a:graphicData uri="http://schemas.openxmlformats.org/drawingml/2006/chart">
          <c:chart r:id="rId5"/>
        </a:graphicData>
      </a:graphic>
    </graphicFrame>
    <clientData/>
  </oneCellAnchor>
  <oneCellAnchor>
    <from>
      <col>9</col>
      <colOff>0</colOff>
      <row>32</row>
      <rowOff>0</rowOff>
    </from>
    <ext cx="3491999" cy="3024000"/>
    <graphicFrame>
      <nvGraphicFramePr>
        <cNvPr id="6" name="Chart 6"/>
        <cNvGraphicFramePr/>
      </nvGraphicFramePr>
      <xfrm/>
      <a:graphic>
        <a:graphicData uri="http://schemas.openxmlformats.org/drawingml/2006/chart">
          <c:chart r:id="rId6"/>
        </a:graphicData>
      </a:graphic>
    </graphicFrame>
    <clientData/>
  </oneCellAnchor>
</wsDr>
</file>

<file path=xl/tables/table1.xml><?xml version="1.0" encoding="utf-8"?>
<table xmlns="http://schemas.openxmlformats.org/spreadsheetml/2006/main" id="1" name="tblCases" displayName="tblCases" ref="A2:AP602" headerRowCount="1" totalsRowShown="0">
  <autoFilter ref="A2:AP602"/>
  <tableColumns count="42">
    <tableColumn id="1" name="CASE NO."/>
    <tableColumn id="2" name="DATE RECORDED"/>
    <tableColumn id="3" name="CASE TITLE (People of the Philippines v. ...)"/>
    <tableColumn id="4" name="COMPLAINANT / VICTIM"/>
    <tableColumn id="5" name="RESPONDENT / ACCUSED"/>
    <tableColumn id="6" name="OFFENSE / VIOLATION"/>
    <tableColumn id="7" name="OFFENSE CATEGORY"/>
    <tableColumn id="8" name="CASE STAGE"/>
    <tableColumn id="9" name="STAGE SINCE"/>
    <tableColumn id="10" name="PRIORITY"/>
    <tableColumn id="11" name="CASE STATUS"/>
    <tableColumn id="12" name="OUTCOME"/>
    <tableColumn id="13" name="COURT / FORUM"/>
    <tableColumn id="14" name="COURT DOCKET NO."/>
    <tableColumn id="15" name="ASSIGNED PROSECUTOR / INVESTIGATOR"/>
    <tableColumn id="16" name="BARANGAY / LOCATION"/>
    <tableColumn id="17" name="DATE OF INCIDENT"/>
    <tableColumn id="18" name="DATE FILED / REFERRED"/>
    <tableColumn id="19" name="DATE FILED IN COURT"/>
    <tableColumn id="20" name="NEXT HEARING"/>
    <tableColumn id="21" name="LAST HEARING"/>
    <tableColumn id="22" name="DATE CLOSED / RESOLVED"/>
    <tableColumn id="23" name="CUSTODY / BAIL STATUS"/>
    <tableColumn id="24" name="DATE OF DETENTION"/>
    <tableColumn id="25" name="1. Affidavit of Complaint"/>
    <tableColumn id="26" name="2. Sworn Statement(s)"/>
    <tableColumn id="27" name="3. Police / Incident Report"/>
    <tableColumn id="28" name="4. Evidence and Exhibits"/>
    <tableColumn id="29" name="5. Resolution / Information"/>
    <tableColumn id="30" name="6. Court Order / Docket"/>
    <tableColumn id="31" name="7. Bail / Bond Records"/>
    <tableColumn id="32" name="8. Judgment / Order"/>
    <tableColumn id="33" name="DAYS PENDING (TOTAL)"/>
    <tableColumn id="34" name="DAYS IN CURRENT STAGE"/>
    <tableColumn id="35" name="STAGE AGEING"/>
    <tableColumn id="36" name="CASE PROGRESS"/>
    <tableColumn id="37" name="DOCUMENTS COMPLETE"/>
    <tableColumn id="38" name="DAYS IN CUSTODY"/>
    <tableColumn id="39" name="REMARKS / NEXT ACTION"/>
    <tableColumn id="40" name="HELPER - AGE KEY"/>
    <tableColumn id="41" name="HELPER - HEARING KEY"/>
    <tableColumn id="42" name="HELPER - RANK KEY"/>
  </tableColumns>
  <tableStyleInfo name="TableStyleLight9" showFirstColumn="0" showLastColumn="0" showRowStripes="1" showColumnStripes="0"/>
</table>
</file>

<file path=xl/tables/table2.xml><?xml version="1.0" encoding="utf-8"?>
<table xmlns="http://schemas.openxmlformats.org/spreadsheetml/2006/main" id="2" name="tblHearings" displayName="tblHearings" ref="A2:L302" headerRowCount="1">
  <autoFilter ref="A2:L302"/>
  <tableColumns count="12">
    <tableColumn id="1" name="CASE NO."/>
    <tableColumn id="2" name="CASE TITLE"/>
    <tableColumn id="3" name="HEARING DATE"/>
    <tableColumn id="4" name="TIME"/>
    <tableColumn id="5" name="HEARING TYPE"/>
    <tableColumn id="6" name="COURT / FORUM"/>
    <tableColumn id="7" name="HANDLER"/>
    <tableColumn id="8" name="RESULT"/>
    <tableColumn id="9" name="NEXT SETTING"/>
    <tableColumn id="10" name="DAYS FROM TODAY"/>
    <tableColumn id="11" name="STATUS"/>
    <tableColumn id="12" name="ORDERS / NOTES"/>
  </tableColumns>
  <tableStyleInfo name="TableStyleLight9" showFirstColumn="0" showLastColumn="0" showRowStripes="1" showColumnStripes="0"/>
</table>
</file>

<file path=xl/tables/table3.xml><?xml version="1.0" encoding="utf-8"?>
<table xmlns="http://schemas.openxmlformats.org/spreadsheetml/2006/main" id="3" name="tblDocs" displayName="tblDocs" ref="A2:J252" headerRowCount="1">
  <autoFilter ref="A2:J252"/>
  <tableColumns count="10">
    <tableColumn id="1" name="CASE NO."/>
    <tableColumn id="2" name="CASE TITLE"/>
    <tableColumn id="3" name="ON FILE"/>
    <tableColumn id="4" name="MISSING"/>
    <tableColumn id="5" name="COMPLETE"/>
    <tableColumn id="6" name="MISSING ITEMS"/>
    <tableColumn id="7" name="REMEDIAL ACTION"/>
    <tableColumn id="8" name="FOLLOW-UP OWNER"/>
    <tableColumn id="9" name="TARGET DATE"/>
    <tableColumn id="10" name="COMPLIANCE STATU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00C8A44D"/>
    <outlinePr summaryBelow="1" summaryRight="1"/>
    <pageSetUpPr fitToPage="1"/>
  </sheetPr>
  <dimension ref="A1:N53"/>
  <sheetViews>
    <sheetView showGridLines="0" zoomScale="90" workbookViewId="0">
      <selection activeCell="A1" sqref="A1"/>
    </sheetView>
  </sheetViews>
  <sheetFormatPr baseColWidth="8" defaultRowHeight="15"/>
  <cols>
    <col width="2.5"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2.5" customWidth="1" min="14" max="14"/>
  </cols>
  <sheetData>
    <row r="1" ht="24" customHeight="1">
      <c r="A1" s="1" t="n"/>
      <c r="B1" s="2">
        <f>UPPER(LGUName)&amp;"   •   "&amp;UPPER(Province)</f>
        <v/>
      </c>
      <c r="C1" s="3" t="n"/>
      <c r="D1" s="3" t="n"/>
      <c r="E1" s="3" t="n"/>
      <c r="F1" s="3" t="n"/>
      <c r="G1" s="3" t="n"/>
      <c r="H1" s="3" t="n"/>
      <c r="I1" s="3" t="n"/>
      <c r="J1" s="3" t="n"/>
      <c r="K1" s="3" t="n"/>
      <c r="L1" s="3" t="n"/>
      <c r="M1" s="3" t="n"/>
      <c r="N1" s="1" t="n"/>
    </row>
    <row r="2" ht="40" customHeight="1">
      <c r="A2" s="1" t="n"/>
      <c r="B2" s="4" t="inlineStr">
        <is>
          <t>CRIMINAL CASE MONITORING DASHBOARD</t>
        </is>
      </c>
      <c r="C2" s="3" t="n"/>
      <c r="D2" s="3" t="n"/>
      <c r="E2" s="3" t="n"/>
      <c r="F2" s="3" t="n"/>
      <c r="G2" s="3" t="n"/>
      <c r="H2" s="3" t="n"/>
      <c r="I2" s="3" t="n"/>
      <c r="J2" s="3" t="n"/>
      <c r="K2" s="3" t="n"/>
      <c r="L2" s="3" t="n"/>
      <c r="M2" s="3" t="n"/>
      <c r="N2" s="1" t="n"/>
    </row>
    <row r="3" ht="22" customHeight="1">
      <c r="A3" s="1" t="n"/>
      <c r="B3" s="5">
        <f>PeriodLabel&amp;"     •     As of "&amp;TEXT(TODAY(),"dd mmmm yyyy")&amp;"     •     Prepared by: "&amp;PreparedBy&amp;"     •     "&amp;OfficeName</f>
        <v/>
      </c>
      <c r="C3" s="3" t="n"/>
      <c r="D3" s="3" t="n"/>
      <c r="E3" s="3" t="n"/>
      <c r="F3" s="3" t="n"/>
      <c r="G3" s="3" t="n"/>
      <c r="H3" s="3" t="n"/>
      <c r="I3" s="3" t="n"/>
      <c r="J3" s="3" t="n"/>
      <c r="K3" s="3" t="n"/>
      <c r="L3" s="3" t="n"/>
      <c r="M3" s="3" t="n"/>
      <c r="N3" s="1" t="n"/>
    </row>
    <row r="4" ht="4" customHeight="1">
      <c r="A4" s="1" t="n"/>
      <c r="B4" s="6" t="n"/>
      <c r="N4" s="1" t="n"/>
    </row>
    <row r="5">
      <c r="A5" s="1" t="n"/>
      <c r="B5" s="1" t="n"/>
      <c r="C5" s="1" t="n"/>
      <c r="D5" s="1" t="n"/>
      <c r="E5" s="1" t="n"/>
      <c r="F5" s="1" t="n"/>
      <c r="G5" s="1" t="n"/>
      <c r="H5" s="1" t="n"/>
      <c r="I5" s="1" t="n"/>
      <c r="J5" s="1" t="n"/>
      <c r="K5" s="1" t="n"/>
      <c r="L5" s="1" t="n"/>
      <c r="M5" s="1" t="n"/>
      <c r="N5" s="1" t="n"/>
    </row>
    <row r="6">
      <c r="A6" s="1" t="n"/>
      <c r="B6" s="7" t="inlineStr">
        <is>
          <t>CASE INVENTORY AT A GLANCE</t>
        </is>
      </c>
      <c r="N6" s="1" t="n"/>
    </row>
    <row r="7" ht="22" customHeight="1">
      <c r="A7" s="1" t="n"/>
      <c r="B7" s="8" t="inlineStr">
        <is>
          <t>TOTAL CASES MONITORED</t>
        </is>
      </c>
      <c r="D7" s="9" t="inlineStr">
        <is>
          <t>ACTIVE CASES</t>
        </is>
      </c>
      <c r="F7" s="10" t="inlineStr">
        <is>
          <t>FOR ACTION</t>
        </is>
      </c>
      <c r="H7" s="11" t="inlineStr">
        <is>
          <t>RESOLVED / CLOSED</t>
        </is>
      </c>
      <c r="J7" s="12" t="inlineStr">
        <is>
          <t>HIGH PRIORITY</t>
        </is>
      </c>
      <c r="L7" s="13" t="inlineStr">
        <is>
          <t>AVERAGE CASE PROGRESS</t>
        </is>
      </c>
      <c r="N7" s="1" t="n"/>
    </row>
    <row r="8" ht="36" customHeight="1">
      <c r="A8" s="1" t="n"/>
      <c r="B8" s="14">
        <f>COUNTA(RegCaseNo)</f>
        <v/>
      </c>
      <c r="D8" s="15">
        <f>COUNTIF(RegStatus,"Active")</f>
        <v/>
      </c>
      <c r="F8" s="16">
        <f>COUNTIF(RegStatus,"For Action")</f>
        <v/>
      </c>
      <c r="H8" s="17">
        <f>COUNTIF(RegStatus,"Closed")</f>
        <v/>
      </c>
      <c r="J8" s="18">
        <f>COUNTIF(RegPriority,"High")</f>
        <v/>
      </c>
      <c r="L8" s="19">
        <f>IFERROR(AVERAGE(RegProgress),0)</f>
        <v/>
      </c>
      <c r="N8" s="1" t="n"/>
    </row>
    <row r="9" ht="21" customHeight="1">
      <c r="A9" s="1" t="n"/>
      <c r="B9" s="20" t="inlineStr">
        <is>
          <t>All records in the register</t>
        </is>
      </c>
      <c r="D9" s="20" t="inlineStr">
        <is>
          <t>Currently being acted upon</t>
        </is>
      </c>
      <c r="F9" s="20" t="inlineStr">
        <is>
          <t>Awaiting filing / assignment</t>
        </is>
      </c>
      <c r="H9" s="20" t="inlineStr">
        <is>
          <t>Closed, dismissed or decided</t>
        </is>
      </c>
      <c r="J9" s="20" t="inlineStr">
        <is>
          <t>Flagged for urgent attention</t>
        </is>
      </c>
      <c r="L9" s="20" t="inlineStr">
        <is>
          <t>Based on current stage</t>
        </is>
      </c>
      <c r="N9" s="1" t="n"/>
    </row>
    <row r="10">
      <c r="A10" s="1" t="n"/>
      <c r="B10" s="1" t="n"/>
      <c r="C10" s="1" t="n"/>
      <c r="D10" s="1" t="n"/>
      <c r="E10" s="1" t="n"/>
      <c r="F10" s="1" t="n"/>
      <c r="G10" s="1" t="n"/>
      <c r="H10" s="1" t="n"/>
      <c r="I10" s="1" t="n"/>
      <c r="J10" s="1" t="n"/>
      <c r="K10" s="1" t="n"/>
      <c r="L10" s="1" t="n"/>
      <c r="M10" s="1" t="n"/>
      <c r="N10" s="1" t="n"/>
    </row>
    <row r="11">
      <c r="A11" s="1" t="n"/>
      <c r="B11" s="7" t="inlineStr">
        <is>
          <t>AGEING AND RISK EXPOSURE  (thresholds are set on the Lists sheet)</t>
        </is>
      </c>
      <c r="N11" s="1" t="n"/>
    </row>
    <row r="12" ht="22" customHeight="1">
      <c r="A12" s="1" t="n"/>
      <c r="B12" s="12" t="inlineStr">
        <is>
          <t>CRITICAL</t>
        </is>
      </c>
      <c r="D12" s="10" t="inlineStr">
        <is>
          <t>FOR FOLLOW-UP</t>
        </is>
      </c>
      <c r="F12" s="9" t="inlineStr">
        <is>
          <t>UNDER MONITORING</t>
        </is>
      </c>
      <c r="H12" s="11" t="inlineStr">
        <is>
          <t>WITHIN STANDARD</t>
        </is>
      </c>
      <c r="J12" s="12" t="inlineStr">
        <is>
          <t>OVERDUE HEARINGS</t>
        </is>
      </c>
      <c r="L12" s="8" t="inlineStr">
        <is>
          <t>AVERAGE DAYS IN STAGE</t>
        </is>
      </c>
      <c r="N12" s="1" t="n"/>
    </row>
    <row r="13" ht="36" customHeight="1">
      <c r="A13" s="1" t="n"/>
      <c r="B13" s="18">
        <f>COUNTIF(RegAge,"Critical")</f>
        <v/>
      </c>
      <c r="D13" s="16">
        <f>COUNTIF(RegAge,"For Follow-up")</f>
        <v/>
      </c>
      <c r="F13" s="15">
        <f>COUNTIF(RegAge,"Monitor")</f>
        <v/>
      </c>
      <c r="H13" s="17">
        <f>COUNTIF(RegAge,"Within Standard")</f>
        <v/>
      </c>
      <c r="J13" s="18">
        <f>COUNTIFS(RegNextHearing,"&lt;"&amp;TODAY(),RegStatus,"&lt;&gt;Closed")</f>
        <v/>
      </c>
      <c r="L13" s="14">
        <f>IFERROR(ROUND(AVERAGE(RegDaysStage),0),0)</f>
        <v/>
      </c>
      <c r="N13" s="1" t="n"/>
    </row>
    <row r="14" ht="21" customHeight="1">
      <c r="A14" s="1" t="n"/>
      <c r="B14" s="20">
        <f>CONCATENATE("In stage over ",AgeCrit," days")</f>
        <v/>
      </c>
      <c r="D14" s="20">
        <f>CONCATENATE("In stage over ",AgeFu," days")</f>
        <v/>
      </c>
      <c r="F14" s="20">
        <f>CONCATENATE("In stage over ",AgeMonitor," days")</f>
        <v/>
      </c>
      <c r="H14" s="20" t="inlineStr">
        <is>
          <t>Within the set threshold</t>
        </is>
      </c>
      <c r="J14" s="20" t="inlineStr">
        <is>
          <t>Next hearing date already passed</t>
        </is>
      </c>
      <c r="L14" s="20" t="inlineStr">
        <is>
          <t>Mean days in the current stage</t>
        </is>
      </c>
      <c r="N14" s="1" t="n"/>
    </row>
    <row r="15">
      <c r="A15" s="1" t="n"/>
      <c r="B15" s="1" t="n"/>
      <c r="C15" s="1" t="n"/>
      <c r="D15" s="1" t="n"/>
      <c r="E15" s="1" t="n"/>
      <c r="F15" s="1" t="n"/>
      <c r="G15" s="1" t="n"/>
      <c r="H15" s="1" t="n"/>
      <c r="I15" s="1" t="n"/>
      <c r="J15" s="1" t="n"/>
      <c r="K15" s="1" t="n"/>
      <c r="L15" s="1" t="n"/>
      <c r="M15" s="1" t="n"/>
      <c r="N15" s="1" t="n"/>
    </row>
    <row r="16">
      <c r="A16" s="1" t="n"/>
      <c r="B16" s="1" t="n"/>
      <c r="C16" s="1" t="n"/>
      <c r="D16" s="1" t="n"/>
      <c r="E16" s="1" t="n"/>
      <c r="F16" s="1" t="n"/>
      <c r="G16" s="1" t="n"/>
      <c r="H16" s="1" t="n"/>
      <c r="I16" s="1" t="n"/>
      <c r="J16" s="1" t="n"/>
      <c r="K16" s="1" t="n"/>
      <c r="L16" s="1" t="n"/>
      <c r="M16" s="1" t="n"/>
      <c r="N16" s="1" t="n"/>
    </row>
    <row r="17">
      <c r="A17" s="1" t="n"/>
      <c r="B17" s="1" t="n"/>
      <c r="C17" s="1" t="n"/>
      <c r="D17" s="1" t="n"/>
      <c r="E17" s="1" t="n"/>
      <c r="F17" s="1" t="n"/>
      <c r="G17" s="1" t="n"/>
      <c r="H17" s="1" t="n"/>
      <c r="I17" s="1" t="n"/>
      <c r="J17" s="1" t="n"/>
      <c r="K17" s="1" t="n"/>
      <c r="L17" s="1" t="n"/>
      <c r="M17" s="1" t="n"/>
      <c r="N17" s="1" t="n"/>
    </row>
    <row r="18">
      <c r="A18" s="1" t="n"/>
      <c r="B18" s="1" t="n"/>
      <c r="C18" s="1" t="n"/>
      <c r="D18" s="1" t="n"/>
      <c r="E18" s="1" t="n"/>
      <c r="F18" s="1" t="n"/>
      <c r="G18" s="1" t="n"/>
      <c r="H18" s="1" t="n"/>
      <c r="I18" s="1" t="n"/>
      <c r="J18" s="1" t="n"/>
      <c r="K18" s="1" t="n"/>
      <c r="L18" s="1" t="n"/>
      <c r="M18" s="1" t="n"/>
      <c r="N18" s="1" t="n"/>
    </row>
    <row r="19">
      <c r="A19" s="1" t="n"/>
      <c r="B19" s="1" t="n"/>
      <c r="C19" s="1" t="n"/>
      <c r="D19" s="1" t="n"/>
      <c r="E19" s="1" t="n"/>
      <c r="F19" s="1" t="n"/>
      <c r="G19" s="1" t="n"/>
      <c r="H19" s="1" t="n"/>
      <c r="I19" s="1" t="n"/>
      <c r="J19" s="1" t="n"/>
      <c r="K19" s="1" t="n"/>
      <c r="L19" s="1" t="n"/>
      <c r="M19" s="1" t="n"/>
      <c r="N19" s="1" t="n"/>
    </row>
    <row r="20">
      <c r="A20" s="1" t="n"/>
      <c r="B20" s="1" t="n"/>
      <c r="C20" s="1" t="n"/>
      <c r="D20" s="1" t="n"/>
      <c r="E20" s="1" t="n"/>
      <c r="F20" s="1" t="n"/>
      <c r="G20" s="1" t="n"/>
      <c r="H20" s="1" t="n"/>
      <c r="I20" s="1" t="n"/>
      <c r="J20" s="1" t="n"/>
      <c r="K20" s="1" t="n"/>
      <c r="L20" s="1" t="n"/>
      <c r="M20" s="1" t="n"/>
      <c r="N20" s="1" t="n"/>
    </row>
    <row r="21">
      <c r="A21" s="1" t="n"/>
      <c r="B21" s="1" t="n"/>
      <c r="C21" s="1" t="n"/>
      <c r="D21" s="1" t="n"/>
      <c r="E21" s="1" t="n"/>
      <c r="F21" s="1" t="n"/>
      <c r="G21" s="1" t="n"/>
      <c r="H21" s="1" t="n"/>
      <c r="I21" s="1" t="n"/>
      <c r="J21" s="1" t="n"/>
      <c r="K21" s="1" t="n"/>
      <c r="L21" s="1" t="n"/>
      <c r="M21" s="1" t="n"/>
      <c r="N21" s="1" t="n"/>
    </row>
    <row r="22">
      <c r="A22" s="1" t="n"/>
      <c r="B22" s="1" t="n"/>
      <c r="C22" s="1" t="n"/>
      <c r="D22" s="1" t="n"/>
      <c r="E22" s="1" t="n"/>
      <c r="F22" s="1" t="n"/>
      <c r="G22" s="1" t="n"/>
      <c r="H22" s="1" t="n"/>
      <c r="I22" s="1" t="n"/>
      <c r="J22" s="1" t="n"/>
      <c r="K22" s="1" t="n"/>
      <c r="L22" s="1" t="n"/>
      <c r="M22" s="1" t="n"/>
      <c r="N22" s="1" t="n"/>
    </row>
    <row r="23">
      <c r="A23" s="1" t="n"/>
      <c r="B23" s="1" t="n"/>
      <c r="C23" s="1" t="n"/>
      <c r="D23" s="1" t="n"/>
      <c r="E23" s="1" t="n"/>
      <c r="F23" s="1" t="n"/>
      <c r="G23" s="1" t="n"/>
      <c r="H23" s="1" t="n"/>
      <c r="I23" s="1" t="n"/>
      <c r="J23" s="1" t="n"/>
      <c r="K23" s="1" t="n"/>
      <c r="L23" s="1" t="n"/>
      <c r="M23" s="1" t="n"/>
      <c r="N23" s="1" t="n"/>
    </row>
    <row r="24">
      <c r="A24" s="1" t="n"/>
      <c r="B24" s="1" t="n"/>
      <c r="C24" s="1" t="n"/>
      <c r="D24" s="1" t="n"/>
      <c r="E24" s="1" t="n"/>
      <c r="F24" s="1" t="n"/>
      <c r="G24" s="1" t="n"/>
      <c r="H24" s="1" t="n"/>
      <c r="I24" s="1" t="n"/>
      <c r="J24" s="1" t="n"/>
      <c r="K24" s="1" t="n"/>
      <c r="L24" s="1" t="n"/>
      <c r="M24" s="1" t="n"/>
      <c r="N24" s="1" t="n"/>
    </row>
    <row r="25">
      <c r="A25" s="1" t="n"/>
      <c r="B25" s="1" t="n"/>
      <c r="C25" s="1" t="n"/>
      <c r="D25" s="1" t="n"/>
      <c r="E25" s="1" t="n"/>
      <c r="F25" s="1" t="n"/>
      <c r="G25" s="1" t="n"/>
      <c r="H25" s="1" t="n"/>
      <c r="I25" s="1" t="n"/>
      <c r="J25" s="1" t="n"/>
      <c r="K25" s="1" t="n"/>
      <c r="L25" s="1" t="n"/>
      <c r="M25" s="1" t="n"/>
      <c r="N25" s="1" t="n"/>
    </row>
    <row r="26">
      <c r="A26" s="1" t="n"/>
      <c r="B26" s="1" t="n"/>
      <c r="C26" s="1" t="n"/>
      <c r="D26" s="1" t="n"/>
      <c r="E26" s="1" t="n"/>
      <c r="F26" s="1" t="n"/>
      <c r="G26" s="1" t="n"/>
      <c r="H26" s="1" t="n"/>
      <c r="I26" s="1" t="n"/>
      <c r="J26" s="1" t="n"/>
      <c r="K26" s="1" t="n"/>
      <c r="L26" s="1" t="n"/>
      <c r="M26" s="1" t="n"/>
      <c r="N26" s="1" t="n"/>
    </row>
    <row r="27">
      <c r="A27" s="1" t="n"/>
      <c r="B27" s="1" t="n"/>
      <c r="C27" s="1" t="n"/>
      <c r="D27" s="1" t="n"/>
      <c r="E27" s="1" t="n"/>
      <c r="F27" s="1" t="n"/>
      <c r="G27" s="1" t="n"/>
      <c r="H27" s="1" t="n"/>
      <c r="I27" s="1" t="n"/>
      <c r="J27" s="1" t="n"/>
      <c r="K27" s="1" t="n"/>
      <c r="L27" s="1" t="n"/>
      <c r="M27" s="1" t="n"/>
      <c r="N27" s="1" t="n"/>
    </row>
    <row r="28">
      <c r="A28" s="1" t="n"/>
      <c r="B28" s="1" t="n"/>
      <c r="C28" s="1" t="n"/>
      <c r="D28" s="1" t="n"/>
      <c r="E28" s="1" t="n"/>
      <c r="F28" s="1" t="n"/>
      <c r="G28" s="1" t="n"/>
      <c r="H28" s="1" t="n"/>
      <c r="I28" s="1" t="n"/>
      <c r="J28" s="1" t="n"/>
      <c r="K28" s="1" t="n"/>
      <c r="L28" s="1" t="n"/>
      <c r="M28" s="1" t="n"/>
      <c r="N28" s="1" t="n"/>
    </row>
    <row r="29">
      <c r="A29" s="1" t="n"/>
      <c r="B29" s="1" t="n"/>
      <c r="C29" s="1" t="n"/>
      <c r="D29" s="1" t="n"/>
      <c r="E29" s="1" t="n"/>
      <c r="F29" s="1" t="n"/>
      <c r="G29" s="1" t="n"/>
      <c r="H29" s="1" t="n"/>
      <c r="I29" s="1" t="n"/>
      <c r="J29" s="1" t="n"/>
      <c r="K29" s="1" t="n"/>
      <c r="L29" s="1" t="n"/>
      <c r="M29" s="1" t="n"/>
      <c r="N29" s="1" t="n"/>
    </row>
    <row r="30">
      <c r="A30" s="1" t="n"/>
      <c r="B30" s="1" t="n"/>
      <c r="C30" s="1" t="n"/>
      <c r="D30" s="1" t="n"/>
      <c r="E30" s="1" t="n"/>
      <c r="F30" s="1" t="n"/>
      <c r="G30" s="1" t="n"/>
      <c r="H30" s="1" t="n"/>
      <c r="I30" s="1" t="n"/>
      <c r="J30" s="1" t="n"/>
      <c r="K30" s="1" t="n"/>
      <c r="L30" s="1" t="n"/>
      <c r="M30" s="1" t="n"/>
      <c r="N30" s="1" t="n"/>
    </row>
    <row r="31">
      <c r="A31" s="1" t="n"/>
      <c r="B31" s="1" t="n"/>
      <c r="C31" s="1" t="n"/>
      <c r="D31" s="1" t="n"/>
      <c r="E31" s="1" t="n"/>
      <c r="F31" s="1" t="n"/>
      <c r="G31" s="1" t="n"/>
      <c r="H31" s="1" t="n"/>
      <c r="I31" s="1" t="n"/>
      <c r="J31" s="1" t="n"/>
      <c r="K31" s="1" t="n"/>
      <c r="L31" s="1" t="n"/>
      <c r="M31" s="1" t="n"/>
      <c r="N31" s="1" t="n"/>
    </row>
    <row r="32">
      <c r="A32" s="1" t="n"/>
      <c r="B32" s="1" t="n"/>
      <c r="C32" s="1" t="n"/>
      <c r="D32" s="1" t="n"/>
      <c r="E32" s="1" t="n"/>
      <c r="F32" s="1" t="n"/>
      <c r="G32" s="1" t="n"/>
      <c r="H32" s="1" t="n"/>
      <c r="I32" s="1" t="n"/>
      <c r="J32" s="1" t="n"/>
      <c r="K32" s="1" t="n"/>
      <c r="L32" s="1" t="n"/>
      <c r="M32" s="1" t="n"/>
      <c r="N32" s="1" t="n"/>
    </row>
    <row r="33">
      <c r="A33" s="1" t="n"/>
      <c r="B33" s="1" t="n"/>
      <c r="C33" s="1" t="n"/>
      <c r="D33" s="1" t="n"/>
      <c r="E33" s="1" t="n"/>
      <c r="F33" s="1" t="n"/>
      <c r="G33" s="1" t="n"/>
      <c r="H33" s="1" t="n"/>
      <c r="I33" s="1" t="n"/>
      <c r="J33" s="1" t="n"/>
      <c r="K33" s="1" t="n"/>
      <c r="L33" s="1" t="n"/>
      <c r="M33" s="1" t="n"/>
      <c r="N33" s="1" t="n"/>
    </row>
    <row r="34">
      <c r="A34" s="1" t="n"/>
      <c r="B34" s="1" t="n"/>
      <c r="C34" s="1" t="n"/>
      <c r="D34" s="1" t="n"/>
      <c r="E34" s="1" t="n"/>
      <c r="F34" s="1" t="n"/>
      <c r="G34" s="1" t="n"/>
      <c r="H34" s="1" t="n"/>
      <c r="I34" s="1" t="n"/>
      <c r="J34" s="1" t="n"/>
      <c r="K34" s="1" t="n"/>
      <c r="L34" s="1" t="n"/>
      <c r="M34" s="1" t="n"/>
      <c r="N34" s="1" t="n"/>
    </row>
    <row r="35">
      <c r="A35" s="1" t="n"/>
      <c r="B35" s="1" t="n"/>
      <c r="C35" s="1" t="n"/>
      <c r="D35" s="1" t="n"/>
      <c r="E35" s="1" t="n"/>
      <c r="F35" s="1" t="n"/>
      <c r="G35" s="1" t="n"/>
      <c r="H35" s="1" t="n"/>
      <c r="I35" s="1" t="n"/>
      <c r="J35" s="1" t="n"/>
      <c r="K35" s="1" t="n"/>
      <c r="L35" s="1" t="n"/>
      <c r="M35" s="1" t="n"/>
      <c r="N35" s="1" t="n"/>
    </row>
    <row r="36">
      <c r="A36" s="1" t="n"/>
      <c r="B36" s="1" t="n"/>
      <c r="C36" s="1" t="n"/>
      <c r="D36" s="1" t="n"/>
      <c r="E36" s="1" t="n"/>
      <c r="F36" s="1" t="n"/>
      <c r="G36" s="1" t="n"/>
      <c r="H36" s="1" t="n"/>
      <c r="I36" s="1" t="n"/>
      <c r="J36" s="1" t="n"/>
      <c r="K36" s="1" t="n"/>
      <c r="L36" s="1" t="n"/>
      <c r="M36" s="1" t="n"/>
      <c r="N36" s="1" t="n"/>
    </row>
    <row r="37">
      <c r="A37" s="1" t="n"/>
      <c r="B37" s="1" t="n"/>
      <c r="C37" s="1" t="n"/>
      <c r="D37" s="1" t="n"/>
      <c r="E37" s="1" t="n"/>
      <c r="F37" s="1" t="n"/>
      <c r="G37" s="1" t="n"/>
      <c r="H37" s="1" t="n"/>
      <c r="I37" s="1" t="n"/>
      <c r="J37" s="1" t="n"/>
      <c r="K37" s="1" t="n"/>
      <c r="L37" s="1" t="n"/>
      <c r="M37" s="1" t="n"/>
      <c r="N37" s="1" t="n"/>
    </row>
    <row r="38">
      <c r="A38" s="1" t="n"/>
      <c r="B38" s="1" t="n"/>
      <c r="C38" s="1" t="n"/>
      <c r="D38" s="1" t="n"/>
      <c r="E38" s="1" t="n"/>
      <c r="F38" s="1" t="n"/>
      <c r="G38" s="1" t="n"/>
      <c r="H38" s="1" t="n"/>
      <c r="I38" s="1" t="n"/>
      <c r="J38" s="1" t="n"/>
      <c r="K38" s="1" t="n"/>
      <c r="L38" s="1" t="n"/>
      <c r="M38" s="1" t="n"/>
      <c r="N38" s="1" t="n"/>
    </row>
    <row r="39">
      <c r="A39" s="1" t="n"/>
      <c r="B39" s="1" t="n"/>
      <c r="C39" s="1" t="n"/>
      <c r="D39" s="1" t="n"/>
      <c r="E39" s="1" t="n"/>
      <c r="F39" s="1" t="n"/>
      <c r="G39" s="1" t="n"/>
      <c r="H39" s="1" t="n"/>
      <c r="I39" s="1" t="n"/>
      <c r="J39" s="1" t="n"/>
      <c r="K39" s="1" t="n"/>
      <c r="L39" s="1" t="n"/>
      <c r="M39" s="1" t="n"/>
      <c r="N39" s="1" t="n"/>
    </row>
    <row r="40">
      <c r="A40" s="1" t="n"/>
      <c r="B40" s="1" t="n"/>
      <c r="C40" s="1" t="n"/>
      <c r="D40" s="1" t="n"/>
      <c r="E40" s="1" t="n"/>
      <c r="F40" s="1" t="n"/>
      <c r="G40" s="1" t="n"/>
      <c r="H40" s="1" t="n"/>
      <c r="I40" s="1" t="n"/>
      <c r="J40" s="1" t="n"/>
      <c r="K40" s="1" t="n"/>
      <c r="L40" s="1" t="n"/>
      <c r="M40" s="1" t="n"/>
      <c r="N40" s="1" t="n"/>
    </row>
    <row r="41">
      <c r="A41" s="1" t="n"/>
      <c r="B41" s="1" t="n"/>
      <c r="C41" s="1" t="n"/>
      <c r="D41" s="1" t="n"/>
      <c r="E41" s="1" t="n"/>
      <c r="F41" s="1" t="n"/>
      <c r="G41" s="1" t="n"/>
      <c r="H41" s="1" t="n"/>
      <c r="I41" s="1" t="n"/>
      <c r="J41" s="1" t="n"/>
      <c r="K41" s="1" t="n"/>
      <c r="L41" s="1" t="n"/>
      <c r="M41" s="1" t="n"/>
      <c r="N41" s="1" t="n"/>
    </row>
    <row r="42">
      <c r="A42" s="1" t="n"/>
      <c r="B42" s="1" t="n"/>
      <c r="C42" s="1" t="n"/>
      <c r="D42" s="1" t="n"/>
      <c r="E42" s="1" t="n"/>
      <c r="F42" s="1" t="n"/>
      <c r="G42" s="1" t="n"/>
      <c r="H42" s="1" t="n"/>
      <c r="I42" s="1" t="n"/>
      <c r="J42" s="1" t="n"/>
      <c r="K42" s="1" t="n"/>
      <c r="L42" s="1" t="n"/>
      <c r="M42" s="1" t="n"/>
      <c r="N42" s="1" t="n"/>
    </row>
    <row r="43">
      <c r="A43" s="1" t="n"/>
      <c r="B43" s="1" t="n"/>
      <c r="C43" s="1" t="n"/>
      <c r="D43" s="1" t="n"/>
      <c r="E43" s="1" t="n"/>
      <c r="F43" s="1" t="n"/>
      <c r="G43" s="1" t="n"/>
      <c r="H43" s="1" t="n"/>
      <c r="I43" s="1" t="n"/>
      <c r="J43" s="1" t="n"/>
      <c r="K43" s="1" t="n"/>
      <c r="L43" s="1" t="n"/>
      <c r="M43" s="1" t="n"/>
      <c r="N43" s="1" t="n"/>
    </row>
    <row r="44">
      <c r="A44" s="1" t="n"/>
      <c r="B44" s="1" t="n"/>
      <c r="C44" s="1" t="n"/>
      <c r="D44" s="1" t="n"/>
      <c r="E44" s="1" t="n"/>
      <c r="F44" s="1" t="n"/>
      <c r="G44" s="1" t="n"/>
      <c r="H44" s="1" t="n"/>
      <c r="I44" s="1" t="n"/>
      <c r="J44" s="1" t="n"/>
      <c r="K44" s="1" t="n"/>
      <c r="L44" s="1" t="n"/>
      <c r="M44" s="1" t="n"/>
      <c r="N44" s="1" t="n"/>
    </row>
    <row r="45">
      <c r="A45" s="1" t="n"/>
      <c r="B45" s="1" t="n"/>
      <c r="C45" s="1" t="n"/>
      <c r="D45" s="1" t="n"/>
      <c r="E45" s="1" t="n"/>
      <c r="F45" s="1" t="n"/>
      <c r="G45" s="1" t="n"/>
      <c r="H45" s="1" t="n"/>
      <c r="I45" s="1" t="n"/>
      <c r="J45" s="1" t="n"/>
      <c r="K45" s="1" t="n"/>
      <c r="L45" s="1" t="n"/>
      <c r="M45" s="1" t="n"/>
      <c r="N45" s="1" t="n"/>
    </row>
    <row r="46">
      <c r="A46" s="1" t="n"/>
      <c r="B46" s="1" t="n"/>
      <c r="C46" s="1" t="n"/>
      <c r="D46" s="1" t="n"/>
      <c r="E46" s="1" t="n"/>
      <c r="F46" s="1" t="n"/>
      <c r="G46" s="1" t="n"/>
      <c r="H46" s="1" t="n"/>
      <c r="I46" s="1" t="n"/>
      <c r="J46" s="1" t="n"/>
      <c r="K46" s="1" t="n"/>
      <c r="L46" s="1" t="n"/>
      <c r="M46" s="1" t="n"/>
      <c r="N46" s="1" t="n"/>
    </row>
    <row r="47">
      <c r="A47" s="1" t="n"/>
      <c r="B47" s="1" t="n"/>
      <c r="C47" s="1" t="n"/>
      <c r="D47" s="1" t="n"/>
      <c r="E47" s="1" t="n"/>
      <c r="F47" s="1" t="n"/>
      <c r="G47" s="1" t="n"/>
      <c r="H47" s="1" t="n"/>
      <c r="I47" s="1" t="n"/>
      <c r="J47" s="1" t="n"/>
      <c r="K47" s="1" t="n"/>
      <c r="L47" s="1" t="n"/>
      <c r="M47" s="1" t="n"/>
      <c r="N47" s="1" t="n"/>
    </row>
    <row r="48">
      <c r="A48" s="1" t="n"/>
      <c r="B48" s="1" t="n"/>
      <c r="C48" s="1" t="n"/>
      <c r="D48" s="1" t="n"/>
      <c r="E48" s="1" t="n"/>
      <c r="F48" s="1" t="n"/>
      <c r="G48" s="1" t="n"/>
      <c r="H48" s="1" t="n"/>
      <c r="I48" s="1" t="n"/>
      <c r="J48" s="1" t="n"/>
      <c r="K48" s="1" t="n"/>
      <c r="L48" s="1" t="n"/>
      <c r="M48" s="1" t="n"/>
      <c r="N48" s="1" t="n"/>
    </row>
    <row r="49">
      <c r="A49" s="1" t="n"/>
      <c r="B49" s="1" t="n"/>
      <c r="C49" s="1" t="n"/>
      <c r="D49" s="1" t="n"/>
      <c r="E49" s="1" t="n"/>
      <c r="F49" s="1" t="n"/>
      <c r="G49" s="1" t="n"/>
      <c r="H49" s="1" t="n"/>
      <c r="I49" s="1" t="n"/>
      <c r="J49" s="1" t="n"/>
      <c r="K49" s="1" t="n"/>
      <c r="L49" s="1" t="n"/>
      <c r="M49" s="1" t="n"/>
      <c r="N49" s="1" t="n"/>
    </row>
    <row r="50">
      <c r="A50" s="1" t="n"/>
      <c r="B50" s="1" t="n"/>
      <c r="C50" s="1" t="n"/>
      <c r="D50" s="1" t="n"/>
      <c r="E50" s="1" t="n"/>
      <c r="F50" s="1" t="n"/>
      <c r="G50" s="1" t="n"/>
      <c r="H50" s="1" t="n"/>
      <c r="I50" s="1" t="n"/>
      <c r="J50" s="1" t="n"/>
      <c r="K50" s="1" t="n"/>
      <c r="L50" s="1" t="n"/>
      <c r="M50" s="1" t="n"/>
      <c r="N50" s="1" t="n"/>
    </row>
    <row r="51" ht="24" customHeight="1">
      <c r="A51" s="1" t="n"/>
      <c r="B51" s="21" t="inlineStr">
        <is>
          <t>Legend:  Critical / For follow-up / Monitor ageing is calculated from DAYS IN CURRENT STAGE against the thresholds on the Lists sheet.  Red hearing dates are already overdue; gold dates fall inside the hearing window.  All figures refresh from the Case Register, Hearing Calendar and Document Compliance sheets.</t>
        </is>
      </c>
      <c r="N51" s="1" t="n"/>
    </row>
    <row r="52">
      <c r="A52" s="1" t="n"/>
      <c r="B52" s="1" t="n"/>
      <c r="C52" s="1" t="n"/>
      <c r="D52" s="1" t="n"/>
      <c r="E52" s="1" t="n"/>
      <c r="F52" s="1" t="n"/>
      <c r="G52" s="1" t="n"/>
      <c r="H52" s="1" t="n"/>
      <c r="I52" s="1" t="n"/>
      <c r="J52" s="1" t="n"/>
      <c r="K52" s="1" t="n"/>
      <c r="L52" s="1" t="n"/>
      <c r="M52" s="1" t="n"/>
      <c r="N52" s="1" t="n"/>
    </row>
    <row r="53">
      <c r="A53" s="1" t="n"/>
      <c r="B53" s="1" t="n"/>
      <c r="C53" s="1" t="n"/>
      <c r="D53" s="1" t="n"/>
      <c r="E53" s="1" t="n"/>
      <c r="F53" s="1" t="n"/>
      <c r="G53" s="1" t="n"/>
      <c r="H53" s="1" t="n"/>
      <c r="I53" s="1" t="n"/>
      <c r="J53" s="1" t="n"/>
      <c r="K53" s="1" t="n"/>
      <c r="L53" s="1" t="n"/>
      <c r="M53" s="1" t="n"/>
      <c r="N53" s="1" t="n"/>
    </row>
  </sheetData>
  <mergeCells count="43">
    <mergeCell ref="B2:M2"/>
    <mergeCell ref="L7:M7"/>
    <mergeCell ref="B7:C7"/>
    <mergeCell ref="B11:M11"/>
    <mergeCell ref="J14:K14"/>
    <mergeCell ref="B1:M1"/>
    <mergeCell ref="J13:K13"/>
    <mergeCell ref="H9:I9"/>
    <mergeCell ref="L13:M13"/>
    <mergeCell ref="F7:G7"/>
    <mergeCell ref="J9:K9"/>
    <mergeCell ref="B12:C12"/>
    <mergeCell ref="F12:G12"/>
    <mergeCell ref="L12:M12"/>
    <mergeCell ref="D13:E13"/>
    <mergeCell ref="B14:C14"/>
    <mergeCell ref="L8:M8"/>
    <mergeCell ref="B8:C8"/>
    <mergeCell ref="L14:M14"/>
    <mergeCell ref="F8:G8"/>
    <mergeCell ref="B6:M6"/>
    <mergeCell ref="B13:C13"/>
    <mergeCell ref="D7:E7"/>
    <mergeCell ref="B51:M51"/>
    <mergeCell ref="H7:I7"/>
    <mergeCell ref="J7:K7"/>
    <mergeCell ref="F13:G13"/>
    <mergeCell ref="B9:C9"/>
    <mergeCell ref="D9:E9"/>
    <mergeCell ref="B4:M4"/>
    <mergeCell ref="H13:I13"/>
    <mergeCell ref="F9:G9"/>
    <mergeCell ref="L9:M9"/>
    <mergeCell ref="D12:E12"/>
    <mergeCell ref="D8:E8"/>
    <mergeCell ref="H14:I14"/>
    <mergeCell ref="H12:I12"/>
    <mergeCell ref="J12:K12"/>
    <mergeCell ref="B3:M3"/>
    <mergeCell ref="D14:E14"/>
    <mergeCell ref="F14:G14"/>
    <mergeCell ref="H8:I8"/>
    <mergeCell ref="J8:K8"/>
  </mergeCells>
  <pageMargins left="0.75" right="0.75" top="1" bottom="1" header="0.5" footer="0.5"/>
  <pageSetup orientation="landscape" paperSize="8" fitToHeight="1" fitToWidth="1"/>
  <drawing xmlns:r="http://schemas.openxmlformats.org/officeDocument/2006/relationships" r:id="rId1"/>
</worksheet>
</file>

<file path=xl/worksheets/sheet2.xml><?xml version="1.0" encoding="utf-8"?>
<worksheet xmlns="http://schemas.openxmlformats.org/spreadsheetml/2006/main">
  <sheetPr>
    <tabColor rgb="000B2545"/>
    <outlinePr summaryBelow="1" summaryRight="1"/>
    <pageSetUpPr fitToPage="1"/>
  </sheetPr>
  <dimension ref="A1:AP602"/>
  <sheetViews>
    <sheetView showGridLines="0" zoomScale="85"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34" customWidth="1" min="3" max="3"/>
    <col width="24" customWidth="1" min="4" max="4"/>
    <col width="24" customWidth="1" min="5" max="5"/>
    <col width="30" customWidth="1" min="6" max="6"/>
    <col width="26" customWidth="1" min="7" max="7"/>
    <col width="20" customWidth="1" min="8" max="8"/>
    <col width="12" customWidth="1" min="9" max="9"/>
    <col width="10" customWidth="1" min="10" max="10"/>
    <col width="14" customWidth="1" min="11" max="11"/>
    <col width="16" customWidth="1" min="12" max="12"/>
    <col width="22" customWidth="1" min="13" max="13"/>
    <col width="15" customWidth="1" min="14" max="14"/>
    <col width="23" customWidth="1" min="15" max="15"/>
    <col width="18" customWidth="1" min="16" max="16"/>
    <col width="12" customWidth="1" min="17" max="17"/>
    <col width="12" customWidth="1" min="18" max="18"/>
    <col width="12" customWidth="1" min="19" max="19"/>
    <col width="12" customWidth="1" min="20" max="20"/>
    <col width="12" customWidth="1" min="21" max="21"/>
    <col width="12" customWidth="1" min="22" max="22"/>
    <col width="20" customWidth="1" min="23" max="23"/>
    <col width="12"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1" customWidth="1" min="33" max="33"/>
    <col width="11" customWidth="1" min="34" max="34"/>
    <col width="14" customWidth="1" min="35" max="35"/>
    <col width="11" customWidth="1" min="36" max="36"/>
    <col width="11" customWidth="1" min="37" max="37"/>
    <col width="11" customWidth="1" min="38" max="38"/>
    <col width="40" customWidth="1" min="39" max="39"/>
    <col hidden="1" width="8" customWidth="1" min="40" max="40"/>
    <col hidden="1" width="8" customWidth="1" min="41" max="41"/>
    <col hidden="1" width="8" customWidth="1" min="42" max="42"/>
  </cols>
  <sheetData>
    <row r="1" ht="20" customHeight="1">
      <c r="A1" s="22" t="inlineStr">
        <is>
          <t>CASE IDENTIFICATION</t>
        </is>
      </c>
      <c r="H1" s="23" t="inlineStr">
        <is>
          <t>CASE PROGRESS, COURT AND ASSIGNMENT</t>
        </is>
      </c>
      <c r="Q1" s="24" t="inlineStr">
        <is>
          <t>KEY DATES</t>
        </is>
      </c>
      <c r="W1" s="25" t="inlineStr">
        <is>
          <t>CUSTODY AND BAIL</t>
        </is>
      </c>
      <c r="Y1" s="26" t="inlineStr">
        <is>
          <t>DOCUMENT COMPLETENESS  (Y = on file, N = missing, N/A = not applicable)</t>
        </is>
      </c>
      <c r="AG1" s="27" t="inlineStr">
        <is>
          <t>AUTO-CALCULATED  (do not type here)</t>
        </is>
      </c>
      <c r="AM1" s="27" t="inlineStr"/>
      <c r="AN1" s="27" t="inlineStr"/>
    </row>
    <row r="2" ht="46" customHeight="1">
      <c r="A2" s="28" t="inlineStr">
        <is>
          <t>CASE NO.</t>
        </is>
      </c>
      <c r="B2" s="28" t="inlineStr">
        <is>
          <t>DATE RECORDED</t>
        </is>
      </c>
      <c r="C2" s="28" t="inlineStr">
        <is>
          <t>CASE TITLE (People of the Philippines v. ...)</t>
        </is>
      </c>
      <c r="D2" s="28" t="inlineStr">
        <is>
          <t>COMPLAINANT / VICTIM</t>
        </is>
      </c>
      <c r="E2" s="28" t="inlineStr">
        <is>
          <t>RESPONDENT / ACCUSED</t>
        </is>
      </c>
      <c r="F2" s="28" t="inlineStr">
        <is>
          <t>OFFENSE / VIOLATION</t>
        </is>
      </c>
      <c r="G2" s="28" t="inlineStr">
        <is>
          <t>OFFENSE CATEGORY</t>
        </is>
      </c>
      <c r="H2" s="28" t="inlineStr">
        <is>
          <t>CASE STAGE</t>
        </is>
      </c>
      <c r="I2" s="28" t="inlineStr">
        <is>
          <t>STAGE SINCE</t>
        </is>
      </c>
      <c r="J2" s="28" t="inlineStr">
        <is>
          <t>PRIORITY</t>
        </is>
      </c>
      <c r="K2" s="28" t="inlineStr">
        <is>
          <t>CASE STATUS</t>
        </is>
      </c>
      <c r="L2" s="28" t="inlineStr">
        <is>
          <t>OUTCOME</t>
        </is>
      </c>
      <c r="M2" s="28" t="inlineStr">
        <is>
          <t>COURT / FORUM</t>
        </is>
      </c>
      <c r="N2" s="28" t="inlineStr">
        <is>
          <t>COURT DOCKET NO.</t>
        </is>
      </c>
      <c r="O2" s="28" t="inlineStr">
        <is>
          <t>ASSIGNED PROSECUTOR / INVESTIGATOR</t>
        </is>
      </c>
      <c r="P2" s="28" t="inlineStr">
        <is>
          <t>BARANGAY / LOCATION</t>
        </is>
      </c>
      <c r="Q2" s="28" t="inlineStr">
        <is>
          <t>DATE OF INCIDENT</t>
        </is>
      </c>
      <c r="R2" s="28" t="inlineStr">
        <is>
          <t>DATE FILED / REFERRED</t>
        </is>
      </c>
      <c r="S2" s="28" t="inlineStr">
        <is>
          <t>DATE FILED IN COURT</t>
        </is>
      </c>
      <c r="T2" s="28" t="inlineStr">
        <is>
          <t>NEXT HEARING</t>
        </is>
      </c>
      <c r="U2" s="28" t="inlineStr">
        <is>
          <t>LAST HEARING</t>
        </is>
      </c>
      <c r="V2" s="28" t="inlineStr">
        <is>
          <t>DATE CLOSED / RESOLVED</t>
        </is>
      </c>
      <c r="W2" s="28" t="inlineStr">
        <is>
          <t>CUSTODY / BAIL STATUS</t>
        </is>
      </c>
      <c r="X2" s="28" t="inlineStr">
        <is>
          <t>DATE OF DETENTION</t>
        </is>
      </c>
      <c r="Y2" s="29" t="inlineStr">
        <is>
          <t>1. Affidavit of Complaint</t>
        </is>
      </c>
      <c r="Z2" s="29" t="inlineStr">
        <is>
          <t>2. Sworn Statement(s)</t>
        </is>
      </c>
      <c r="AA2" s="29" t="inlineStr">
        <is>
          <t>3. Police / Incident Report</t>
        </is>
      </c>
      <c r="AB2" s="29" t="inlineStr">
        <is>
          <t>4. Evidence and Exhibits</t>
        </is>
      </c>
      <c r="AC2" s="29" t="inlineStr">
        <is>
          <t>5. Resolution / Information</t>
        </is>
      </c>
      <c r="AD2" s="29" t="inlineStr">
        <is>
          <t>6. Court Order / Docket</t>
        </is>
      </c>
      <c r="AE2" s="29" t="inlineStr">
        <is>
          <t>7. Bail / Bond Records</t>
        </is>
      </c>
      <c r="AF2" s="29" t="inlineStr">
        <is>
          <t>8. Judgment / Order</t>
        </is>
      </c>
      <c r="AG2" s="28" t="inlineStr">
        <is>
          <t>DAYS PENDING (TOTAL)</t>
        </is>
      </c>
      <c r="AH2" s="28" t="inlineStr">
        <is>
          <t>DAYS IN CURRENT STAGE</t>
        </is>
      </c>
      <c r="AI2" s="28" t="inlineStr">
        <is>
          <t>STAGE AGEING</t>
        </is>
      </c>
      <c r="AJ2" s="28" t="inlineStr">
        <is>
          <t>CASE PROGRESS</t>
        </is>
      </c>
      <c r="AK2" s="28" t="inlineStr">
        <is>
          <t>DOCUMENTS COMPLETE</t>
        </is>
      </c>
      <c r="AL2" s="28" t="inlineStr">
        <is>
          <t>DAYS IN CUSTODY</t>
        </is>
      </c>
      <c r="AM2" s="28" t="inlineStr">
        <is>
          <t>REMARKS / NEXT ACTION</t>
        </is>
      </c>
      <c r="AN2" s="28" t="inlineStr">
        <is>
          <t>HELPER - AGE KEY</t>
        </is>
      </c>
      <c r="AO2" s="28" t="inlineStr">
        <is>
          <t>HELPER - HEARING KEY</t>
        </is>
      </c>
      <c r="AP2" s="28" t="inlineStr">
        <is>
          <t>HELPER - RANK KEY</t>
        </is>
      </c>
    </row>
    <row r="3" ht="27" customHeight="1">
      <c r="A3" s="30" t="inlineStr">
        <is>
          <t>CC-2026-0001</t>
        </is>
      </c>
      <c r="B3" s="31" t="n">
        <v>46134</v>
      </c>
      <c r="C3" s="32" t="inlineStr">
        <is>
          <t>People of the Philippines v. Rolando Dela Cruz y Santos</t>
        </is>
      </c>
      <c r="D3" s="32" t="inlineStr">
        <is>
          <t>Elena Dela Cruz</t>
        </is>
      </c>
      <c r="E3" s="32" t="inlineStr">
        <is>
          <t>Rolando Dela Cruz y Santos</t>
        </is>
      </c>
      <c r="F3" s="32" t="inlineStr">
        <is>
          <t>Murder</t>
        </is>
      </c>
      <c r="G3" s="33">
        <f>IF(A3="","",IFERROR(INDEX(OffCat,MATCH(F3,OffList,0)),"Unlisted"))</f>
        <v/>
      </c>
      <c r="H3" s="30" t="inlineStr">
        <is>
          <t>Trial</t>
        </is>
      </c>
      <c r="I3" s="31" t="n">
        <v>46271</v>
      </c>
      <c r="J3" s="34" t="inlineStr">
        <is>
          <t>High</t>
        </is>
      </c>
      <c r="K3" s="34" t="inlineStr">
        <is>
          <t>Active</t>
        </is>
      </c>
      <c r="L3" s="34" t="inlineStr">
        <is>
          <t>Pending</t>
        </is>
      </c>
      <c r="M3" s="30" t="inlineStr">
        <is>
          <t>Regional Trial Court</t>
        </is>
      </c>
      <c r="N3" s="30" t="inlineStr">
        <is>
          <t>RTC-2026-1123</t>
        </is>
      </c>
      <c r="O3" s="30" t="inlineStr">
        <is>
          <t>Atty. R. Villanueva</t>
        </is>
      </c>
      <c r="P3" s="30" t="inlineStr">
        <is>
          <t>Barangay 3</t>
        </is>
      </c>
      <c r="Q3" s="31" t="n">
        <v>46106</v>
      </c>
      <c r="R3" s="31" t="n">
        <v>46134</v>
      </c>
      <c r="S3" s="31" t="n">
        <v>46166</v>
      </c>
      <c r="T3" s="31" t="n">
        <v>46320</v>
      </c>
      <c r="U3" s="31" t="n">
        <v>46290</v>
      </c>
      <c r="V3" s="31" t="n"/>
      <c r="W3" s="30" t="inlineStr">
        <is>
          <t>In Custody - No Bail</t>
        </is>
      </c>
      <c r="X3" s="31" t="n">
        <v>46134</v>
      </c>
      <c r="Y3" s="35" t="inlineStr">
        <is>
          <t>Y</t>
        </is>
      </c>
      <c r="Z3" s="35" t="inlineStr">
        <is>
          <t>Y</t>
        </is>
      </c>
      <c r="AA3" s="35" t="inlineStr">
        <is>
          <t>Y</t>
        </is>
      </c>
      <c r="AB3" s="35" t="inlineStr">
        <is>
          <t>Y</t>
        </is>
      </c>
      <c r="AC3" s="35" t="inlineStr">
        <is>
          <t>Y</t>
        </is>
      </c>
      <c r="AD3" s="35" t="inlineStr">
        <is>
          <t>N</t>
        </is>
      </c>
      <c r="AE3" s="35" t="inlineStr">
        <is>
          <t>Y</t>
        </is>
      </c>
      <c r="AF3" s="35" t="inlineStr">
        <is>
          <t>N</t>
        </is>
      </c>
      <c r="AG3" s="36">
        <f>IF(A3="","",IF(V3&lt;&gt;"",V3-B3,TODAY()-B3))</f>
        <v/>
      </c>
      <c r="AH3" s="36">
        <f>IF(OR(A3="",I3=""),"",MAX(0,IF(V3&lt;&gt;"",V3-I3,TODAY()-I3)))</f>
        <v/>
      </c>
      <c r="AI3" s="37">
        <f>IF(A3="","",IF(OR(K3="Closed",V3&lt;&gt;""),"Closed",IF(AH3&gt;=AgeCrit,"Critical",IF(AH3&gt;=AgeFu,"For Follow-up",IF(AH3&gt;=AgeMonitor,"Monitor","Within Standard")))))</f>
        <v/>
      </c>
      <c r="AJ3" s="38">
        <f>IF(A3="","",IFERROR(INDEX(StgPct,MATCH(H3,StgList,0)),0))</f>
        <v/>
      </c>
      <c r="AK3" s="38">
        <f>IF(A3="","",IFERROR(COUNTIF(Y3:AF3,"Y")/(COUNTIF(Y3:AF3,"Y")+COUNTIF(Y3:AF3,"N")),0))</f>
        <v/>
      </c>
      <c r="AL3" s="36">
        <f>IF(OR(A3="",X3=""),"",MAX(0,IF(V3&lt;&gt;"",V3,TODAY())-X3))</f>
        <v/>
      </c>
      <c r="AM3" s="32" t="inlineStr">
        <is>
          <t>Prosecution presented 3rd witness; firearm evidence admitted.</t>
        </is>
      </c>
      <c r="AN3" s="33">
        <f>IF(A3="","",LOWER(AI3)&amp;"|"&amp;AH3&amp;"|"&amp;AJ3&amp;"|"&amp;AK3)</f>
        <v/>
      </c>
      <c r="AO3" s="33">
        <f>IF(OR(A3="",T3=""),"",T3-TODAY())</f>
        <v/>
      </c>
      <c r="AP3" s="33">
        <f>IF(OR(A3="",V3&lt;&gt;""),"",(TODAY()-B3)+ROW()/1000000)</f>
        <v/>
      </c>
    </row>
    <row r="4" ht="27" customHeight="1">
      <c r="A4" s="30" t="inlineStr">
        <is>
          <t>CC-2026-0002</t>
        </is>
      </c>
      <c r="B4" s="31" t="n">
        <v>46176</v>
      </c>
      <c r="C4" s="32" t="inlineStr">
        <is>
          <t>People of the Philippines v. Jayson Mercado y Lim</t>
        </is>
      </c>
      <c r="D4" s="32" t="inlineStr">
        <is>
          <t>PDEA Regional Office</t>
        </is>
      </c>
      <c r="E4" s="32" t="inlineStr">
        <is>
          <t>Jayson Mercado y Lim</t>
        </is>
      </c>
      <c r="F4" s="32" t="inlineStr">
        <is>
          <t>Illegal Sale of Dangerous Drugs</t>
        </is>
      </c>
      <c r="G4" s="33">
        <f>IF(A4="","",IFERROR(INDEX(OffCat,MATCH(F4,OffList,0)),"Unlisted"))</f>
        <v/>
      </c>
      <c r="H4" s="30" t="inlineStr">
        <is>
          <t>Pre-Trial</t>
        </is>
      </c>
      <c r="I4" s="31" t="n">
        <v>46246</v>
      </c>
      <c r="J4" s="34" t="inlineStr">
        <is>
          <t>High</t>
        </is>
      </c>
      <c r="K4" s="34" t="inlineStr">
        <is>
          <t>Active</t>
        </is>
      </c>
      <c r="L4" s="34" t="inlineStr">
        <is>
          <t>Pending</t>
        </is>
      </c>
      <c r="M4" s="30" t="inlineStr">
        <is>
          <t>Regional Trial Court</t>
        </is>
      </c>
      <c r="N4" s="30" t="inlineStr">
        <is>
          <t>RTC-2026-1188</t>
        </is>
      </c>
      <c r="O4" s="30" t="inlineStr">
        <is>
          <t>Atty. M. Fernandez</t>
        </is>
      </c>
      <c r="P4" s="30" t="inlineStr">
        <is>
          <t>Barangay 7</t>
        </is>
      </c>
      <c r="Q4" s="31" t="n">
        <v>46156</v>
      </c>
      <c r="R4" s="31" t="n">
        <v>46176</v>
      </c>
      <c r="S4" s="31" t="n">
        <v>46196</v>
      </c>
      <c r="T4" s="31" t="n">
        <v>46328</v>
      </c>
      <c r="U4" s="31" t="n">
        <v>46298</v>
      </c>
      <c r="V4" s="31" t="n"/>
      <c r="W4" s="30" t="inlineStr">
        <is>
          <t>In Custody - No Bail</t>
        </is>
      </c>
      <c r="X4" s="31" t="n">
        <v>46176</v>
      </c>
      <c r="Y4" s="35" t="inlineStr">
        <is>
          <t>Y</t>
        </is>
      </c>
      <c r="Z4" s="35" t="inlineStr">
        <is>
          <t>Y</t>
        </is>
      </c>
      <c r="AA4" s="35" t="inlineStr">
        <is>
          <t>Y</t>
        </is>
      </c>
      <c r="AB4" s="35" t="inlineStr">
        <is>
          <t>Y</t>
        </is>
      </c>
      <c r="AC4" s="35" t="inlineStr">
        <is>
          <t>Y</t>
        </is>
      </c>
      <c r="AD4" s="35" t="inlineStr">
        <is>
          <t>Y</t>
        </is>
      </c>
      <c r="AE4" s="35" t="inlineStr">
        <is>
          <t>Y</t>
        </is>
      </c>
      <c r="AF4" s="35" t="inlineStr">
        <is>
          <t>N</t>
        </is>
      </c>
      <c r="AG4" s="36">
        <f>IF(A4="","",IF(V4&lt;&gt;"",V4-B4,TODAY()-B4))</f>
        <v/>
      </c>
      <c r="AH4" s="36">
        <f>IF(OR(A4="",I4=""),"",MAX(0,IF(V4&lt;&gt;"",V4-I4,TODAY()-I4)))</f>
        <v/>
      </c>
      <c r="AI4" s="37">
        <f>IF(A4="","",IF(OR(K4="Closed",V4&lt;&gt;""),"Closed",IF(AH4&gt;=AgeCrit,"Critical",IF(AH4&gt;=AgeFu,"For Follow-up",IF(AH4&gt;=AgeMonitor,"Monitor","Within Standard")))))</f>
        <v/>
      </c>
      <c r="AJ4" s="38">
        <f>IF(A4="","",IFERROR(INDEX(StgPct,MATCH(H4,StgList,0)),0))</f>
        <v/>
      </c>
      <c r="AK4" s="38">
        <f>IF(A4="","",IFERROR(COUNTIF(Y4:AF4,"Y")/(COUNTIF(Y4:AF4,"Y")+COUNTIF(Y4:AF4,"N")),0))</f>
        <v/>
      </c>
      <c r="AL4" s="36">
        <f>IF(OR(A4="",X4=""),"",MAX(0,IF(V4&lt;&gt;"",V4,TODAY())-X4))</f>
        <v/>
      </c>
      <c r="AM4" s="32" t="inlineStr">
        <is>
          <t>Compliance with Sec. 21 RA 9165 stipulation; pre-trial order to follow.</t>
        </is>
      </c>
      <c r="AN4" s="33">
        <f>IF(A4="","",LOWER(AI4)&amp;"|"&amp;AH4&amp;"|"&amp;AJ4&amp;"|"&amp;AK4)</f>
        <v/>
      </c>
      <c r="AO4" s="33">
        <f>IF(OR(A4="",T4=""),"",T4-TODAY())</f>
        <v/>
      </c>
      <c r="AP4" s="33">
        <f>IF(OR(A4="",V4&lt;&gt;""),"",(TODAY()-B4)+ROW()/1000000)</f>
        <v/>
      </c>
    </row>
    <row r="5" ht="27" customHeight="1">
      <c r="A5" s="30" t="inlineStr">
        <is>
          <t>CC-2026-0003</t>
        </is>
      </c>
      <c r="B5" s="31" t="n">
        <v>46236</v>
      </c>
      <c r="C5" s="32" t="inlineStr">
        <is>
          <t>People of the Philippines v. Arnel Bautista y Reyes</t>
        </is>
      </c>
      <c r="D5" s="32" t="inlineStr">
        <is>
          <t>Ma. Cristina Lim</t>
        </is>
      </c>
      <c r="E5" s="32" t="inlineStr">
        <is>
          <t>Arnel Bautista y Reyes</t>
        </is>
      </c>
      <c r="F5" s="32" t="inlineStr">
        <is>
          <t>Theft</t>
        </is>
      </c>
      <c r="G5" s="33">
        <f>IF(A5="","",IFERROR(INDEX(OffCat,MATCH(F5,OffList,0)),"Unlisted"))</f>
        <v/>
      </c>
      <c r="H5" s="30" t="inlineStr">
        <is>
          <t>Arraignment</t>
        </is>
      </c>
      <c r="I5" s="31" t="n">
        <v>46286</v>
      </c>
      <c r="J5" s="34" t="inlineStr">
        <is>
          <t>Medium</t>
        </is>
      </c>
      <c r="K5" s="34" t="inlineStr">
        <is>
          <t>Active</t>
        </is>
      </c>
      <c r="L5" s="34" t="inlineStr">
        <is>
          <t>Pending</t>
        </is>
      </c>
      <c r="M5" s="30" t="inlineStr">
        <is>
          <t>Metropolitan Trial Court</t>
        </is>
      </c>
      <c r="N5" s="30" t="inlineStr">
        <is>
          <t>MeTC-2026-0455</t>
        </is>
      </c>
      <c r="O5" s="30" t="inlineStr">
        <is>
          <t>Atty. J. Aquino</t>
        </is>
      </c>
      <c r="P5" s="30" t="inlineStr">
        <is>
          <t>Barangay 1</t>
        </is>
      </c>
      <c r="Q5" s="31" t="n">
        <v>46221</v>
      </c>
      <c r="R5" s="31" t="n">
        <v>46236</v>
      </c>
      <c r="S5" s="31" t="n">
        <v>46271</v>
      </c>
      <c r="T5" s="31" t="n">
        <v>46310</v>
      </c>
      <c r="U5" s="31" t="n">
        <v>46279</v>
      </c>
      <c r="V5" s="31" t="n"/>
      <c r="W5" s="30" t="inlineStr">
        <is>
          <t>Released on Bail</t>
        </is>
      </c>
      <c r="X5" s="31" t="n"/>
      <c r="Y5" s="35" t="inlineStr">
        <is>
          <t>Y</t>
        </is>
      </c>
      <c r="Z5" s="35" t="inlineStr">
        <is>
          <t>Y</t>
        </is>
      </c>
      <c r="AA5" s="35" t="inlineStr">
        <is>
          <t>N</t>
        </is>
      </c>
      <c r="AB5" s="35" t="inlineStr">
        <is>
          <t>Y</t>
        </is>
      </c>
      <c r="AC5" s="35" t="inlineStr">
        <is>
          <t>Y</t>
        </is>
      </c>
      <c r="AD5" s="35" t="inlineStr">
        <is>
          <t>N</t>
        </is>
      </c>
      <c r="AE5" s="35" t="inlineStr">
        <is>
          <t>Y</t>
        </is>
      </c>
      <c r="AF5" s="35" t="inlineStr">
        <is>
          <t>N</t>
        </is>
      </c>
      <c r="AG5" s="36">
        <f>IF(A5="","",IF(V5&lt;&gt;"",V5-B5,TODAY()-B5))</f>
        <v/>
      </c>
      <c r="AH5" s="36">
        <f>IF(OR(A5="",I5=""),"",MAX(0,IF(V5&lt;&gt;"",V5-I5,TODAY()-I5)))</f>
        <v/>
      </c>
      <c r="AI5" s="37">
        <f>IF(A5="","",IF(OR(K5="Closed",V5&lt;&gt;""),"Closed",IF(AH5&gt;=AgeCrit,"Critical",IF(AH5&gt;=AgeFu,"For Follow-up",IF(AH5&gt;=AgeMonitor,"Monitor","Within Standard")))))</f>
        <v/>
      </c>
      <c r="AJ5" s="38">
        <f>IF(A5="","",IFERROR(INDEX(StgPct,MATCH(H5,StgList,0)),0))</f>
        <v/>
      </c>
      <c r="AK5" s="38">
        <f>IF(A5="","",IFERROR(COUNTIF(Y5:AF5,"Y")/(COUNTIF(Y5:AF5,"Y")+COUNTIF(Y5:AF5,"N")),0))</f>
        <v/>
      </c>
      <c r="AL5" s="36">
        <f>IF(OR(A5="",X5=""),"",MAX(0,IF(V5&lt;&gt;"",V5,TODAY())-X5))</f>
        <v/>
      </c>
      <c r="AM5" s="32" t="inlineStr">
        <is>
          <t>Arraignment reset twice; notice of hearing re-served on counsel.</t>
        </is>
      </c>
      <c r="AN5" s="33">
        <f>IF(A5="","",LOWER(AI5)&amp;"|"&amp;AH5&amp;"|"&amp;AJ5&amp;"|"&amp;AK5)</f>
        <v/>
      </c>
      <c r="AO5" s="33">
        <f>IF(OR(A5="",T5=""),"",T5-TODAY())</f>
        <v/>
      </c>
      <c r="AP5" s="33">
        <f>IF(OR(A5="",V5&lt;&gt;""),"",(TODAY()-B5)+ROW()/1000000)</f>
        <v/>
      </c>
    </row>
    <row r="6" ht="27" customHeight="1">
      <c r="A6" s="30" t="inlineStr">
        <is>
          <t>CC-2026-0004</t>
        </is>
      </c>
      <c r="B6" s="31" t="n">
        <v>46276</v>
      </c>
      <c r="C6" s="32" t="inlineStr">
        <is>
          <t>People of the Philippines v. Danilo Perez y Cruz</t>
        </is>
      </c>
      <c r="D6" s="32" t="inlineStr">
        <is>
          <t>AAA (name withheld)</t>
        </is>
      </c>
      <c r="E6" s="32" t="inlineStr">
        <is>
          <t>Danilo Perez y Cruz</t>
        </is>
      </c>
      <c r="F6" s="32" t="inlineStr">
        <is>
          <t>Violation of VAWC Act</t>
        </is>
      </c>
      <c r="G6" s="33">
        <f>IF(A6="","",IFERROR(INDEX(OffCat,MATCH(F6,OffList,0)),"Unlisted"))</f>
        <v/>
      </c>
      <c r="H6" s="30" t="inlineStr">
        <is>
          <t>Filed in Court</t>
        </is>
      </c>
      <c r="I6" s="31" t="n">
        <v>46306</v>
      </c>
      <c r="J6" s="34" t="inlineStr">
        <is>
          <t>High</t>
        </is>
      </c>
      <c r="K6" s="34" t="inlineStr">
        <is>
          <t>Active</t>
        </is>
      </c>
      <c r="L6" s="34" t="inlineStr">
        <is>
          <t>Pending</t>
        </is>
      </c>
      <c r="M6" s="30" t="inlineStr">
        <is>
          <t>Municipal Trial Court</t>
        </is>
      </c>
      <c r="N6" s="30" t="inlineStr">
        <is>
          <t>MTC-2026-0672</t>
        </is>
      </c>
      <c r="O6" s="30" t="inlineStr">
        <is>
          <t>Atty. C. Bautista</t>
        </is>
      </c>
      <c r="P6" s="30" t="inlineStr">
        <is>
          <t>Barangay 5</t>
        </is>
      </c>
      <c r="Q6" s="31" t="n">
        <v>46246</v>
      </c>
      <c r="R6" s="31" t="n">
        <v>46276</v>
      </c>
      <c r="S6" s="31" t="n">
        <v>46306</v>
      </c>
      <c r="T6" s="31" t="n">
        <v>46336</v>
      </c>
      <c r="U6" s="31" t="n"/>
      <c r="V6" s="31" t="n"/>
      <c r="W6" s="30" t="inlineStr">
        <is>
          <t>Released on Bail</t>
        </is>
      </c>
      <c r="X6" s="31" t="n"/>
      <c r="Y6" s="35" t="inlineStr">
        <is>
          <t>Y</t>
        </is>
      </c>
      <c r="Z6" s="35" t="inlineStr">
        <is>
          <t>Y</t>
        </is>
      </c>
      <c r="AA6" s="35" t="inlineStr">
        <is>
          <t>N</t>
        </is>
      </c>
      <c r="AB6" s="35" t="inlineStr">
        <is>
          <t>Y</t>
        </is>
      </c>
      <c r="AC6" s="35" t="inlineStr">
        <is>
          <t>Y</t>
        </is>
      </c>
      <c r="AD6" s="35" t="inlineStr">
        <is>
          <t>Y</t>
        </is>
      </c>
      <c r="AE6" s="35" t="inlineStr">
        <is>
          <t>Y</t>
        </is>
      </c>
      <c r="AF6" s="35" t="inlineStr">
        <is>
          <t>N</t>
        </is>
      </c>
      <c r="AG6" s="36">
        <f>IF(A6="","",IF(V6&lt;&gt;"",V6-B6,TODAY()-B6))</f>
        <v/>
      </c>
      <c r="AH6" s="36">
        <f>IF(OR(A6="",I6=""),"",MAX(0,IF(V6&lt;&gt;"",V6-I6,TODAY()-I6)))</f>
        <v/>
      </c>
      <c r="AI6" s="37">
        <f>IF(A6="","",IF(OR(K6="Closed",V6&lt;&gt;""),"Closed",IF(AH6&gt;=AgeCrit,"Critical",IF(AH6&gt;=AgeFu,"For Follow-up",IF(AH6&gt;=AgeMonitor,"Monitor","Within Standard")))))</f>
        <v/>
      </c>
      <c r="AJ6" s="38">
        <f>IF(A6="","",IFERROR(INDEX(StgPct,MATCH(H6,StgList,0)),0))</f>
        <v/>
      </c>
      <c r="AK6" s="38">
        <f>IF(A6="","",IFERROR(COUNTIF(Y6:AF6,"Y")/(COUNTIF(Y6:AF6,"Y")+COUNTIF(Y6:AF6,"N")),0))</f>
        <v/>
      </c>
      <c r="AL6" s="36">
        <f>IF(OR(A6="",X6=""),"",MAX(0,IF(V6&lt;&gt;"",V6,TODAY())-X6))</f>
        <v/>
      </c>
      <c r="AM6" s="32" t="inlineStr">
        <is>
          <t>Warrant of arrest served; court ordered psychiatric evaluation.</t>
        </is>
      </c>
      <c r="AN6" s="33">
        <f>IF(A6="","",LOWER(AI6)&amp;"|"&amp;AH6&amp;"|"&amp;AJ6&amp;"|"&amp;AK6)</f>
        <v/>
      </c>
      <c r="AO6" s="33">
        <f>IF(OR(A6="",T6=""),"",T6-TODAY())</f>
        <v/>
      </c>
      <c r="AP6" s="33">
        <f>IF(OR(A6="",V6&lt;&gt;""),"",(TODAY()-B6)+ROW()/1000000)</f>
        <v/>
      </c>
    </row>
    <row r="7" ht="27" customHeight="1">
      <c r="A7" s="30" t="inlineStr">
        <is>
          <t>CC-2026-0005</t>
        </is>
      </c>
      <c r="B7" s="31" t="n">
        <v>46056</v>
      </c>
      <c r="C7" s="32" t="inlineStr">
        <is>
          <t>People of the Philippines v. Victoriano Salazar y Ang</t>
        </is>
      </c>
      <c r="D7" s="32" t="inlineStr">
        <is>
          <t>BBB (name withheld)</t>
        </is>
      </c>
      <c r="E7" s="32" t="inlineStr">
        <is>
          <t>Victoriano Salazar y Ang</t>
        </is>
      </c>
      <c r="F7" s="32" t="inlineStr">
        <is>
          <t>Rape</t>
        </is>
      </c>
      <c r="G7" s="33">
        <f>IF(A7="","",IFERROR(INDEX(OffCat,MATCH(F7,OffList,0)),"Unlisted"))</f>
        <v/>
      </c>
      <c r="H7" s="30" t="inlineStr">
        <is>
          <t>Trial</t>
        </is>
      </c>
      <c r="I7" s="31" t="n">
        <v>46196</v>
      </c>
      <c r="J7" s="34" t="inlineStr">
        <is>
          <t>High</t>
        </is>
      </c>
      <c r="K7" s="34" t="inlineStr">
        <is>
          <t>Active</t>
        </is>
      </c>
      <c r="L7" s="34" t="inlineStr">
        <is>
          <t>Pending</t>
        </is>
      </c>
      <c r="M7" s="30" t="inlineStr">
        <is>
          <t>Regional Trial Court</t>
        </is>
      </c>
      <c r="N7" s="30" t="inlineStr">
        <is>
          <t>RTC-2026-0901</t>
        </is>
      </c>
      <c r="O7" s="30" t="inlineStr">
        <is>
          <t>Atty. S. Navarro</t>
        </is>
      </c>
      <c r="P7" s="30" t="inlineStr">
        <is>
          <t>Barangay 2</t>
        </is>
      </c>
      <c r="Q7" s="31" t="n">
        <v>46016</v>
      </c>
      <c r="R7" s="31" t="n">
        <v>46056</v>
      </c>
      <c r="S7" s="31" t="n">
        <v>46076</v>
      </c>
      <c r="T7" s="31" t="n">
        <v>46318</v>
      </c>
      <c r="U7" s="31" t="n">
        <v>46288</v>
      </c>
      <c r="V7" s="31" t="n"/>
      <c r="W7" s="30" t="inlineStr">
        <is>
          <t>In Custody - No Bail</t>
        </is>
      </c>
      <c r="X7" s="31" t="n">
        <v>46016</v>
      </c>
      <c r="Y7" s="35" t="inlineStr">
        <is>
          <t>Y</t>
        </is>
      </c>
      <c r="Z7" s="35" t="inlineStr">
        <is>
          <t>Y</t>
        </is>
      </c>
      <c r="AA7" s="35" t="inlineStr">
        <is>
          <t>Y</t>
        </is>
      </c>
      <c r="AB7" s="35" t="inlineStr">
        <is>
          <t>Y</t>
        </is>
      </c>
      <c r="AC7" s="35" t="inlineStr">
        <is>
          <t>Y</t>
        </is>
      </c>
      <c r="AD7" s="35" t="inlineStr">
        <is>
          <t>Y</t>
        </is>
      </c>
      <c r="AE7" s="35" t="inlineStr">
        <is>
          <t>Y</t>
        </is>
      </c>
      <c r="AF7" s="35" t="inlineStr">
        <is>
          <t>N</t>
        </is>
      </c>
      <c r="AG7" s="36">
        <f>IF(A7="","",IF(V7&lt;&gt;"",V7-B7,TODAY()-B7))</f>
        <v/>
      </c>
      <c r="AH7" s="36">
        <f>IF(OR(A7="",I7=""),"",MAX(0,IF(V7&lt;&gt;"",V7-I7,TODAY()-I7)))</f>
        <v/>
      </c>
      <c r="AI7" s="37">
        <f>IF(A7="","",IF(OR(K7="Closed",V7&lt;&gt;""),"Closed",IF(AH7&gt;=AgeCrit,"Critical",IF(AH7&gt;=AgeFu,"For Follow-up",IF(AH7&gt;=AgeMonitor,"Monitor","Within Standard")))))</f>
        <v/>
      </c>
      <c r="AJ7" s="38">
        <f>IF(A7="","",IFERROR(INDEX(StgPct,MATCH(H7,StgList,0)),0))</f>
        <v/>
      </c>
      <c r="AK7" s="38">
        <f>IF(A7="","",IFERROR(COUNTIF(Y7:AF7,"Y")/(COUNTIF(Y7:AF7,"Y")+COUNTIF(Y7:AF7,"N")),0))</f>
        <v/>
      </c>
      <c r="AL7" s="36">
        <f>IF(OR(A7="",X7=""),"",MAX(0,IF(V7&lt;&gt;"",V7,TODAY())-X7))</f>
        <v/>
      </c>
      <c r="AM7" s="32" t="inlineStr">
        <is>
          <t>Victim testimony completed; counsel to file formal offer of evidence.</t>
        </is>
      </c>
      <c r="AN7" s="33">
        <f>IF(A7="","",LOWER(AI7)&amp;"|"&amp;AH7&amp;"|"&amp;AJ7&amp;"|"&amp;AK7)</f>
        <v/>
      </c>
      <c r="AO7" s="33">
        <f>IF(OR(A7="",T7=""),"",T7-TODAY())</f>
        <v/>
      </c>
      <c r="AP7" s="33">
        <f>IF(OR(A7="",V7&lt;&gt;""),"",(TODAY()-B7)+ROW()/1000000)</f>
        <v/>
      </c>
    </row>
    <row r="8" ht="27" customHeight="1">
      <c r="A8" s="30" t="inlineStr">
        <is>
          <t>CC-2026-0006</t>
        </is>
      </c>
      <c r="B8" s="31" t="n">
        <v>46291</v>
      </c>
      <c r="C8" s="32" t="inlineStr">
        <is>
          <t>People of the Philippines v. Lilia Manalo y Diaz</t>
        </is>
      </c>
      <c r="D8" s="32" t="inlineStr">
        <is>
          <t>Fernando Uy</t>
        </is>
      </c>
      <c r="E8" s="32" t="inlineStr">
        <is>
          <t>Lilia Manalo y Diaz</t>
        </is>
      </c>
      <c r="F8" s="32" t="inlineStr">
        <is>
          <t>Estafa</t>
        </is>
      </c>
      <c r="G8" s="33">
        <f>IF(A8="","",IFERROR(INDEX(OffCat,MATCH(F8,OffList,0)),"Unlisted"))</f>
        <v/>
      </c>
      <c r="H8" s="30" t="inlineStr">
        <is>
          <t>Preliminary Investigation</t>
        </is>
      </c>
      <c r="I8" s="31" t="n">
        <v>46291</v>
      </c>
      <c r="J8" s="34" t="inlineStr">
        <is>
          <t>Medium</t>
        </is>
      </c>
      <c r="K8" s="34" t="inlineStr">
        <is>
          <t>For Action</t>
        </is>
      </c>
      <c r="L8" s="34" t="inlineStr">
        <is>
          <t>Pending</t>
        </is>
      </c>
      <c r="M8" s="30" t="inlineStr">
        <is>
          <t>Office of the Prosecutor</t>
        </is>
      </c>
      <c r="N8" s="30" t="n"/>
      <c r="O8" s="30" t="inlineStr">
        <is>
          <t>Investigator P. Reyes</t>
        </is>
      </c>
      <c r="P8" s="30" t="inlineStr">
        <is>
          <t>Barangay 9</t>
        </is>
      </c>
      <c r="Q8" s="31" t="n">
        <v>46256</v>
      </c>
      <c r="R8" s="31" t="n">
        <v>46291</v>
      </c>
      <c r="S8" s="31" t="n"/>
      <c r="T8" s="31" t="n"/>
      <c r="U8" s="31" t="n"/>
      <c r="V8" s="31" t="n"/>
      <c r="W8" s="30" t="inlineStr">
        <is>
          <t>N/A (Not in Custody)</t>
        </is>
      </c>
      <c r="X8" s="31" t="n"/>
      <c r="Y8" s="35" t="inlineStr">
        <is>
          <t>Y</t>
        </is>
      </c>
      <c r="Z8" s="35" t="inlineStr">
        <is>
          <t>Y</t>
        </is>
      </c>
      <c r="AA8" s="35" t="inlineStr">
        <is>
          <t>N</t>
        </is>
      </c>
      <c r="AB8" s="35" t="inlineStr">
        <is>
          <t>Y</t>
        </is>
      </c>
      <c r="AC8" s="35" t="inlineStr">
        <is>
          <t>Y</t>
        </is>
      </c>
      <c r="AD8" s="35" t="inlineStr">
        <is>
          <t>N</t>
        </is>
      </c>
      <c r="AE8" s="35" t="inlineStr">
        <is>
          <t>N</t>
        </is>
      </c>
      <c r="AF8" s="35" t="inlineStr">
        <is>
          <t>N</t>
        </is>
      </c>
      <c r="AG8" s="36">
        <f>IF(A8="","",IF(V8&lt;&gt;"",V8-B8,TODAY()-B8))</f>
        <v/>
      </c>
      <c r="AH8" s="36">
        <f>IF(OR(A8="",I8=""),"",MAX(0,IF(V8&lt;&gt;"",V8-I8,TODAY()-I8)))</f>
        <v/>
      </c>
      <c r="AI8" s="37">
        <f>IF(A8="","",IF(OR(K8="Closed",V8&lt;&gt;""),"Closed",IF(AH8&gt;=AgeCrit,"Critical",IF(AH8&gt;=AgeFu,"For Follow-up",IF(AH8&gt;=AgeMonitor,"Monitor","Within Standard")))))</f>
        <v/>
      </c>
      <c r="AJ8" s="38">
        <f>IF(A8="","",IFERROR(INDEX(StgPct,MATCH(H8,StgList,0)),0))</f>
        <v/>
      </c>
      <c r="AK8" s="38">
        <f>IF(A8="","",IFERROR(COUNTIF(Y8:AF8,"Y")/(COUNTIF(Y8:AF8,"Y")+COUNTIF(Y8:AF8,"N")),0))</f>
        <v/>
      </c>
      <c r="AL8" s="36">
        <f>IF(OR(A8="",X8=""),"",MAX(0,IF(V8&lt;&gt;"",V8,TODAY())-X8))</f>
        <v/>
      </c>
      <c r="AM8" s="32" t="inlineStr">
        <is>
          <t>Awaiting counter-affidavit from respondent; clarify 15-day reglementary period.</t>
        </is>
      </c>
      <c r="AN8" s="33">
        <f>IF(A8="","",LOWER(AI8)&amp;"|"&amp;AH8&amp;"|"&amp;AJ8&amp;"|"&amp;AK8)</f>
        <v/>
      </c>
      <c r="AO8" s="33">
        <f>IF(OR(A8="",T8=""),"",T8-TODAY())</f>
        <v/>
      </c>
      <c r="AP8" s="33">
        <f>IF(OR(A8="",V8&lt;&gt;""),"",(TODAY()-B8)+ROW()/1000000)</f>
        <v/>
      </c>
    </row>
    <row r="9" ht="27" customHeight="1">
      <c r="A9" s="30" t="inlineStr">
        <is>
          <t>CC-2026-0007</t>
        </is>
      </c>
      <c r="B9" s="31" t="n">
        <v>46016</v>
      </c>
      <c r="C9" s="32" t="inlineStr">
        <is>
          <t>People of the Philippines v. Emmanuel Garcia y Tan</t>
        </is>
      </c>
      <c r="D9" s="32" t="inlineStr">
        <is>
          <t>Rodolfo Santos</t>
        </is>
      </c>
      <c r="E9" s="32" t="inlineStr">
        <is>
          <t>Emmanuel Garcia y Tan</t>
        </is>
      </c>
      <c r="F9" s="32" t="inlineStr">
        <is>
          <t>Serious Physical Injuries</t>
        </is>
      </c>
      <c r="G9" s="33">
        <f>IF(A9="","",IFERROR(INDEX(OffCat,MATCH(F9,OffList,0)),"Unlisted"))</f>
        <v/>
      </c>
      <c r="H9" s="30" t="inlineStr">
        <is>
          <t>Judgment Rendered</t>
        </is>
      </c>
      <c r="I9" s="31" t="n">
        <v>46281</v>
      </c>
      <c r="J9" s="34" t="inlineStr">
        <is>
          <t>Medium</t>
        </is>
      </c>
      <c r="K9" s="34" t="inlineStr">
        <is>
          <t>Closed</t>
        </is>
      </c>
      <c r="L9" s="34" t="inlineStr">
        <is>
          <t>Convicted</t>
        </is>
      </c>
      <c r="M9" s="30" t="inlineStr">
        <is>
          <t>Municipal Trial Court</t>
        </is>
      </c>
      <c r="N9" s="30" t="inlineStr">
        <is>
          <t>MTC-2025-0912</t>
        </is>
      </c>
      <c r="O9" s="30" t="inlineStr">
        <is>
          <t>Atty. J. Aquino</t>
        </is>
      </c>
      <c r="P9" s="30" t="inlineStr">
        <is>
          <t>Barangay 4</t>
        </is>
      </c>
      <c r="Q9" s="31" t="n">
        <v>45996</v>
      </c>
      <c r="R9" s="31" t="n">
        <v>46016</v>
      </c>
      <c r="S9" s="31" t="n">
        <v>46036</v>
      </c>
      <c r="T9" s="31" t="n"/>
      <c r="U9" s="31" t="n">
        <v>46276</v>
      </c>
      <c r="V9" s="31" t="n">
        <v>46286</v>
      </c>
      <c r="W9" s="30" t="inlineStr">
        <is>
          <t>Released on Bail</t>
        </is>
      </c>
      <c r="X9" s="31" t="n"/>
      <c r="Y9" s="35" t="inlineStr">
        <is>
          <t>Y</t>
        </is>
      </c>
      <c r="Z9" s="35" t="inlineStr">
        <is>
          <t>Y</t>
        </is>
      </c>
      <c r="AA9" s="35" t="inlineStr">
        <is>
          <t>Y</t>
        </is>
      </c>
      <c r="AB9" s="35" t="inlineStr">
        <is>
          <t>Y</t>
        </is>
      </c>
      <c r="AC9" s="35" t="inlineStr">
        <is>
          <t>Y</t>
        </is>
      </c>
      <c r="AD9" s="35" t="inlineStr">
        <is>
          <t>Y</t>
        </is>
      </c>
      <c r="AE9" s="35" t="inlineStr">
        <is>
          <t>Y</t>
        </is>
      </c>
      <c r="AF9" s="35" t="inlineStr">
        <is>
          <t>Y</t>
        </is>
      </c>
      <c r="AG9" s="36">
        <f>IF(A9="","",IF(V9&lt;&gt;"",V9-B9,TODAY()-B9))</f>
        <v/>
      </c>
      <c r="AH9" s="36">
        <f>IF(OR(A9="",I9=""),"",MAX(0,IF(V9&lt;&gt;"",V9-I9,TODAY()-I9)))</f>
        <v/>
      </c>
      <c r="AI9" s="37">
        <f>IF(A9="","",IF(OR(K9="Closed",V9&lt;&gt;""),"Closed",IF(AH9&gt;=AgeCrit,"Critical",IF(AH9&gt;=AgeFu,"For Follow-up",IF(AH9&gt;=AgeMonitor,"Monitor","Within Standard")))))</f>
        <v/>
      </c>
      <c r="AJ9" s="38">
        <f>IF(A9="","",IFERROR(INDEX(StgPct,MATCH(H9,StgList,0)),0))</f>
        <v/>
      </c>
      <c r="AK9" s="38">
        <f>IF(A9="","",IFERROR(COUNTIF(Y9:AF9,"Y")/(COUNTIF(Y9:AF9,"Y")+COUNTIF(Y9:AF9,"N")),0))</f>
        <v/>
      </c>
      <c r="AL9" s="36">
        <f>IF(OR(A9="",X9=""),"",MAX(0,IF(V9&lt;&gt;"",V9,TODAY())-X9))</f>
        <v/>
      </c>
      <c r="AM9" s="32" t="inlineStr">
        <is>
          <t>Accused found guilty; penalty imposed. Certified true copy on file.</t>
        </is>
      </c>
      <c r="AN9" s="33">
        <f>IF(A9="","",LOWER(AI9)&amp;"|"&amp;AH9&amp;"|"&amp;AJ9&amp;"|"&amp;AK9)</f>
        <v/>
      </c>
      <c r="AO9" s="33">
        <f>IF(OR(A9="",T9=""),"",T9-TODAY())</f>
        <v/>
      </c>
      <c r="AP9" s="33">
        <f>IF(OR(A9="",V9&lt;&gt;""),"",(TODAY()-B9)+ROW()/1000000)</f>
        <v/>
      </c>
    </row>
    <row r="10" ht="27" customHeight="1">
      <c r="A10" s="30" t="inlineStr">
        <is>
          <t>CC-2026-0008</t>
        </is>
      </c>
      <c r="B10" s="31" t="n">
        <v>46146</v>
      </c>
      <c r="C10" s="32" t="inlineStr">
        <is>
          <t>People of the Philippines v. Rodelito Ramos y Bautista</t>
        </is>
      </c>
      <c r="D10" s="32" t="inlineStr">
        <is>
          <t>Ramon Ramos</t>
        </is>
      </c>
      <c r="E10" s="32" t="inlineStr">
        <is>
          <t>Rodelito Ramos y Bautista</t>
        </is>
      </c>
      <c r="F10" s="32" t="inlineStr">
        <is>
          <t>Reckless Imprudence Resulting in Homicide</t>
        </is>
      </c>
      <c r="G10" s="33">
        <f>IF(A10="","",IFERROR(INDEX(OffCat,MATCH(F10,OffList,0)),"Unlisted"))</f>
        <v/>
      </c>
      <c r="H10" s="30" t="inlineStr">
        <is>
          <t>Trial</t>
        </is>
      </c>
      <c r="I10" s="31" t="n">
        <v>46261</v>
      </c>
      <c r="J10" s="34" t="inlineStr">
        <is>
          <t>Medium</t>
        </is>
      </c>
      <c r="K10" s="34" t="inlineStr">
        <is>
          <t>Active</t>
        </is>
      </c>
      <c r="L10" s="34" t="inlineStr">
        <is>
          <t>Pending</t>
        </is>
      </c>
      <c r="M10" s="30" t="inlineStr">
        <is>
          <t>Municipal Trial Court</t>
        </is>
      </c>
      <c r="N10" s="30" t="inlineStr">
        <is>
          <t>MTC-2026-0210</t>
        </is>
      </c>
      <c r="O10" s="30" t="inlineStr">
        <is>
          <t>Atty. R. Villanueva</t>
        </is>
      </c>
      <c r="P10" s="30" t="inlineStr">
        <is>
          <t>Barangay 6</t>
        </is>
      </c>
      <c r="Q10" s="31" t="n">
        <v>46116</v>
      </c>
      <c r="R10" s="31" t="n">
        <v>46146</v>
      </c>
      <c r="S10" s="31" t="n">
        <v>46166</v>
      </c>
      <c r="T10" s="31" t="n">
        <v>46325</v>
      </c>
      <c r="U10" s="31" t="n">
        <v>46296</v>
      </c>
      <c r="V10" s="31" t="n"/>
      <c r="W10" s="30" t="inlineStr">
        <is>
          <t>Released on Bail</t>
        </is>
      </c>
      <c r="X10" s="31" t="n"/>
      <c r="Y10" s="35" t="inlineStr">
        <is>
          <t>Y</t>
        </is>
      </c>
      <c r="Z10" s="35" t="inlineStr">
        <is>
          <t>Y</t>
        </is>
      </c>
      <c r="AA10" s="35" t="inlineStr">
        <is>
          <t>N</t>
        </is>
      </c>
      <c r="AB10" s="35" t="inlineStr">
        <is>
          <t>Y</t>
        </is>
      </c>
      <c r="AC10" s="35" t="inlineStr">
        <is>
          <t>Y</t>
        </is>
      </c>
      <c r="AD10" s="35" t="inlineStr">
        <is>
          <t>N</t>
        </is>
      </c>
      <c r="AE10" s="35" t="inlineStr">
        <is>
          <t>Y</t>
        </is>
      </c>
      <c r="AF10" s="35" t="inlineStr">
        <is>
          <t>Y</t>
        </is>
      </c>
      <c r="AG10" s="36">
        <f>IF(A10="","",IF(V10&lt;&gt;"",V10-B10,TODAY()-B10))</f>
        <v/>
      </c>
      <c r="AH10" s="36">
        <f>IF(OR(A10="",I10=""),"",MAX(0,IF(V10&lt;&gt;"",V10-I10,TODAY()-I10)))</f>
        <v/>
      </c>
      <c r="AI10" s="37">
        <f>IF(A10="","",IF(OR(K10="Closed",V10&lt;&gt;""),"Closed",IF(AH10&gt;=AgeCrit,"Critical",IF(AH10&gt;=AgeFu,"For Follow-up",IF(AH10&gt;=AgeMonitor,"Monitor","Within Standard")))))</f>
        <v/>
      </c>
      <c r="AJ10" s="38">
        <f>IF(A10="","",IFERROR(INDEX(StgPct,MATCH(H10,StgList,0)),0))</f>
        <v/>
      </c>
      <c r="AK10" s="38">
        <f>IF(A10="","",IFERROR(COUNTIF(Y10:AF10,"Y")/(COUNTIF(Y10:AF10,"Y")+COUNTIF(Y10:AF10,"N")),0))</f>
        <v/>
      </c>
      <c r="AL10" s="36">
        <f>IF(OR(A10="",X10=""),"",MAX(0,IF(V10&lt;&gt;"",V10,TODAY())-X10))</f>
        <v/>
      </c>
      <c r="AM10" s="32" t="inlineStr">
        <is>
          <t>Private prosecutor presented LTO records; next setting for defense evidence.</t>
        </is>
      </c>
      <c r="AN10" s="33">
        <f>IF(A10="","",LOWER(AI10)&amp;"|"&amp;AH10&amp;"|"&amp;AJ10&amp;"|"&amp;AK10)</f>
        <v/>
      </c>
      <c r="AO10" s="33">
        <f>IF(OR(A10="",T10=""),"",T10-TODAY())</f>
        <v/>
      </c>
      <c r="AP10" s="33">
        <f>IF(OR(A10="",V10&lt;&gt;""),"",(TODAY()-B10)+ROW()/1000000)</f>
        <v/>
      </c>
    </row>
    <row r="11" ht="27" customHeight="1">
      <c r="A11" s="30" t="inlineStr">
        <is>
          <t>CC-2026-0009</t>
        </is>
      </c>
      <c r="B11" s="31" t="n">
        <v>45936</v>
      </c>
      <c r="C11" s="32" t="inlineStr">
        <is>
          <t>People of the Philippines v. Henry Ocampo y Villar</t>
        </is>
      </c>
      <c r="D11" s="32" t="inlineStr">
        <is>
          <t>Josefina Tan</t>
        </is>
      </c>
      <c r="E11" s="32" t="inlineStr">
        <is>
          <t>Henry Ocampo y Villar</t>
        </is>
      </c>
      <c r="F11" s="32" t="inlineStr">
        <is>
          <t>Qualified Theft</t>
        </is>
      </c>
      <c r="G11" s="33">
        <f>IF(A11="","",IFERROR(INDEX(OffCat,MATCH(F11,OffList,0)),"Unlisted"))</f>
        <v/>
      </c>
      <c r="H11" s="30" t="inlineStr">
        <is>
          <t>Submitted for Decision</t>
        </is>
      </c>
      <c r="I11" s="31" t="n">
        <v>46111</v>
      </c>
      <c r="J11" s="34" t="inlineStr">
        <is>
          <t>High</t>
        </is>
      </c>
      <c r="K11" s="34" t="inlineStr">
        <is>
          <t>Active</t>
        </is>
      </c>
      <c r="L11" s="34" t="inlineStr">
        <is>
          <t>Pending</t>
        </is>
      </c>
      <c r="M11" s="30" t="inlineStr">
        <is>
          <t>Regional Trial Court</t>
        </is>
      </c>
      <c r="N11" s="30" t="inlineStr">
        <is>
          <t>RTC-2026-0777</t>
        </is>
      </c>
      <c r="O11" s="30" t="inlineStr">
        <is>
          <t>Atty. M. Fernandez</t>
        </is>
      </c>
      <c r="P11" s="30" t="inlineStr">
        <is>
          <t>Barangay 8</t>
        </is>
      </c>
      <c r="Q11" s="31" t="n">
        <v>45916</v>
      </c>
      <c r="R11" s="31" t="n">
        <v>45936</v>
      </c>
      <c r="S11" s="31" t="n">
        <v>45966</v>
      </c>
      <c r="T11" s="31" t="n"/>
      <c r="U11" s="31" t="n">
        <v>46106</v>
      </c>
      <c r="V11" s="31" t="n"/>
      <c r="W11" s="30" t="inlineStr">
        <is>
          <t>Released on Bail</t>
        </is>
      </c>
      <c r="X11" s="31" t="n"/>
      <c r="Y11" s="35" t="inlineStr">
        <is>
          <t>Y</t>
        </is>
      </c>
      <c r="Z11" s="35" t="inlineStr">
        <is>
          <t>Y</t>
        </is>
      </c>
      <c r="AA11" s="35" t="inlineStr">
        <is>
          <t>Y</t>
        </is>
      </c>
      <c r="AB11" s="35" t="inlineStr">
        <is>
          <t>Y</t>
        </is>
      </c>
      <c r="AC11" s="35" t="inlineStr">
        <is>
          <t>Y</t>
        </is>
      </c>
      <c r="AD11" s="35" t="inlineStr">
        <is>
          <t>Y</t>
        </is>
      </c>
      <c r="AE11" s="35" t="inlineStr">
        <is>
          <t>Y</t>
        </is>
      </c>
      <c r="AF11" s="35" t="inlineStr">
        <is>
          <t>N</t>
        </is>
      </c>
      <c r="AG11" s="36">
        <f>IF(A11="","",IF(V11&lt;&gt;"",V11-B11,TODAY()-B11))</f>
        <v/>
      </c>
      <c r="AH11" s="36">
        <f>IF(OR(A11="",I11=""),"",MAX(0,IF(V11&lt;&gt;"",V11-I11,TODAY()-I11)))</f>
        <v/>
      </c>
      <c r="AI11" s="37">
        <f>IF(A11="","",IF(OR(K11="Closed",V11&lt;&gt;""),"Closed",IF(AH11&gt;=AgeCrit,"Critical",IF(AH11&gt;=AgeFu,"For Follow-up",IF(AH11&gt;=AgeMonitor,"Monitor","Within Standard")))))</f>
        <v/>
      </c>
      <c r="AJ11" s="38">
        <f>IF(A11="","",IFERROR(INDEX(StgPct,MATCH(H11,StgList,0)),0))</f>
        <v/>
      </c>
      <c r="AK11" s="38">
        <f>IF(A11="","",IFERROR(COUNTIF(Y11:AF11,"Y")/(COUNTIF(Y11:AF11,"Y")+COUNTIF(Y11:AF11,"N")),0))</f>
        <v/>
      </c>
      <c r="AL11" s="36">
        <f>IF(OR(A11="",X11=""),"",MAX(0,IF(V11&lt;&gt;"",V11,TODAY())-X11))</f>
        <v/>
      </c>
      <c r="AM11" s="32" t="inlineStr">
        <is>
          <t>Case submitted for decision. Follow up with branch clerk of court.</t>
        </is>
      </c>
      <c r="AN11" s="33">
        <f>IF(A11="","",LOWER(AI11)&amp;"|"&amp;AH11&amp;"|"&amp;AJ11&amp;"|"&amp;AK11)</f>
        <v/>
      </c>
      <c r="AO11" s="33">
        <f>IF(OR(A11="",T11=""),"",T11-TODAY())</f>
        <v/>
      </c>
      <c r="AP11" s="33">
        <f>IF(OR(A11="",V11&lt;&gt;""),"",(TODAY()-B11)+ROW()/1000000)</f>
        <v/>
      </c>
    </row>
    <row r="12" ht="27" customHeight="1">
      <c r="A12" s="30" t="inlineStr">
        <is>
          <t>CC-2025-0010</t>
        </is>
      </c>
      <c r="B12" s="31" t="n">
        <v>45756</v>
      </c>
      <c r="C12" s="32" t="inlineStr">
        <is>
          <t>People of the Philippines v. Armando Sison y Uy</t>
        </is>
      </c>
      <c r="D12" s="32" t="inlineStr">
        <is>
          <t>Security Bank Corporation</t>
        </is>
      </c>
      <c r="E12" s="32" t="inlineStr">
        <is>
          <t>Armando Sison y Uy</t>
        </is>
      </c>
      <c r="F12" s="32" t="inlineStr">
        <is>
          <t>Robbery</t>
        </is>
      </c>
      <c r="G12" s="33">
        <f>IF(A12="","",IFERROR(INDEX(OffCat,MATCH(F12,OffList,0)),"Unlisted"))</f>
        <v/>
      </c>
      <c r="H12" s="30" t="inlineStr">
        <is>
          <t>Trial</t>
        </is>
      </c>
      <c r="I12" s="31" t="n">
        <v>45906</v>
      </c>
      <c r="J12" s="34" t="inlineStr">
        <is>
          <t>High</t>
        </is>
      </c>
      <c r="K12" s="34" t="inlineStr">
        <is>
          <t>Active</t>
        </is>
      </c>
      <c r="L12" s="34" t="inlineStr">
        <is>
          <t>Pending</t>
        </is>
      </c>
      <c r="M12" s="30" t="inlineStr">
        <is>
          <t>Regional Trial Court</t>
        </is>
      </c>
      <c r="N12" s="30" t="inlineStr">
        <is>
          <t>RTC-2025-1450</t>
        </is>
      </c>
      <c r="O12" s="30" t="inlineStr">
        <is>
          <t>Atty. S. Navarro</t>
        </is>
      </c>
      <c r="P12" s="30" t="inlineStr">
        <is>
          <t>Barangay 3</t>
        </is>
      </c>
      <c r="Q12" s="31" t="n">
        <v>45716</v>
      </c>
      <c r="R12" s="31" t="n">
        <v>45756</v>
      </c>
      <c r="S12" s="31" t="n">
        <v>45796</v>
      </c>
      <c r="T12" s="31" t="n">
        <v>46331</v>
      </c>
      <c r="U12" s="31" t="n">
        <v>46281</v>
      </c>
      <c r="V12" s="31" t="n"/>
      <c r="W12" s="30" t="inlineStr">
        <is>
          <t>In Custody - No Bail</t>
        </is>
      </c>
      <c r="X12" s="31" t="n">
        <v>45716</v>
      </c>
      <c r="Y12" s="35" t="inlineStr">
        <is>
          <t>Y</t>
        </is>
      </c>
      <c r="Z12" s="35" t="inlineStr">
        <is>
          <t>Y</t>
        </is>
      </c>
      <c r="AA12" s="35" t="inlineStr">
        <is>
          <t>Y</t>
        </is>
      </c>
      <c r="AB12" s="35" t="inlineStr">
        <is>
          <t>Y</t>
        </is>
      </c>
      <c r="AC12" s="35" t="inlineStr">
        <is>
          <t>N</t>
        </is>
      </c>
      <c r="AD12" s="35" t="inlineStr">
        <is>
          <t>N</t>
        </is>
      </c>
      <c r="AE12" s="35" t="inlineStr">
        <is>
          <t>Y</t>
        </is>
      </c>
      <c r="AF12" s="35" t="inlineStr">
        <is>
          <t>N</t>
        </is>
      </c>
      <c r="AG12" s="36">
        <f>IF(A12="","",IF(V12&lt;&gt;"",V12-B12,TODAY()-B12))</f>
        <v/>
      </c>
      <c r="AH12" s="36">
        <f>IF(OR(A12="",I12=""),"",MAX(0,IF(V12&lt;&gt;"",V12-I12,TODAY()-I12)))</f>
        <v/>
      </c>
      <c r="AI12" s="37">
        <f>IF(A12="","",IF(OR(K12="Closed",V12&lt;&gt;""),"Closed",IF(AH12&gt;=AgeCrit,"Critical",IF(AH12&gt;=AgeFu,"For Follow-up",IF(AH12&gt;=AgeMonitor,"Monitor","Within Standard")))))</f>
        <v/>
      </c>
      <c r="AJ12" s="38">
        <f>IF(A12="","",IFERROR(INDEX(StgPct,MATCH(H12,StgList,0)),0))</f>
        <v/>
      </c>
      <c r="AK12" s="38">
        <f>IF(A12="","",IFERROR(COUNTIF(Y12:AF12,"Y")/(COUNTIF(Y12:AF12,"Y")+COUNTIF(Y12:AF12,"N")),0))</f>
        <v/>
      </c>
      <c r="AL12" s="36">
        <f>IF(OR(A12="",X12=""),"",MAX(0,IF(V12&lt;&gt;"",V12,TODAY())-X12))</f>
        <v/>
      </c>
      <c r="AM12" s="32" t="inlineStr">
        <is>
          <t>Long-pending. Missing bail records and judgment docs; request from RTC records.</t>
        </is>
      </c>
      <c r="AN12" s="33">
        <f>IF(A12="","",LOWER(AI12)&amp;"|"&amp;AH12&amp;"|"&amp;AJ12&amp;"|"&amp;AK12)</f>
        <v/>
      </c>
      <c r="AO12" s="33">
        <f>IF(OR(A12="",T12=""),"",T12-TODAY())</f>
        <v/>
      </c>
      <c r="AP12" s="33">
        <f>IF(OR(A12="",V12&lt;&gt;""),"",(TODAY()-B12)+ROW()/1000000)</f>
        <v/>
      </c>
    </row>
    <row r="13" ht="27" customHeight="1">
      <c r="A13" s="30" t="inlineStr">
        <is>
          <t>CC-2025-0011</t>
        </is>
      </c>
      <c r="B13" s="31" t="n">
        <v>46166</v>
      </c>
      <c r="C13" s="32" t="inlineStr">
        <is>
          <t>People of the Philippines v. Carlos Miguel y Fernandez</t>
        </is>
      </c>
      <c r="D13" s="32" t="inlineStr">
        <is>
          <t>BBB (name withheld)</t>
        </is>
      </c>
      <c r="E13" s="32" t="inlineStr">
        <is>
          <t>Carlos Miguel y Fernandez</t>
        </is>
      </c>
      <c r="F13" s="32" t="inlineStr">
        <is>
          <t>Violation of VAWC Act</t>
        </is>
      </c>
      <c r="G13" s="33">
        <f>IF(A13="","",IFERROR(INDEX(OffCat,MATCH(F13,OffList,0)),"Unlisted"))</f>
        <v/>
      </c>
      <c r="H13" s="30" t="inlineStr">
        <is>
          <t>Filed in Court</t>
        </is>
      </c>
      <c r="I13" s="31" t="n">
        <v>46226</v>
      </c>
      <c r="J13" s="34" t="inlineStr">
        <is>
          <t>High</t>
        </is>
      </c>
      <c r="K13" s="34" t="inlineStr">
        <is>
          <t>Active</t>
        </is>
      </c>
      <c r="L13" s="34" t="inlineStr">
        <is>
          <t>Pending</t>
        </is>
      </c>
      <c r="M13" s="30" t="inlineStr">
        <is>
          <t>Municipal Trial Court</t>
        </is>
      </c>
      <c r="N13" s="30" t="inlineStr">
        <is>
          <t>MTC-2025-0888</t>
        </is>
      </c>
      <c r="O13" s="30" t="inlineStr">
        <is>
          <t>Atty. C. Bautista</t>
        </is>
      </c>
      <c r="P13" s="30" t="inlineStr">
        <is>
          <t>Barangay 10</t>
        </is>
      </c>
      <c r="Q13" s="31" t="n">
        <v>46116</v>
      </c>
      <c r="R13" s="31" t="n">
        <v>46166</v>
      </c>
      <c r="S13" s="31" t="n">
        <v>46226</v>
      </c>
      <c r="T13" s="31" t="n">
        <v>46331</v>
      </c>
      <c r="U13" s="31" t="n">
        <v>46286</v>
      </c>
      <c r="V13" s="31" t="n"/>
      <c r="W13" s="30" t="inlineStr">
        <is>
          <t>Released on Bail</t>
        </is>
      </c>
      <c r="X13" s="31" t="n"/>
      <c r="Y13" s="35" t="inlineStr">
        <is>
          <t>Y</t>
        </is>
      </c>
      <c r="Z13" s="35" t="inlineStr">
        <is>
          <t>Y</t>
        </is>
      </c>
      <c r="AA13" s="35" t="inlineStr">
        <is>
          <t>N</t>
        </is>
      </c>
      <c r="AB13" s="35" t="inlineStr">
        <is>
          <t>Y</t>
        </is>
      </c>
      <c r="AC13" s="35" t="inlineStr">
        <is>
          <t>Y</t>
        </is>
      </c>
      <c r="AD13" s="35" t="inlineStr">
        <is>
          <t>N</t>
        </is>
      </c>
      <c r="AE13" s="35" t="inlineStr">
        <is>
          <t>Y</t>
        </is>
      </c>
      <c r="AF13" s="35" t="inlineStr">
        <is>
          <t>N</t>
        </is>
      </c>
      <c r="AG13" s="36">
        <f>IF(A13="","",IF(V13&lt;&gt;"",V13-B13,TODAY()-B13))</f>
        <v/>
      </c>
      <c r="AH13" s="36">
        <f>IF(OR(A13="",I13=""),"",MAX(0,IF(V13&lt;&gt;"",V13-I13,TODAY()-I13)))</f>
        <v/>
      </c>
      <c r="AI13" s="37">
        <f>IF(A13="","",IF(OR(K13="Closed",V13&lt;&gt;""),"Closed",IF(AH13&gt;=AgeCrit,"Critical",IF(AH13&gt;=AgeFu,"For Follow-up",IF(AH13&gt;=AgeMonitor,"Monitor","Within Standard")))))</f>
        <v/>
      </c>
      <c r="AJ13" s="38">
        <f>IF(A13="","",IFERROR(INDEX(StgPct,MATCH(H13,StgList,0)),0))</f>
        <v/>
      </c>
      <c r="AK13" s="38">
        <f>IF(A13="","",IFERROR(COUNTIF(Y13:AF13,"Y")/(COUNTIF(Y13:AF13,"Y")+COUNTIF(Y13:AF13,"N")),0))</f>
        <v/>
      </c>
      <c r="AL13" s="36">
        <f>IF(OR(A13="",X13=""),"",MAX(0,IF(V13&lt;&gt;"",V13,TODAY())-X13))</f>
        <v/>
      </c>
      <c r="AM13" s="32" t="inlineStr">
        <is>
          <t>Temporary protection order issued and extended for 30 days.</t>
        </is>
      </c>
      <c r="AN13" s="33">
        <f>IF(A13="","",LOWER(AI13)&amp;"|"&amp;AH13&amp;"|"&amp;AJ13&amp;"|"&amp;AK13)</f>
        <v/>
      </c>
      <c r="AO13" s="33">
        <f>IF(OR(A13="",T13=""),"",T13-TODAY())</f>
        <v/>
      </c>
      <c r="AP13" s="33">
        <f>IF(OR(A13="",V13&lt;&gt;""),"",(TODAY()-B13)+ROW()/1000000)</f>
        <v/>
      </c>
    </row>
    <row r="14" ht="27" customHeight="1">
      <c r="A14" s="30" t="inlineStr">
        <is>
          <t>CC-2025-0012</t>
        </is>
      </c>
      <c r="B14" s="31" t="n">
        <v>46196</v>
      </c>
      <c r="C14" s="32" t="inlineStr">
        <is>
          <t>People of the Philippines v. Ismael Tupaz y Garcia</t>
        </is>
      </c>
      <c r="D14" s="32" t="inlineStr">
        <is>
          <t>PNP Station 2</t>
        </is>
      </c>
      <c r="E14" s="32" t="inlineStr">
        <is>
          <t>Ismael Tupaz y Garcia</t>
        </is>
      </c>
      <c r="F14" s="32" t="inlineStr">
        <is>
          <t>Illegal Possession of Firearms</t>
        </is>
      </c>
      <c r="G14" s="33">
        <f>IF(A14="","",IFERROR(INDEX(OffCat,MATCH(F14,OffList,0)),"Unlisted"))</f>
        <v/>
      </c>
      <c r="H14" s="30" t="inlineStr">
        <is>
          <t>Arraignment</t>
        </is>
      </c>
      <c r="I14" s="31" t="n">
        <v>46256</v>
      </c>
      <c r="J14" s="34" t="inlineStr">
        <is>
          <t>Medium</t>
        </is>
      </c>
      <c r="K14" s="34" t="inlineStr">
        <is>
          <t>Active</t>
        </is>
      </c>
      <c r="L14" s="34" t="inlineStr">
        <is>
          <t>Pending</t>
        </is>
      </c>
      <c r="M14" s="30" t="inlineStr">
        <is>
          <t>Regional Trial Court</t>
        </is>
      </c>
      <c r="N14" s="30" t="inlineStr">
        <is>
          <t>RTC-2025-1290</t>
        </is>
      </c>
      <c r="O14" s="30" t="inlineStr">
        <is>
          <t>Atty. R. Villanueva</t>
        </is>
      </c>
      <c r="P14" s="30" t="inlineStr">
        <is>
          <t>Barangay 7</t>
        </is>
      </c>
      <c r="Q14" s="31" t="n">
        <v>46136</v>
      </c>
      <c r="R14" s="31" t="n">
        <v>46196</v>
      </c>
      <c r="S14" s="31" t="n">
        <v>46241</v>
      </c>
      <c r="T14" s="31" t="n">
        <v>46323</v>
      </c>
      <c r="U14" s="31" t="n">
        <v>46301</v>
      </c>
      <c r="V14" s="31" t="n"/>
      <c r="W14" s="30" t="inlineStr">
        <is>
          <t>In Custody - With Bail</t>
        </is>
      </c>
      <c r="X14" s="31" t="n">
        <v>46136</v>
      </c>
      <c r="Y14" s="35" t="inlineStr">
        <is>
          <t>Y</t>
        </is>
      </c>
      <c r="Z14" s="35" t="inlineStr">
        <is>
          <t>Y</t>
        </is>
      </c>
      <c r="AA14" s="35" t="inlineStr">
        <is>
          <t>Y</t>
        </is>
      </c>
      <c r="AB14" s="35" t="inlineStr">
        <is>
          <t>Y</t>
        </is>
      </c>
      <c r="AC14" s="35" t="inlineStr">
        <is>
          <t>Y</t>
        </is>
      </c>
      <c r="AD14" s="35" t="inlineStr">
        <is>
          <t>N</t>
        </is>
      </c>
      <c r="AE14" s="35" t="inlineStr">
        <is>
          <t>Y</t>
        </is>
      </c>
      <c r="AF14" s="35" t="inlineStr">
        <is>
          <t>N</t>
        </is>
      </c>
      <c r="AG14" s="36">
        <f>IF(A14="","",IF(V14&lt;&gt;"",V14-B14,TODAY()-B14))</f>
        <v/>
      </c>
      <c r="AH14" s="36">
        <f>IF(OR(A14="",I14=""),"",MAX(0,IF(V14&lt;&gt;"",V14-I14,TODAY()-I14)))</f>
        <v/>
      </c>
      <c r="AI14" s="37">
        <f>IF(A14="","",IF(OR(K14="Closed",V14&lt;&gt;""),"Closed",IF(AH14&gt;=AgeCrit,"Critical",IF(AH14&gt;=AgeFu,"For Follow-up",IF(AH14&gt;=AgeMonitor,"Monitor","Within Standard")))))</f>
        <v/>
      </c>
      <c r="AJ14" s="38">
        <f>IF(A14="","",IFERROR(INDEX(StgPct,MATCH(H14,StgList,0)),0))</f>
        <v/>
      </c>
      <c r="AK14" s="38">
        <f>IF(A14="","",IFERROR(COUNTIF(Y14:AF14,"Y")/(COUNTIF(Y14:AF14,"Y")+COUNTIF(Y14:AF14,"N")),0))</f>
        <v/>
      </c>
      <c r="AL14" s="36">
        <f>IF(OR(A14="",X14=""),"",MAX(0,IF(V14&lt;&gt;"",V14,TODAY())-X14))</f>
        <v/>
      </c>
      <c r="AM14" s="32" t="inlineStr">
        <is>
          <t>Bail approved at PHP 120,000. Arraignment set with counsel present.</t>
        </is>
      </c>
      <c r="AN14" s="33">
        <f>IF(A14="","",LOWER(AI14)&amp;"|"&amp;AH14&amp;"|"&amp;AJ14&amp;"|"&amp;AK14)</f>
        <v/>
      </c>
      <c r="AO14" s="33">
        <f>IF(OR(A14="",T14=""),"",T14-TODAY())</f>
        <v/>
      </c>
      <c r="AP14" s="33">
        <f>IF(OR(A14="",V14&lt;&gt;""),"",(TODAY()-B14)+ROW()/1000000)</f>
        <v/>
      </c>
    </row>
    <row r="15" ht="27" customHeight="1">
      <c r="A15" s="30" t="inlineStr">
        <is>
          <t>CC-2025-0013</t>
        </is>
      </c>
      <c r="B15" s="31" t="n">
        <v>46066</v>
      </c>
      <c r="C15" s="32" t="inlineStr">
        <is>
          <t>People of the Philippines v. Teresita Cruz y Dela Peña</t>
        </is>
      </c>
      <c r="D15" s="32" t="inlineStr">
        <is>
          <t>DSWD Field Office</t>
        </is>
      </c>
      <c r="E15" s="32" t="inlineStr">
        <is>
          <t>Teresita Cruz y Dela Peña</t>
        </is>
      </c>
      <c r="F15" s="32" t="inlineStr">
        <is>
          <t>Child Abuse</t>
        </is>
      </c>
      <c r="G15" s="33">
        <f>IF(A15="","",IFERROR(INDEX(OffCat,MATCH(F15,OffList,0)),"Unlisted"))</f>
        <v/>
      </c>
      <c r="H15" s="30" t="inlineStr">
        <is>
          <t>Pre-Trial</t>
        </is>
      </c>
      <c r="I15" s="31" t="n">
        <v>46166</v>
      </c>
      <c r="J15" s="34" t="inlineStr">
        <is>
          <t>High</t>
        </is>
      </c>
      <c r="K15" s="34" t="inlineStr">
        <is>
          <t>Active</t>
        </is>
      </c>
      <c r="L15" s="34" t="inlineStr">
        <is>
          <t>Pending</t>
        </is>
      </c>
      <c r="M15" s="30" t="inlineStr">
        <is>
          <t>Regional Trial Court</t>
        </is>
      </c>
      <c r="N15" s="30" t="inlineStr">
        <is>
          <t>RTC-2025-1102</t>
        </is>
      </c>
      <c r="O15" s="30" t="inlineStr">
        <is>
          <t>Atty. M. Fernandez</t>
        </is>
      </c>
      <c r="P15" s="30" t="inlineStr">
        <is>
          <t>Barangay 5</t>
        </is>
      </c>
      <c r="Q15" s="31" t="n">
        <v>46016</v>
      </c>
      <c r="R15" s="31" t="n">
        <v>46066</v>
      </c>
      <c r="S15" s="31" t="n">
        <v>46116</v>
      </c>
      <c r="T15" s="31" t="n">
        <v>46341</v>
      </c>
      <c r="U15" s="31" t="n">
        <v>46291</v>
      </c>
      <c r="V15" s="31" t="n"/>
      <c r="W15" s="30" t="inlineStr">
        <is>
          <t>Released on Bail</t>
        </is>
      </c>
      <c r="X15" s="31" t="n"/>
      <c r="Y15" s="35" t="inlineStr">
        <is>
          <t>Y</t>
        </is>
      </c>
      <c r="Z15" s="35" t="inlineStr">
        <is>
          <t>Y</t>
        </is>
      </c>
      <c r="AA15" s="35" t="inlineStr">
        <is>
          <t>Y</t>
        </is>
      </c>
      <c r="AB15" s="35" t="inlineStr">
        <is>
          <t>Y</t>
        </is>
      </c>
      <c r="AC15" s="35" t="inlineStr">
        <is>
          <t>N</t>
        </is>
      </c>
      <c r="AD15" s="35" t="inlineStr">
        <is>
          <t>Y</t>
        </is>
      </c>
      <c r="AE15" s="35" t="inlineStr">
        <is>
          <t>N</t>
        </is>
      </c>
      <c r="AF15" s="35" t="inlineStr">
        <is>
          <t>Y</t>
        </is>
      </c>
      <c r="AG15" s="36">
        <f>IF(A15="","",IF(V15&lt;&gt;"",V15-B15,TODAY()-B15))</f>
        <v/>
      </c>
      <c r="AH15" s="36">
        <f>IF(OR(A15="",I15=""),"",MAX(0,IF(V15&lt;&gt;"",V15-I15,TODAY()-I15)))</f>
        <v/>
      </c>
      <c r="AI15" s="37">
        <f>IF(A15="","",IF(OR(K15="Closed",V15&lt;&gt;""),"Closed",IF(AH15&gt;=AgeCrit,"Critical",IF(AH15&gt;=AgeFu,"For Follow-up",IF(AH15&gt;=AgeMonitor,"Monitor","Within Standard")))))</f>
        <v/>
      </c>
      <c r="AJ15" s="38">
        <f>IF(A15="","",IFERROR(INDEX(StgPct,MATCH(H15,StgList,0)),0))</f>
        <v/>
      </c>
      <c r="AK15" s="38">
        <f>IF(A15="","",IFERROR(COUNTIF(Y15:AF15,"Y")/(COUNTIF(Y15:AF15,"Y")+COUNTIF(Y15:AF15,"N")),0))</f>
        <v/>
      </c>
      <c r="AL15" s="36">
        <f>IF(OR(A15="",X15=""),"",MAX(0,IF(V15&lt;&gt;"",V15,TODAY())-X15))</f>
        <v/>
      </c>
      <c r="AM15" s="32" t="inlineStr">
        <is>
          <t>Child witness presented via video conference; pre-trial partly terminated.</t>
        </is>
      </c>
      <c r="AN15" s="33">
        <f>IF(A15="","",LOWER(AI15)&amp;"|"&amp;AH15&amp;"|"&amp;AJ15&amp;"|"&amp;AK15)</f>
        <v/>
      </c>
      <c r="AO15" s="33">
        <f>IF(OR(A15="",T15=""),"",T15-TODAY())</f>
        <v/>
      </c>
      <c r="AP15" s="33">
        <f>IF(OR(A15="",V15&lt;&gt;""),"",(TODAY()-B15)+ROW()/1000000)</f>
        <v/>
      </c>
    </row>
    <row r="16" ht="27" customHeight="1">
      <c r="A16" s="30" t="inlineStr">
        <is>
          <t>CC-2025-0014</t>
        </is>
      </c>
      <c r="B16" s="31" t="n">
        <v>45966</v>
      </c>
      <c r="C16" s="32" t="inlineStr">
        <is>
          <t>People of the Philippines v. Nicanor Abad y Lim</t>
        </is>
      </c>
      <c r="D16" s="32" t="inlineStr">
        <is>
          <t>Metro Hardware Supply</t>
        </is>
      </c>
      <c r="E16" s="32" t="inlineStr">
        <is>
          <t>Nicanor Abad y Lim</t>
        </is>
      </c>
      <c r="F16" s="32" t="inlineStr">
        <is>
          <t>Anti-Fencing</t>
        </is>
      </c>
      <c r="G16" s="33">
        <f>IF(A16="","",IFERROR(INDEX(OffCat,MATCH(F16,OffList,0)),"Unlisted"))</f>
        <v/>
      </c>
      <c r="H16" s="30" t="inlineStr">
        <is>
          <t>Archived</t>
        </is>
      </c>
      <c r="I16" s="31" t="n">
        <v>46246</v>
      </c>
      <c r="J16" s="34" t="inlineStr">
        <is>
          <t>Low</t>
        </is>
      </c>
      <c r="K16" s="34" t="inlineStr">
        <is>
          <t>Closed</t>
        </is>
      </c>
      <c r="L16" s="34" t="inlineStr">
        <is>
          <t>Dismissed</t>
        </is>
      </c>
      <c r="M16" s="30" t="inlineStr">
        <is>
          <t>Metropolitan Trial Court</t>
        </is>
      </c>
      <c r="N16" s="30" t="inlineStr">
        <is>
          <t>MeTC-2025-0760</t>
        </is>
      </c>
      <c r="O16" s="30" t="inlineStr">
        <is>
          <t>Atty. J. Aquino</t>
        </is>
      </c>
      <c r="P16" s="30" t="inlineStr">
        <is>
          <t>Barangay 2</t>
        </is>
      </c>
      <c r="Q16" s="31" t="n">
        <v>45916</v>
      </c>
      <c r="R16" s="31" t="n">
        <v>45966</v>
      </c>
      <c r="S16" s="31" t="n">
        <v>46016</v>
      </c>
      <c r="T16" s="31" t="n"/>
      <c r="U16" s="31" t="n"/>
      <c r="V16" s="31" t="n">
        <v>46256</v>
      </c>
      <c r="W16" s="30" t="inlineStr">
        <is>
          <t>At Large</t>
        </is>
      </c>
      <c r="X16" s="31" t="n"/>
      <c r="Y16" s="35" t="inlineStr">
        <is>
          <t>Y</t>
        </is>
      </c>
      <c r="Z16" s="35" t="inlineStr">
        <is>
          <t>Y</t>
        </is>
      </c>
      <c r="AA16" s="35" t="inlineStr">
        <is>
          <t>N</t>
        </is>
      </c>
      <c r="AB16" s="35" t="inlineStr">
        <is>
          <t>Y</t>
        </is>
      </c>
      <c r="AC16" s="35" t="inlineStr">
        <is>
          <t>N</t>
        </is>
      </c>
      <c r="AD16" s="35" t="inlineStr">
        <is>
          <t>N</t>
        </is>
      </c>
      <c r="AE16" s="35" t="inlineStr">
        <is>
          <t>N</t>
        </is>
      </c>
      <c r="AF16" s="35" t="inlineStr">
        <is>
          <t>N</t>
        </is>
      </c>
      <c r="AG16" s="36">
        <f>IF(A16="","",IF(V16&lt;&gt;"",V16-B16,TODAY()-B16))</f>
        <v/>
      </c>
      <c r="AH16" s="36">
        <f>IF(OR(A16="",I16=""),"",MAX(0,IF(V16&lt;&gt;"",V16-I16,TODAY()-I16)))</f>
        <v/>
      </c>
      <c r="AI16" s="37">
        <f>IF(A16="","",IF(OR(K16="Closed",V16&lt;&gt;""),"Closed",IF(AH16&gt;=AgeCrit,"Critical",IF(AH16&gt;=AgeFu,"For Follow-up",IF(AH16&gt;=AgeMonitor,"Monitor","Within Standard")))))</f>
        <v/>
      </c>
      <c r="AJ16" s="38">
        <f>IF(A16="","",IFERROR(INDEX(StgPct,MATCH(H16,StgList,0)),0))</f>
        <v/>
      </c>
      <c r="AK16" s="38">
        <f>IF(A16="","",IFERROR(COUNTIF(Y16:AF16,"Y")/(COUNTIF(Y16:AF16,"Y")+COUNTIF(Y16:AF16,"N")),0))</f>
        <v/>
      </c>
      <c r="AL16" s="36">
        <f>IF(OR(A16="",X16=""),"",MAX(0,IF(V16&lt;&gt;"",V16,TODAY())-X16))</f>
        <v/>
      </c>
      <c r="AM16" s="32" t="inlineStr">
        <is>
          <t>Dismissed on demurrer to evidence. Prosecutor did not appeal.</t>
        </is>
      </c>
      <c r="AN16" s="33">
        <f>IF(A16="","",LOWER(AI16)&amp;"|"&amp;AH16&amp;"|"&amp;AJ16&amp;"|"&amp;AK16)</f>
        <v/>
      </c>
      <c r="AO16" s="33">
        <f>IF(OR(A16="",T16=""),"",T16-TODAY())</f>
        <v/>
      </c>
      <c r="AP16" s="33">
        <f>IF(OR(A16="",V16&lt;&gt;""),"",(TODAY()-B16)+ROW()/1000000)</f>
        <v/>
      </c>
    </row>
    <row r="17" ht="27" customHeight="1">
      <c r="A17" s="30" t="inlineStr">
        <is>
          <t>CC-2025-0015</t>
        </is>
      </c>
      <c r="B17" s="31" t="n">
        <v>46311</v>
      </c>
      <c r="C17" s="32" t="inlineStr">
        <is>
          <t>People of the Philippines v. Joel Manalo y Reyes</t>
        </is>
      </c>
      <c r="D17" s="32" t="inlineStr">
        <is>
          <t>Barangay 6 Council</t>
        </is>
      </c>
      <c r="E17" s="32" t="inlineStr">
        <is>
          <t>Joel Manalo y Reyes</t>
        </is>
      </c>
      <c r="F17" s="32" t="inlineStr">
        <is>
          <t>Illegal Gambling</t>
        </is>
      </c>
      <c r="G17" s="33">
        <f>IF(A17="","",IFERROR(INDEX(OffCat,MATCH(F17,OffList,0)),"Unlisted"))</f>
        <v/>
      </c>
      <c r="H17" s="30" t="inlineStr">
        <is>
          <t>For Filing</t>
        </is>
      </c>
      <c r="I17" s="31" t="n">
        <v>46311</v>
      </c>
      <c r="J17" s="34" t="inlineStr">
        <is>
          <t>Low</t>
        </is>
      </c>
      <c r="K17" s="34" t="inlineStr">
        <is>
          <t>For Action</t>
        </is>
      </c>
      <c r="L17" s="34" t="inlineStr">
        <is>
          <t>Pending</t>
        </is>
      </c>
      <c r="M17" s="30" t="inlineStr">
        <is>
          <t>Office of the Prosecutor</t>
        </is>
      </c>
      <c r="N17" s="30" t="n"/>
      <c r="O17" s="30" t="inlineStr">
        <is>
          <t>Investigator L. Gomez</t>
        </is>
      </c>
      <c r="P17" s="30" t="inlineStr">
        <is>
          <t>Barangay 6</t>
        </is>
      </c>
      <c r="Q17" s="31" t="n">
        <v>46304</v>
      </c>
      <c r="R17" s="31" t="n">
        <v>46311</v>
      </c>
      <c r="S17" s="31" t="n"/>
      <c r="T17" s="31" t="n"/>
      <c r="U17" s="31" t="n"/>
      <c r="V17" s="31" t="n"/>
      <c r="W17" s="30" t="inlineStr">
        <is>
          <t>N/A (Not in Custody)</t>
        </is>
      </c>
      <c r="X17" s="31" t="n"/>
      <c r="Y17" s="35" t="inlineStr">
        <is>
          <t>Y</t>
        </is>
      </c>
      <c r="Z17" s="35" t="inlineStr">
        <is>
          <t>N</t>
        </is>
      </c>
      <c r="AA17" s="35" t="inlineStr">
        <is>
          <t>N</t>
        </is>
      </c>
      <c r="AB17" s="35" t="inlineStr">
        <is>
          <t>N</t>
        </is>
      </c>
      <c r="AC17" s="35" t="inlineStr">
        <is>
          <t>N</t>
        </is>
      </c>
      <c r="AD17" s="35" t="inlineStr">
        <is>
          <t>N</t>
        </is>
      </c>
      <c r="AE17" s="35" t="inlineStr">
        <is>
          <t>N</t>
        </is>
      </c>
      <c r="AF17" s="35" t="inlineStr">
        <is>
          <t>N</t>
        </is>
      </c>
      <c r="AG17" s="36">
        <f>IF(A17="","",IF(V17&lt;&gt;"",V17-B17,TODAY()-B17))</f>
        <v/>
      </c>
      <c r="AH17" s="36">
        <f>IF(OR(A17="",I17=""),"",MAX(0,IF(V17&lt;&gt;"",V17-I17,TODAY()-I17)))</f>
        <v/>
      </c>
      <c r="AI17" s="37">
        <f>IF(A17="","",IF(OR(K17="Closed",V17&lt;&gt;""),"Closed",IF(AH17&gt;=AgeCrit,"Critical",IF(AH17&gt;=AgeFu,"For Follow-up",IF(AH17&gt;=AgeMonitor,"Monitor","Within Standard")))))</f>
        <v/>
      </c>
      <c r="AJ17" s="38">
        <f>IF(A17="","",IFERROR(INDEX(StgPct,MATCH(H17,StgList,0)),0))</f>
        <v/>
      </c>
      <c r="AK17" s="38">
        <f>IF(A17="","",IFERROR(COUNTIF(Y17:AF17,"Y")/(COUNTIF(Y17:AF17,"Y")+COUNTIF(Y17:AF17,"N")),0))</f>
        <v/>
      </c>
      <c r="AL17" s="36">
        <f>IF(OR(A17="",X17=""),"",MAX(0,IF(V17&lt;&gt;"",V17,TODAY())-X17))</f>
        <v/>
      </c>
      <c r="AM17" s="32" t="inlineStr">
        <is>
          <t>New referral. Complete sworn statements and police blotter before filing.</t>
        </is>
      </c>
      <c r="AN17" s="33">
        <f>IF(A17="","",LOWER(AI17)&amp;"|"&amp;AH17&amp;"|"&amp;AJ17&amp;"|"&amp;AK17)</f>
        <v/>
      </c>
      <c r="AO17" s="33">
        <f>IF(OR(A17="",T17=""),"",T17-TODAY())</f>
        <v/>
      </c>
      <c r="AP17" s="33">
        <f>IF(OR(A17="",V17&lt;&gt;""),"",(TODAY()-B17)+ROW()/1000000)</f>
        <v/>
      </c>
    </row>
    <row r="18" ht="27" customHeight="1">
      <c r="A18" s="30" t="inlineStr">
        <is>
          <t>CC-2025-0016</t>
        </is>
      </c>
      <c r="B18" s="31" t="n">
        <v>46246</v>
      </c>
      <c r="C18" s="32" t="inlineStr">
        <is>
          <t>People of the Philippines v. Kristine Joy Salcedo</t>
        </is>
      </c>
      <c r="D18" s="32" t="inlineStr">
        <is>
          <t>Marvin Chua</t>
        </is>
      </c>
      <c r="E18" s="32" t="inlineStr">
        <is>
          <t>Kristine Joy Salcedo</t>
        </is>
      </c>
      <c r="F18" s="32" t="inlineStr">
        <is>
          <t>Cyber Libel</t>
        </is>
      </c>
      <c r="G18" s="33">
        <f>IF(A18="","",IFERROR(INDEX(OffCat,MATCH(F18,OffList,0)),"Unlisted"))</f>
        <v/>
      </c>
      <c r="H18" s="30" t="inlineStr">
        <is>
          <t>Filed in Court</t>
        </is>
      </c>
      <c r="I18" s="31" t="n">
        <v>46281</v>
      </c>
      <c r="J18" s="34" t="inlineStr">
        <is>
          <t>Medium</t>
        </is>
      </c>
      <c r="K18" s="34" t="inlineStr">
        <is>
          <t>Active</t>
        </is>
      </c>
      <c r="L18" s="34" t="inlineStr">
        <is>
          <t>Pending</t>
        </is>
      </c>
      <c r="M18" s="30" t="inlineStr">
        <is>
          <t>Regional Trial Court</t>
        </is>
      </c>
      <c r="N18" s="30" t="inlineStr">
        <is>
          <t>RTC-2025-1401</t>
        </is>
      </c>
      <c r="O18" s="30" t="inlineStr">
        <is>
          <t>Atty. S. Navarro</t>
        </is>
      </c>
      <c r="P18" s="30" t="inlineStr">
        <is>
          <t>Barangay 1</t>
        </is>
      </c>
      <c r="Q18" s="31" t="n">
        <v>46196</v>
      </c>
      <c r="R18" s="31" t="n">
        <v>46246</v>
      </c>
      <c r="S18" s="31" t="n">
        <v>46281</v>
      </c>
      <c r="T18" s="31" t="n">
        <v>46351</v>
      </c>
      <c r="U18" s="31" t="n"/>
      <c r="V18" s="31" t="n"/>
      <c r="W18" s="30" t="inlineStr">
        <is>
          <t>Released on Bail</t>
        </is>
      </c>
      <c r="X18" s="31" t="n"/>
      <c r="Y18" s="35" t="inlineStr">
        <is>
          <t>Y</t>
        </is>
      </c>
      <c r="Z18" s="35" t="inlineStr">
        <is>
          <t>Y</t>
        </is>
      </c>
      <c r="AA18" s="35" t="inlineStr">
        <is>
          <t>N</t>
        </is>
      </c>
      <c r="AB18" s="35" t="inlineStr">
        <is>
          <t>Y</t>
        </is>
      </c>
      <c r="AC18" s="35" t="inlineStr">
        <is>
          <t>Y</t>
        </is>
      </c>
      <c r="AD18" s="35" t="inlineStr">
        <is>
          <t>N</t>
        </is>
      </c>
      <c r="AE18" s="35" t="inlineStr">
        <is>
          <t>N</t>
        </is>
      </c>
      <c r="AF18" s="35" t="inlineStr">
        <is>
          <t>N</t>
        </is>
      </c>
      <c r="AG18" s="36">
        <f>IF(A18="","",IF(V18&lt;&gt;"",V18-B18,TODAY()-B18))</f>
        <v/>
      </c>
      <c r="AH18" s="36">
        <f>IF(OR(A18="",I18=""),"",MAX(0,IF(V18&lt;&gt;"",V18-I18,TODAY()-I18)))</f>
        <v/>
      </c>
      <c r="AI18" s="37">
        <f>IF(A18="","",IF(OR(K18="Closed",V18&lt;&gt;""),"Closed",IF(AH18&gt;=AgeCrit,"Critical",IF(AH18&gt;=AgeFu,"For Follow-up",IF(AH18&gt;=AgeMonitor,"Monitor","Within Standard")))))</f>
        <v/>
      </c>
      <c r="AJ18" s="38">
        <f>IF(A18="","",IFERROR(INDEX(StgPct,MATCH(H18,StgList,0)),0))</f>
        <v/>
      </c>
      <c r="AK18" s="38">
        <f>IF(A18="","",IFERROR(COUNTIF(Y18:AF18,"Y")/(COUNTIF(Y18:AF18,"Y")+COUNTIF(Y18:AF18,"N")),0))</f>
        <v/>
      </c>
      <c r="AL18" s="36">
        <f>IF(OR(A18="",X18=""),"",MAX(0,IF(V18&lt;&gt;"",V18,TODAY())-X18))</f>
        <v/>
      </c>
      <c r="AM18" s="32" t="inlineStr">
        <is>
          <t>Preservation order on social media posts granted; awaiting URL certification.</t>
        </is>
      </c>
      <c r="AN18" s="33">
        <f>IF(A18="","",LOWER(AI18)&amp;"|"&amp;AH18&amp;"|"&amp;AJ18&amp;"|"&amp;AK18)</f>
        <v/>
      </c>
      <c r="AO18" s="33">
        <f>IF(OR(A18="",T18=""),"",T18-TODAY())</f>
        <v/>
      </c>
      <c r="AP18" s="33">
        <f>IF(OR(A18="",V18&lt;&gt;""),"",(TODAY()-B18)+ROW()/1000000)</f>
        <v/>
      </c>
    </row>
    <row r="19" ht="27" customHeight="1">
      <c r="A19" s="30" t="inlineStr">
        <is>
          <t>CC-2025-0017</t>
        </is>
      </c>
      <c r="B19" s="31" t="n">
        <v>46096</v>
      </c>
      <c r="C19" s="32" t="inlineStr">
        <is>
          <t>People of the Philippines v. Bonifacio Alonzo y Perez</t>
        </is>
      </c>
      <c r="D19" s="32" t="inlineStr">
        <is>
          <t>BFAR Municipal Office</t>
        </is>
      </c>
      <c r="E19" s="32" t="inlineStr">
        <is>
          <t>Bonifacio Alonzo y Perez</t>
        </is>
      </c>
      <c r="F19" s="32" t="inlineStr">
        <is>
          <t>Illegal Fishing</t>
        </is>
      </c>
      <c r="G19" s="33">
        <f>IF(A19="","",IFERROR(INDEX(OffCat,MATCH(F19,OffList,0)),"Unlisted"))</f>
        <v/>
      </c>
      <c r="H19" s="30" t="inlineStr">
        <is>
          <t>Trial</t>
        </is>
      </c>
      <c r="I19" s="31" t="n">
        <v>46191</v>
      </c>
      <c r="J19" s="34" t="inlineStr">
        <is>
          <t>Medium</t>
        </is>
      </c>
      <c r="K19" s="34" t="inlineStr">
        <is>
          <t>Active</t>
        </is>
      </c>
      <c r="L19" s="34" t="inlineStr">
        <is>
          <t>Pending</t>
        </is>
      </c>
      <c r="M19" s="30" t="inlineStr">
        <is>
          <t>Municipal Trial Court</t>
        </is>
      </c>
      <c r="N19" s="30" t="inlineStr">
        <is>
          <t>MTC-2025-0819</t>
        </is>
      </c>
      <c r="O19" s="30" t="inlineStr">
        <is>
          <t>Investigator P. Reyes</t>
        </is>
      </c>
      <c r="P19" s="30" t="inlineStr">
        <is>
          <t>Poblacion</t>
        </is>
      </c>
      <c r="Q19" s="31" t="n">
        <v>46066</v>
      </c>
      <c r="R19" s="31" t="n">
        <v>46096</v>
      </c>
      <c r="S19" s="31" t="n">
        <v>46126</v>
      </c>
      <c r="T19" s="31" t="n">
        <v>46335</v>
      </c>
      <c r="U19" s="31" t="n">
        <v>46286</v>
      </c>
      <c r="V19" s="31" t="n"/>
      <c r="W19" s="30" t="inlineStr">
        <is>
          <t>Released on Recognizance</t>
        </is>
      </c>
      <c r="X19" s="31" t="n"/>
      <c r="Y19" s="35" t="inlineStr">
        <is>
          <t>Y</t>
        </is>
      </c>
      <c r="Z19" s="35" t="inlineStr">
        <is>
          <t>Y</t>
        </is>
      </c>
      <c r="AA19" s="35" t="inlineStr">
        <is>
          <t>N</t>
        </is>
      </c>
      <c r="AB19" s="35" t="inlineStr">
        <is>
          <t>Y</t>
        </is>
      </c>
      <c r="AC19" s="35" t="inlineStr">
        <is>
          <t>Y</t>
        </is>
      </c>
      <c r="AD19" s="35" t="inlineStr">
        <is>
          <t>N</t>
        </is>
      </c>
      <c r="AE19" s="35" t="inlineStr">
        <is>
          <t>Y</t>
        </is>
      </c>
      <c r="AF19" s="35" t="inlineStr">
        <is>
          <t>N</t>
        </is>
      </c>
      <c r="AG19" s="36">
        <f>IF(A19="","",IF(V19&lt;&gt;"",V19-B19,TODAY()-B19))</f>
        <v/>
      </c>
      <c r="AH19" s="36">
        <f>IF(OR(A19="",I19=""),"",MAX(0,IF(V19&lt;&gt;"",V19-I19,TODAY()-I19)))</f>
        <v/>
      </c>
      <c r="AI19" s="37">
        <f>IF(A19="","",IF(OR(K19="Closed",V19&lt;&gt;""),"Closed",IF(AH19&gt;=AgeCrit,"Critical",IF(AH19&gt;=AgeFu,"For Follow-up",IF(AH19&gt;=AgeMonitor,"Monitor","Within Standard")))))</f>
        <v/>
      </c>
      <c r="AJ19" s="38">
        <f>IF(A19="","",IFERROR(INDEX(StgPct,MATCH(H19,StgList,0)),0))</f>
        <v/>
      </c>
      <c r="AK19" s="38">
        <f>IF(A19="","",IFERROR(COUNTIF(Y19:AF19,"Y")/(COUNTIF(Y19:AF19,"Y")+COUNTIF(Y19:AF19,"N")),0))</f>
        <v/>
      </c>
      <c r="AL19" s="36">
        <f>IF(OR(A19="",X19=""),"",MAX(0,IF(V19&lt;&gt;"",V19,TODAY())-X19))</f>
        <v/>
      </c>
      <c r="AM19" s="32" t="inlineStr">
        <is>
          <t>Boat and gear forfeited in favor of government; trial on the merits ongoing.</t>
        </is>
      </c>
      <c r="AN19" s="33">
        <f>IF(A19="","",LOWER(AI19)&amp;"|"&amp;AH19&amp;"|"&amp;AJ19&amp;"|"&amp;AK19)</f>
        <v/>
      </c>
      <c r="AO19" s="33">
        <f>IF(OR(A19="",T19=""),"",T19-TODAY())</f>
        <v/>
      </c>
      <c r="AP19" s="33">
        <f>IF(OR(A19="",V19&lt;&gt;""),"",(TODAY()-B19)+ROW()/1000000)</f>
        <v/>
      </c>
    </row>
    <row r="20" ht="27" customHeight="1">
      <c r="A20" s="30" t="inlineStr">
        <is>
          <t>CC-2025-0018</t>
        </is>
      </c>
      <c r="B20" s="31" t="n">
        <v>46066</v>
      </c>
      <c r="C20" s="32" t="inlineStr">
        <is>
          <t>People of the Philippines v. Alfonso Trinidad</t>
        </is>
      </c>
      <c r="D20" s="32" t="inlineStr">
        <is>
          <t>Barangay 4 Residents</t>
        </is>
      </c>
      <c r="E20" s="32" t="inlineStr">
        <is>
          <t>Alfonso Trinidad</t>
        </is>
      </c>
      <c r="F20" s="32" t="inlineStr">
        <is>
          <t>Violation of Local Ordinance</t>
        </is>
      </c>
      <c r="G20" s="33">
        <f>IF(A20="","",IFERROR(INDEX(OffCat,MATCH(F20,OffList,0)),"Unlisted"))</f>
        <v/>
      </c>
      <c r="H20" s="30" t="inlineStr">
        <is>
          <t>Archived</t>
        </is>
      </c>
      <c r="I20" s="31" t="n">
        <v>46116</v>
      </c>
      <c r="J20" s="34" t="inlineStr">
        <is>
          <t>Low</t>
        </is>
      </c>
      <c r="K20" s="34" t="inlineStr">
        <is>
          <t>Closed</t>
        </is>
      </c>
      <c r="L20" s="34" t="inlineStr">
        <is>
          <t>Archived / Referred</t>
        </is>
      </c>
      <c r="M20" s="30" t="inlineStr">
        <is>
          <t>Katarungang Pambarangay</t>
        </is>
      </c>
      <c r="N20" s="30" t="n"/>
      <c r="O20" s="30" t="inlineStr">
        <is>
          <t>Atty. C. Bautista</t>
        </is>
      </c>
      <c r="P20" s="30" t="inlineStr">
        <is>
          <t>Barangay 4</t>
        </is>
      </c>
      <c r="Q20" s="31" t="n">
        <v>46016</v>
      </c>
      <c r="R20" s="31" t="n">
        <v>46066</v>
      </c>
      <c r="S20" s="31" t="n"/>
      <c r="T20" s="31" t="n"/>
      <c r="U20" s="31" t="n"/>
      <c r="V20" s="31" t="n">
        <v>46116</v>
      </c>
      <c r="W20" s="30" t="inlineStr">
        <is>
          <t>N/A (Not in Custody)</t>
        </is>
      </c>
      <c r="X20" s="31" t="n"/>
      <c r="Y20" s="35" t="inlineStr">
        <is>
          <t>Y</t>
        </is>
      </c>
      <c r="Z20" s="35" t="inlineStr">
        <is>
          <t>N</t>
        </is>
      </c>
      <c r="AA20" s="35" t="inlineStr">
        <is>
          <t>Y</t>
        </is>
      </c>
      <c r="AB20" s="35" t="inlineStr">
        <is>
          <t>N</t>
        </is>
      </c>
      <c r="AC20" s="35" t="inlineStr">
        <is>
          <t>N</t>
        </is>
      </c>
      <c r="AD20" s="35" t="inlineStr">
        <is>
          <t>N</t>
        </is>
      </c>
      <c r="AE20" s="35" t="inlineStr">
        <is>
          <t>N</t>
        </is>
      </c>
      <c r="AF20" s="35" t="inlineStr">
        <is>
          <t>N</t>
        </is>
      </c>
      <c r="AG20" s="36">
        <f>IF(A20="","",IF(V20&lt;&gt;"",V20-B20,TODAY()-B20))</f>
        <v/>
      </c>
      <c r="AH20" s="36">
        <f>IF(OR(A20="",I20=""),"",MAX(0,IF(V20&lt;&gt;"",V20-I20,TODAY()-I20)))</f>
        <v/>
      </c>
      <c r="AI20" s="37">
        <f>IF(A20="","",IF(OR(K20="Closed",V20&lt;&gt;""),"Closed",IF(AH20&gt;=AgeCrit,"Critical",IF(AH20&gt;=AgeFu,"For Follow-up",IF(AH20&gt;=AgeMonitor,"Monitor","Within Standard")))))</f>
        <v/>
      </c>
      <c r="AJ20" s="38">
        <f>IF(A20="","",IFERROR(INDEX(StgPct,MATCH(H20,StgList,0)),0))</f>
        <v/>
      </c>
      <c r="AK20" s="38">
        <f>IF(A20="","",IFERROR(COUNTIF(Y20:AF20,"Y")/(COUNTIF(Y20:AF20,"Y")+COUNTIF(Y20:AF20,"N")),0))</f>
        <v/>
      </c>
      <c r="AL20" s="36">
        <f>IF(OR(A20="",X20=""),"",MAX(0,IF(V20&lt;&gt;"",V20,TODAY())-X20))</f>
        <v/>
      </c>
      <c r="AM20" s="32" t="inlineStr">
        <is>
          <t>Settled before the Lupong Tagapamayapa; amicable settlement executed.</t>
        </is>
      </c>
      <c r="AN20" s="33">
        <f>IF(A20="","",LOWER(AI20)&amp;"|"&amp;AH20&amp;"|"&amp;AJ20&amp;"|"&amp;AK20)</f>
        <v/>
      </c>
      <c r="AO20" s="33">
        <f>IF(OR(A20="",T20=""),"",T20-TODAY())</f>
        <v/>
      </c>
      <c r="AP20" s="33">
        <f>IF(OR(A20="",V20&lt;&gt;""),"",(TODAY()-B20)+ROW()/1000000)</f>
        <v/>
      </c>
    </row>
    <row r="21" ht="27" customHeight="1">
      <c r="A21" s="30" t="inlineStr">
        <is>
          <t>CC-2025-0019</t>
        </is>
      </c>
      <c r="B21" s="31" t="n">
        <v>45466</v>
      </c>
      <c r="C21" s="32" t="inlineStr">
        <is>
          <t>People of the Philippines v. Federico Ledesma y Sy</t>
        </is>
      </c>
      <c r="D21" s="32" t="inlineStr">
        <is>
          <t>Heirs of Lorenzo Uy</t>
        </is>
      </c>
      <c r="E21" s="32" t="inlineStr">
        <is>
          <t>Federico Ledesma y Sy</t>
        </is>
      </c>
      <c r="F21" s="32" t="inlineStr">
        <is>
          <t>Homicide</t>
        </is>
      </c>
      <c r="G21" s="33">
        <f>IF(A21="","",IFERROR(INDEX(OffCat,MATCH(F21,OffList,0)),"Unlisted"))</f>
        <v/>
      </c>
      <c r="H21" s="30" t="inlineStr">
        <is>
          <t>Appeal / Review</t>
        </is>
      </c>
      <c r="I21" s="31" t="n">
        <v>46016</v>
      </c>
      <c r="J21" s="34" t="inlineStr">
        <is>
          <t>High</t>
        </is>
      </c>
      <c r="K21" s="34" t="inlineStr">
        <is>
          <t>Active</t>
        </is>
      </c>
      <c r="L21" s="34" t="inlineStr">
        <is>
          <t>Pending</t>
        </is>
      </c>
      <c r="M21" s="30" t="inlineStr">
        <is>
          <t>Court of Appeals</t>
        </is>
      </c>
      <c r="N21" s="30" t="inlineStr">
        <is>
          <t>CA-GR-2025-1234</t>
        </is>
      </c>
      <c r="O21" s="30" t="inlineStr">
        <is>
          <t>Atty. R. Villanueva</t>
        </is>
      </c>
      <c r="P21" s="30" t="inlineStr">
        <is>
          <t>Barangay 9</t>
        </is>
      </c>
      <c r="Q21" s="31" t="n">
        <v>45416</v>
      </c>
      <c r="R21" s="31" t="n">
        <v>45466</v>
      </c>
      <c r="S21" s="31" t="n">
        <v>45516</v>
      </c>
      <c r="T21" s="31" t="n"/>
      <c r="U21" s="31" t="n">
        <v>46016</v>
      </c>
      <c r="V21" s="31" t="n"/>
      <c r="W21" s="30" t="inlineStr">
        <is>
          <t>In Custody - No Bail</t>
        </is>
      </c>
      <c r="X21" s="31" t="n">
        <v>45416</v>
      </c>
      <c r="Y21" s="35" t="inlineStr">
        <is>
          <t>Y</t>
        </is>
      </c>
      <c r="Z21" s="35" t="inlineStr">
        <is>
          <t>Y</t>
        </is>
      </c>
      <c r="AA21" s="35" t="inlineStr">
        <is>
          <t>Y</t>
        </is>
      </c>
      <c r="AB21" s="35" t="inlineStr">
        <is>
          <t>Y</t>
        </is>
      </c>
      <c r="AC21" s="35" t="inlineStr">
        <is>
          <t>Y</t>
        </is>
      </c>
      <c r="AD21" s="35" t="inlineStr">
        <is>
          <t>Y</t>
        </is>
      </c>
      <c r="AE21" s="35" t="inlineStr">
        <is>
          <t>Y</t>
        </is>
      </c>
      <c r="AF21" s="35" t="inlineStr">
        <is>
          <t>N</t>
        </is>
      </c>
      <c r="AG21" s="36">
        <f>IF(A21="","",IF(V21&lt;&gt;"",V21-B21,TODAY()-B21))</f>
        <v/>
      </c>
      <c r="AH21" s="36">
        <f>IF(OR(A21="",I21=""),"",MAX(0,IF(V21&lt;&gt;"",V21-I21,TODAY()-I21)))</f>
        <v/>
      </c>
      <c r="AI21" s="37">
        <f>IF(A21="","",IF(OR(K21="Closed",V21&lt;&gt;""),"Closed",IF(AH21&gt;=AgeCrit,"Critical",IF(AH21&gt;=AgeFu,"For Follow-up",IF(AH21&gt;=AgeMonitor,"Monitor","Within Standard")))))</f>
        <v/>
      </c>
      <c r="AJ21" s="38">
        <f>IF(A21="","",IFERROR(INDEX(StgPct,MATCH(H21,StgList,0)),0))</f>
        <v/>
      </c>
      <c r="AK21" s="38">
        <f>IF(A21="","",IFERROR(COUNTIF(Y21:AF21,"Y")/(COUNTIF(Y21:AF21,"Y")+COUNTIF(Y21:AF21,"N")),0))</f>
        <v/>
      </c>
      <c r="AL21" s="36">
        <f>IF(OR(A21="",X21=""),"",MAX(0,IF(V21&lt;&gt;"",V21,TODAY())-X21))</f>
        <v/>
      </c>
      <c r="AM21" s="32" t="inlineStr">
        <is>
          <t>Appeal pending. Manifestation with compliance filed; monitor CA resolution.</t>
        </is>
      </c>
      <c r="AN21" s="33">
        <f>IF(A21="","",LOWER(AI21)&amp;"|"&amp;AH21&amp;"|"&amp;AJ21&amp;"|"&amp;AK21)</f>
        <v/>
      </c>
      <c r="AO21" s="33">
        <f>IF(OR(A21="",T21=""),"",T21-TODAY())</f>
        <v/>
      </c>
      <c r="AP21" s="33">
        <f>IF(OR(A21="",V21&lt;&gt;""),"",(TODAY()-B21)+ROW()/1000000)</f>
        <v/>
      </c>
    </row>
    <row r="22" ht="27" customHeight="1">
      <c r="A22" s="30" t="inlineStr">
        <is>
          <t>CC-2025-0020</t>
        </is>
      </c>
      <c r="B22" s="31" t="n">
        <v>46016</v>
      </c>
      <c r="C22" s="32" t="inlineStr">
        <is>
          <t>People of the Philippines v. Lauro Domingo y Aquino</t>
        </is>
      </c>
      <c r="D22" s="32" t="inlineStr">
        <is>
          <t>Pedro Aquino</t>
        </is>
      </c>
      <c r="E22" s="32" t="inlineStr">
        <is>
          <t>Lauro Domingo y Aquino</t>
        </is>
      </c>
      <c r="F22" s="32" t="inlineStr">
        <is>
          <t>Frustrated Murder</t>
        </is>
      </c>
      <c r="G22" s="33">
        <f>IF(A22="","",IFERROR(INDEX(OffCat,MATCH(F22,OffList,0)),"Unlisted"))</f>
        <v/>
      </c>
      <c r="H22" s="30" t="inlineStr">
        <is>
          <t>Trial</t>
        </is>
      </c>
      <c r="I22" s="31" t="n">
        <v>46231</v>
      </c>
      <c r="J22" s="34" t="inlineStr">
        <is>
          <t>High</t>
        </is>
      </c>
      <c r="K22" s="34" t="inlineStr">
        <is>
          <t>Active</t>
        </is>
      </c>
      <c r="L22" s="34" t="inlineStr">
        <is>
          <t>Pending</t>
        </is>
      </c>
      <c r="M22" s="30" t="inlineStr">
        <is>
          <t>Regional Trial Court</t>
        </is>
      </c>
      <c r="N22" s="30" t="inlineStr">
        <is>
          <t>RTC-2025-1355</t>
        </is>
      </c>
      <c r="O22" s="30" t="inlineStr">
        <is>
          <t>Atty. M. Fernandez</t>
        </is>
      </c>
      <c r="P22" s="30" t="inlineStr">
        <is>
          <t>Barangay 3</t>
        </is>
      </c>
      <c r="Q22" s="31" t="n">
        <v>45966</v>
      </c>
      <c r="R22" s="31" t="n">
        <v>46016</v>
      </c>
      <c r="S22" s="31" t="n">
        <v>46056</v>
      </c>
      <c r="T22" s="31" t="n">
        <v>46334</v>
      </c>
      <c r="U22" s="31" t="n">
        <v>46294</v>
      </c>
      <c r="V22" s="31" t="n"/>
      <c r="W22" s="30" t="inlineStr">
        <is>
          <t>In Custody - No Bail</t>
        </is>
      </c>
      <c r="X22" s="31" t="n">
        <v>46016</v>
      </c>
      <c r="Y22" s="35" t="inlineStr">
        <is>
          <t>Y</t>
        </is>
      </c>
      <c r="Z22" s="35" t="inlineStr">
        <is>
          <t>Y</t>
        </is>
      </c>
      <c r="AA22" s="35" t="inlineStr">
        <is>
          <t>Y</t>
        </is>
      </c>
      <c r="AB22" s="35" t="inlineStr">
        <is>
          <t>Y</t>
        </is>
      </c>
      <c r="AC22" s="35" t="inlineStr">
        <is>
          <t>Y</t>
        </is>
      </c>
      <c r="AD22" s="35" t="inlineStr">
        <is>
          <t>N</t>
        </is>
      </c>
      <c r="AE22" s="35" t="inlineStr">
        <is>
          <t>Y</t>
        </is>
      </c>
      <c r="AF22" s="35" t="inlineStr">
        <is>
          <t>N</t>
        </is>
      </c>
      <c r="AG22" s="36">
        <f>IF(A22="","",IF(V22&lt;&gt;"",V22-B22,TODAY()-B22))</f>
        <v/>
      </c>
      <c r="AH22" s="36">
        <f>IF(OR(A22="",I22=""),"",MAX(0,IF(V22&lt;&gt;"",V22-I22,TODAY()-I22)))</f>
        <v/>
      </c>
      <c r="AI22" s="37">
        <f>IF(A22="","",IF(OR(K22="Closed",V22&lt;&gt;""),"Closed",IF(AH22&gt;=AgeCrit,"Critical",IF(AH22&gt;=AgeFu,"For Follow-up",IF(AH22&gt;=AgeMonitor,"Monitor","Within Standard")))))</f>
        <v/>
      </c>
      <c r="AJ22" s="38">
        <f>IF(A22="","",IFERROR(INDEX(StgPct,MATCH(H22,StgList,0)),0))</f>
        <v/>
      </c>
      <c r="AK22" s="38">
        <f>IF(A22="","",IFERROR(COUNTIF(Y22:AF22,"Y")/(COUNTIF(Y22:AF22,"Y")+COUNTIF(Y22:AF22,"N")),0))</f>
        <v/>
      </c>
      <c r="AL22" s="36">
        <f>IF(OR(A22="",X22=""),"",MAX(0,IF(V22&lt;&gt;"",V22,TODAY())-X22))</f>
        <v/>
      </c>
      <c r="AM22" s="32" t="inlineStr">
        <is>
          <t>Medico-legal report admitted; defense to present rebuttal witness.</t>
        </is>
      </c>
      <c r="AN22" s="33">
        <f>IF(A22="","",LOWER(AI22)&amp;"|"&amp;AH22&amp;"|"&amp;AJ22&amp;"|"&amp;AK22)</f>
        <v/>
      </c>
      <c r="AO22" s="33">
        <f>IF(OR(A22="",T22=""),"",T22-TODAY())</f>
        <v/>
      </c>
      <c r="AP22" s="33">
        <f>IF(OR(A22="",V22&lt;&gt;""),"",(TODAY()-B22)+ROW()/1000000)</f>
        <v/>
      </c>
    </row>
    <row r="23" ht="27" customHeight="1">
      <c r="A23" s="30" t="inlineStr">
        <is>
          <t>CC-2026-0021</t>
        </is>
      </c>
      <c r="B23" s="31" t="n">
        <v>46276</v>
      </c>
      <c r="C23" s="32" t="inlineStr">
        <is>
          <t>People of the Philippines v. Marilou Sanchez y Reyes</t>
        </is>
      </c>
      <c r="D23" s="32" t="inlineStr">
        <is>
          <t>Inter-Agency Council Against Trafficking</t>
        </is>
      </c>
      <c r="E23" s="32" t="inlineStr">
        <is>
          <t>Marilou Sanchez y Reyes</t>
        </is>
      </c>
      <c r="F23" s="32" t="inlineStr">
        <is>
          <t>Trafficking in Persons</t>
        </is>
      </c>
      <c r="G23" s="33">
        <f>IF(A23="","",IFERROR(INDEX(OffCat,MATCH(F23,OffList,0)),"Unlisted"))</f>
        <v/>
      </c>
      <c r="H23" s="30" t="inlineStr">
        <is>
          <t>Preliminary Investigation</t>
        </is>
      </c>
      <c r="I23" s="31" t="n">
        <v>46276</v>
      </c>
      <c r="J23" s="34" t="inlineStr">
        <is>
          <t>High</t>
        </is>
      </c>
      <c r="K23" s="34" t="inlineStr">
        <is>
          <t>For Action</t>
        </is>
      </c>
      <c r="L23" s="34" t="inlineStr">
        <is>
          <t>Pending</t>
        </is>
      </c>
      <c r="M23" s="30" t="inlineStr">
        <is>
          <t>Office of the Prosecutor</t>
        </is>
      </c>
      <c r="N23" s="30" t="n"/>
      <c r="O23" s="30" t="inlineStr">
        <is>
          <t>Atty. S. Navarro</t>
        </is>
      </c>
      <c r="P23" s="30" t="inlineStr">
        <is>
          <t>Barangay 8</t>
        </is>
      </c>
      <c r="Q23" s="31" t="n">
        <v>46226</v>
      </c>
      <c r="R23" s="31" t="n">
        <v>46276</v>
      </c>
      <c r="S23" s="31" t="n"/>
      <c r="T23" s="31" t="n"/>
      <c r="U23" s="31" t="n"/>
      <c r="V23" s="31" t="n"/>
      <c r="W23" s="30" t="inlineStr">
        <is>
          <t>Released on Bail</t>
        </is>
      </c>
      <c r="X23" s="31" t="n"/>
      <c r="Y23" s="35" t="inlineStr">
        <is>
          <t>Y</t>
        </is>
      </c>
      <c r="Z23" s="35" t="inlineStr">
        <is>
          <t>Y</t>
        </is>
      </c>
      <c r="AA23" s="35" t="inlineStr">
        <is>
          <t>N</t>
        </is>
      </c>
      <c r="AB23" s="35" t="inlineStr">
        <is>
          <t>Y</t>
        </is>
      </c>
      <c r="AC23" s="35" t="inlineStr">
        <is>
          <t>Y</t>
        </is>
      </c>
      <c r="AD23" s="35" t="inlineStr">
        <is>
          <t>N</t>
        </is>
      </c>
      <c r="AE23" s="35" t="inlineStr">
        <is>
          <t>N</t>
        </is>
      </c>
      <c r="AF23" s="35" t="inlineStr">
        <is>
          <t>N</t>
        </is>
      </c>
      <c r="AG23" s="36">
        <f>IF(A23="","",IF(V23&lt;&gt;"",V23-B23,TODAY()-B23))</f>
        <v/>
      </c>
      <c r="AH23" s="36">
        <f>IF(OR(A23="",I23=""),"",MAX(0,IF(V23&lt;&gt;"",V23-I23,TODAY()-I23)))</f>
        <v/>
      </c>
      <c r="AI23" s="37">
        <f>IF(A23="","",IF(OR(K23="Closed",V23&lt;&gt;""),"Closed",IF(AH23&gt;=AgeCrit,"Critical",IF(AH23&gt;=AgeFu,"For Follow-up",IF(AH23&gt;=AgeMonitor,"Monitor","Within Standard")))))</f>
        <v/>
      </c>
      <c r="AJ23" s="38">
        <f>IF(A23="","",IFERROR(INDEX(StgPct,MATCH(H23,StgList,0)),0))</f>
        <v/>
      </c>
      <c r="AK23" s="38">
        <f>IF(A23="","",IFERROR(COUNTIF(Y23:AF23,"Y")/(COUNTIF(Y23:AF23,"Y")+COUNTIF(Y23:AF23,"N")),0))</f>
        <v/>
      </c>
      <c r="AL23" s="36">
        <f>IF(OR(A23="",X23=""),"",MAX(0,IF(V23&lt;&gt;"",V23,TODAY())-X23))</f>
        <v/>
      </c>
      <c r="AM23" s="32" t="inlineStr">
        <is>
          <t>PI ongoing; victim-witness protection referral requested from DOJ.</t>
        </is>
      </c>
      <c r="AN23" s="33">
        <f>IF(A23="","",LOWER(AI23)&amp;"|"&amp;AH23&amp;"|"&amp;AJ23&amp;"|"&amp;AK23)</f>
        <v/>
      </c>
      <c r="AO23" s="33">
        <f>IF(OR(A23="",T23=""),"",T23-TODAY())</f>
        <v/>
      </c>
      <c r="AP23" s="33">
        <f>IF(OR(A23="",V23&lt;&gt;""),"",(TODAY()-B23)+ROW()/1000000)</f>
        <v/>
      </c>
    </row>
    <row r="24" ht="27" customHeight="1">
      <c r="A24" s="30" t="inlineStr">
        <is>
          <t>CC-2026-0022</t>
        </is>
      </c>
      <c r="B24" s="31" t="n">
        <v>46216</v>
      </c>
      <c r="C24" s="32" t="inlineStr">
        <is>
          <t>People of the Philippines v. Ruben Castillo y Tan</t>
        </is>
      </c>
      <c r="D24" s="32" t="inlineStr">
        <is>
          <t>Golden Grain Traders</t>
        </is>
      </c>
      <c r="E24" s="32" t="inlineStr">
        <is>
          <t>Ruben Castillo y Tan</t>
        </is>
      </c>
      <c r="F24" s="32" t="inlineStr">
        <is>
          <t>Bouncing Checks</t>
        </is>
      </c>
      <c r="G24" s="33">
        <f>IF(A24="","",IFERROR(INDEX(OffCat,MATCH(F24,OffList,0)),"Unlisted"))</f>
        <v/>
      </c>
      <c r="H24" s="30" t="inlineStr">
        <is>
          <t>Filed in Court</t>
        </is>
      </c>
      <c r="I24" s="31" t="n">
        <v>46296</v>
      </c>
      <c r="J24" s="34" t="inlineStr">
        <is>
          <t>Low</t>
        </is>
      </c>
      <c r="K24" s="34" t="inlineStr">
        <is>
          <t>Active</t>
        </is>
      </c>
      <c r="L24" s="34" t="inlineStr">
        <is>
          <t>Pending</t>
        </is>
      </c>
      <c r="M24" s="30" t="inlineStr">
        <is>
          <t>Metropolitan Trial Court</t>
        </is>
      </c>
      <c r="N24" s="30" t="inlineStr">
        <is>
          <t>MeTC-2026-0511</t>
        </is>
      </c>
      <c r="O24" s="30" t="inlineStr">
        <is>
          <t>Atty. J. Aquino</t>
        </is>
      </c>
      <c r="P24" s="30" t="inlineStr">
        <is>
          <t>Barangay 2</t>
        </is>
      </c>
      <c r="Q24" s="31" t="n">
        <v>46166</v>
      </c>
      <c r="R24" s="31" t="n">
        <v>46216</v>
      </c>
      <c r="S24" s="31" t="n">
        <v>46296</v>
      </c>
      <c r="T24" s="31" t="n">
        <v>46321</v>
      </c>
      <c r="U24" s="31" t="n"/>
      <c r="V24" s="31" t="n"/>
      <c r="W24" s="30" t="inlineStr">
        <is>
          <t>Released on Bail</t>
        </is>
      </c>
      <c r="X24" s="31" t="n"/>
      <c r="Y24" s="35" t="inlineStr">
        <is>
          <t>Y</t>
        </is>
      </c>
      <c r="Z24" s="35" t="inlineStr">
        <is>
          <t>Y</t>
        </is>
      </c>
      <c r="AA24" s="35" t="inlineStr">
        <is>
          <t>N</t>
        </is>
      </c>
      <c r="AB24" s="35" t="inlineStr">
        <is>
          <t>Y</t>
        </is>
      </c>
      <c r="AC24" s="35" t="inlineStr">
        <is>
          <t>Y</t>
        </is>
      </c>
      <c r="AD24" s="35" t="inlineStr">
        <is>
          <t>N</t>
        </is>
      </c>
      <c r="AE24" s="35" t="inlineStr">
        <is>
          <t>Y</t>
        </is>
      </c>
      <c r="AF24" s="35" t="inlineStr">
        <is>
          <t>N</t>
        </is>
      </c>
      <c r="AG24" s="36">
        <f>IF(A24="","",IF(V24&lt;&gt;"",V24-B24,TODAY()-B24))</f>
        <v/>
      </c>
      <c r="AH24" s="36">
        <f>IF(OR(A24="",I24=""),"",MAX(0,IF(V24&lt;&gt;"",V24-I24,TODAY()-I24)))</f>
        <v/>
      </c>
      <c r="AI24" s="37">
        <f>IF(A24="","",IF(OR(K24="Closed",V24&lt;&gt;""),"Closed",IF(AH24&gt;=AgeCrit,"Critical",IF(AH24&gt;=AgeFu,"For Follow-up",IF(AH24&gt;=AgeMonitor,"Monitor","Within Standard")))))</f>
        <v/>
      </c>
      <c r="AJ24" s="38">
        <f>IF(A24="","",IFERROR(INDEX(StgPct,MATCH(H24,StgList,0)),0))</f>
        <v/>
      </c>
      <c r="AK24" s="38">
        <f>IF(A24="","",IFERROR(COUNTIF(Y24:AF24,"Y")/(COUNTIF(Y24:AF24,"Y")+COUNTIF(Y24:AF24,"N")),0))</f>
        <v/>
      </c>
      <c r="AL24" s="36">
        <f>IF(OR(A24="",X24=""),"",MAX(0,IF(V24&lt;&gt;"",V24,TODAY())-X24))</f>
        <v/>
      </c>
      <c r="AM24" s="32" t="inlineStr">
        <is>
          <t>Court directed parties to explore compromise; reset for status conference.</t>
        </is>
      </c>
      <c r="AN24" s="33">
        <f>IF(A24="","",LOWER(AI24)&amp;"|"&amp;AH24&amp;"|"&amp;AJ24&amp;"|"&amp;AK24)</f>
        <v/>
      </c>
      <c r="AO24" s="33">
        <f>IF(OR(A24="",T24=""),"",T24-TODAY())</f>
        <v/>
      </c>
      <c r="AP24" s="33">
        <f>IF(OR(A24="",V24&lt;&gt;""),"",(TODAY()-B24)+ROW()/1000000)</f>
        <v/>
      </c>
    </row>
    <row r="25" ht="27" customHeight="1">
      <c r="A25" s="30" t="inlineStr">
        <is>
          <t>CC-2026-0023</t>
        </is>
      </c>
      <c r="B25" s="31" t="n">
        <v>46116</v>
      </c>
      <c r="C25" s="32" t="inlineStr">
        <is>
          <t>People of the Philippines v. Edgar Villamor y Cruz</t>
        </is>
      </c>
      <c r="D25" s="32" t="inlineStr">
        <is>
          <t>Bureau of Fire Protection</t>
        </is>
      </c>
      <c r="E25" s="32" t="inlineStr">
        <is>
          <t>Edgar Villamor y Cruz</t>
        </is>
      </c>
      <c r="F25" s="32" t="inlineStr">
        <is>
          <t>Arson</t>
        </is>
      </c>
      <c r="G25" s="33">
        <f>IF(A25="","",IFERROR(INDEX(OffCat,MATCH(F25,OffList,0)),"Unlisted"))</f>
        <v/>
      </c>
      <c r="H25" s="30" t="inlineStr">
        <is>
          <t>Trial</t>
        </is>
      </c>
      <c r="I25" s="31" t="n">
        <v>46251</v>
      </c>
      <c r="J25" s="34" t="inlineStr">
        <is>
          <t>High</t>
        </is>
      </c>
      <c r="K25" s="34" t="inlineStr">
        <is>
          <t>Active</t>
        </is>
      </c>
      <c r="L25" s="34" t="inlineStr">
        <is>
          <t>Pending</t>
        </is>
      </c>
      <c r="M25" s="30" t="inlineStr">
        <is>
          <t>Regional Trial Court</t>
        </is>
      </c>
      <c r="N25" s="30" t="inlineStr">
        <is>
          <t>RTC-2026-1002</t>
        </is>
      </c>
      <c r="O25" s="30" t="inlineStr">
        <is>
          <t>Atty. R. Villanueva</t>
        </is>
      </c>
      <c r="P25" s="30" t="inlineStr">
        <is>
          <t>Barangay 6</t>
        </is>
      </c>
      <c r="Q25" s="31" t="n">
        <v>46076</v>
      </c>
      <c r="R25" s="31" t="n">
        <v>46116</v>
      </c>
      <c r="S25" s="31" t="n">
        <v>46146</v>
      </c>
      <c r="T25" s="31" t="n">
        <v>46356</v>
      </c>
      <c r="U25" s="31" t="n">
        <v>46304</v>
      </c>
      <c r="V25" s="31" t="n"/>
      <c r="W25" s="30" t="inlineStr">
        <is>
          <t>In Custody - With Bail</t>
        </is>
      </c>
      <c r="X25" s="31" t="n">
        <v>46076</v>
      </c>
      <c r="Y25" s="35" t="inlineStr">
        <is>
          <t>Y</t>
        </is>
      </c>
      <c r="Z25" s="35" t="inlineStr">
        <is>
          <t>Y</t>
        </is>
      </c>
      <c r="AA25" s="35" t="inlineStr">
        <is>
          <t>Y</t>
        </is>
      </c>
      <c r="AB25" s="35" t="inlineStr">
        <is>
          <t>Y</t>
        </is>
      </c>
      <c r="AC25" s="35" t="inlineStr">
        <is>
          <t>Y</t>
        </is>
      </c>
      <c r="AD25" s="35" t="inlineStr">
        <is>
          <t>N</t>
        </is>
      </c>
      <c r="AE25" s="35" t="inlineStr">
        <is>
          <t>Y</t>
        </is>
      </c>
      <c r="AF25" s="35" t="inlineStr">
        <is>
          <t>N</t>
        </is>
      </c>
      <c r="AG25" s="36">
        <f>IF(A25="","",IF(V25&lt;&gt;"",V25-B25,TODAY()-B25))</f>
        <v/>
      </c>
      <c r="AH25" s="36">
        <f>IF(OR(A25="",I25=""),"",MAX(0,IF(V25&lt;&gt;"",V25-I25,TODAY()-I25)))</f>
        <v/>
      </c>
      <c r="AI25" s="37">
        <f>IF(A25="","",IF(OR(K25="Closed",V25&lt;&gt;""),"Closed",IF(AH25&gt;=AgeCrit,"Critical",IF(AH25&gt;=AgeFu,"For Follow-up",IF(AH25&gt;=AgeMonitor,"Monitor","Within Standard")))))</f>
        <v/>
      </c>
      <c r="AJ25" s="38">
        <f>IF(A25="","",IFERROR(INDEX(StgPct,MATCH(H25,StgList,0)),0))</f>
        <v/>
      </c>
      <c r="AK25" s="38">
        <f>IF(A25="","",IFERROR(COUNTIF(Y25:AF25,"Y")/(COUNTIF(Y25:AF25,"Y")+COUNTIF(Y25:AF25,"N")),0))</f>
        <v/>
      </c>
      <c r="AL25" s="36">
        <f>IF(OR(A25="",X25=""),"",MAX(0,IF(V25&lt;&gt;"",V25,TODAY())-X25))</f>
        <v/>
      </c>
      <c r="AM25" s="32" t="inlineStr">
        <is>
          <t>Fire investigator testimony taken; next setting for documentary exhibits.</t>
        </is>
      </c>
      <c r="AN25" s="33">
        <f>IF(A25="","",LOWER(AI25)&amp;"|"&amp;AH25&amp;"|"&amp;AJ25&amp;"|"&amp;AK25)</f>
        <v/>
      </c>
      <c r="AO25" s="33">
        <f>IF(OR(A25="",T25=""),"",T25-TODAY())</f>
        <v/>
      </c>
      <c r="AP25" s="33">
        <f>IF(OR(A25="",V25&lt;&gt;""),"",(TODAY()-B25)+ROW()/1000000)</f>
        <v/>
      </c>
    </row>
    <row r="26" ht="27" customHeight="1">
      <c r="A26" s="30" t="inlineStr">
        <is>
          <t>CC-2026-0024</t>
        </is>
      </c>
      <c r="B26" s="31" t="n">
        <v>46076</v>
      </c>
      <c r="C26" s="32" t="inlineStr">
        <is>
          <t>People of the Philippines v. Rebecca Lim y Ong</t>
        </is>
      </c>
      <c r="D26" s="32" t="inlineStr">
        <is>
          <t>Nena Fernandez</t>
        </is>
      </c>
      <c r="E26" s="32" t="inlineStr">
        <is>
          <t>Rebecca Lim y Ong</t>
        </is>
      </c>
      <c r="F26" s="32" t="inlineStr">
        <is>
          <t>Illegal Recruitment</t>
        </is>
      </c>
      <c r="G26" s="33">
        <f>IF(A26="","",IFERROR(INDEX(OffCat,MATCH(F26,OffList,0)),"Unlisted"))</f>
        <v/>
      </c>
      <c r="H26" s="30" t="inlineStr">
        <is>
          <t>Judgment Rendered</t>
        </is>
      </c>
      <c r="I26" s="31" t="n">
        <v>46266</v>
      </c>
      <c r="J26" s="34" t="inlineStr">
        <is>
          <t>Medium</t>
        </is>
      </c>
      <c r="K26" s="34" t="inlineStr">
        <is>
          <t>Closed</t>
        </is>
      </c>
      <c r="L26" s="34" t="inlineStr">
        <is>
          <t>Amicably Settled</t>
        </is>
      </c>
      <c r="M26" s="30" t="inlineStr">
        <is>
          <t>Regional Trial Court</t>
        </is>
      </c>
      <c r="N26" s="30" t="inlineStr">
        <is>
          <t>RTC-2025-0999</t>
        </is>
      </c>
      <c r="O26" s="30" t="inlineStr">
        <is>
          <t>Atty. C. Bautista</t>
        </is>
      </c>
      <c r="P26" s="30" t="inlineStr">
        <is>
          <t>Barangay 10</t>
        </is>
      </c>
      <c r="Q26" s="31" t="n">
        <v>46036</v>
      </c>
      <c r="R26" s="31" t="n">
        <v>46076</v>
      </c>
      <c r="S26" s="31" t="n">
        <v>46106</v>
      </c>
      <c r="T26" s="31" t="n"/>
      <c r="U26" s="31" t="n"/>
      <c r="V26" s="31" t="n">
        <v>46271</v>
      </c>
      <c r="W26" s="30" t="inlineStr">
        <is>
          <t>At Large</t>
        </is>
      </c>
      <c r="X26" s="31" t="n"/>
      <c r="Y26" s="35" t="inlineStr">
        <is>
          <t>Y</t>
        </is>
      </c>
      <c r="Z26" s="35" t="inlineStr">
        <is>
          <t>Y</t>
        </is>
      </c>
      <c r="AA26" s="35" t="inlineStr">
        <is>
          <t>Y</t>
        </is>
      </c>
      <c r="AB26" s="35" t="inlineStr">
        <is>
          <t>Y</t>
        </is>
      </c>
      <c r="AC26" s="35" t="inlineStr">
        <is>
          <t>Y</t>
        </is>
      </c>
      <c r="AD26" s="35" t="inlineStr">
        <is>
          <t>Y</t>
        </is>
      </c>
      <c r="AE26" s="35" t="inlineStr">
        <is>
          <t>Y</t>
        </is>
      </c>
      <c r="AF26" s="35" t="inlineStr">
        <is>
          <t>Y</t>
        </is>
      </c>
      <c r="AG26" s="36">
        <f>IF(A26="","",IF(V26&lt;&gt;"",V26-B26,TODAY()-B26))</f>
        <v/>
      </c>
      <c r="AH26" s="36">
        <f>IF(OR(A26="",I26=""),"",MAX(0,IF(V26&lt;&gt;"",V26-I26,TODAY()-I26)))</f>
        <v/>
      </c>
      <c r="AI26" s="37">
        <f>IF(A26="","",IF(OR(K26="Closed",V26&lt;&gt;""),"Closed",IF(AH26&gt;=AgeCrit,"Critical",IF(AH26&gt;=AgeFu,"For Follow-up",IF(AH26&gt;=AgeMonitor,"Monitor","Within Standard")))))</f>
        <v/>
      </c>
      <c r="AJ26" s="38">
        <f>IF(A26="","",IFERROR(INDEX(StgPct,MATCH(H26,StgList,0)),0))</f>
        <v/>
      </c>
      <c r="AK26" s="38">
        <f>IF(A26="","",IFERROR(COUNTIF(Y26:AF26,"Y")/(COUNTIF(Y26:AF26,"Y")+COUNTIF(Y26:AF26,"N")),0))</f>
        <v/>
      </c>
      <c r="AL26" s="36">
        <f>IF(OR(A26="",X26=""),"",MAX(0,IF(V26&lt;&gt;"",V26,TODAY())-X26))</f>
        <v/>
      </c>
      <c r="AM26" s="32" t="inlineStr">
        <is>
          <t>Accused jumped bail; conviction in absentia recorded, records endorsed to court.</t>
        </is>
      </c>
      <c r="AN26" s="33">
        <f>IF(A26="","",LOWER(AI26)&amp;"|"&amp;AH26&amp;"|"&amp;AJ26&amp;"|"&amp;AK26)</f>
        <v/>
      </c>
      <c r="AO26" s="33">
        <f>IF(OR(A26="",T26=""),"",T26-TODAY())</f>
        <v/>
      </c>
      <c r="AP26" s="33">
        <f>IF(OR(A26="",V26&lt;&gt;""),"",(TODAY()-B26)+ROW()/1000000)</f>
        <v/>
      </c>
    </row>
    <row r="27" ht="27" customHeight="1">
      <c r="A27" s="30" t="inlineStr">
        <is>
          <t>CC-2026-0025</t>
        </is>
      </c>
      <c r="B27" s="31" t="n">
        <v>46241</v>
      </c>
      <c r="C27" s="32" t="inlineStr">
        <is>
          <t>People of the Philippines v. Rodrigo Basco y Naval</t>
        </is>
      </c>
      <c r="D27" s="32" t="inlineStr">
        <is>
          <t>CCC (name withheld)</t>
        </is>
      </c>
      <c r="E27" s="32" t="inlineStr">
        <is>
          <t>Rodrigo Basco y Naval</t>
        </is>
      </c>
      <c r="F27" s="32" t="inlineStr">
        <is>
          <t>Acts of Lasciviousness</t>
        </is>
      </c>
      <c r="G27" s="33">
        <f>IF(A27="","",IFERROR(INDEX(OffCat,MATCH(F27,OffList,0)),"Unlisted"))</f>
        <v/>
      </c>
      <c r="H27" s="30" t="inlineStr">
        <is>
          <t>Arraignment</t>
        </is>
      </c>
      <c r="I27" s="31" t="n">
        <v>46288</v>
      </c>
      <c r="J27" s="34" t="inlineStr">
        <is>
          <t>High</t>
        </is>
      </c>
      <c r="K27" s="34" t="inlineStr">
        <is>
          <t>Active</t>
        </is>
      </c>
      <c r="L27" s="34" t="inlineStr">
        <is>
          <t>Pending</t>
        </is>
      </c>
      <c r="M27" s="30" t="inlineStr">
        <is>
          <t>Municipal Trial Court</t>
        </is>
      </c>
      <c r="N27" s="30" t="inlineStr">
        <is>
          <t>MTC-2026-0701</t>
        </is>
      </c>
      <c r="O27" s="30" t="inlineStr">
        <is>
          <t>Atty. M. Fernandez</t>
        </is>
      </c>
      <c r="P27" s="30" t="inlineStr">
        <is>
          <t>Barangay 5</t>
        </is>
      </c>
      <c r="Q27" s="31" t="n">
        <v>46206</v>
      </c>
      <c r="R27" s="31" t="n">
        <v>46241</v>
      </c>
      <c r="S27" s="31" t="n">
        <v>46276</v>
      </c>
      <c r="T27" s="31" t="n">
        <v>46327</v>
      </c>
      <c r="U27" s="31" t="n">
        <v>46288</v>
      </c>
      <c r="V27" s="31" t="n"/>
      <c r="W27" s="30" t="inlineStr">
        <is>
          <t>In Custody - No Bail</t>
        </is>
      </c>
      <c r="X27" s="31" t="n">
        <v>46241</v>
      </c>
      <c r="Y27" s="35" t="inlineStr">
        <is>
          <t>Y</t>
        </is>
      </c>
      <c r="Z27" s="35" t="inlineStr">
        <is>
          <t>Y</t>
        </is>
      </c>
      <c r="AA27" s="35" t="inlineStr">
        <is>
          <t>N</t>
        </is>
      </c>
      <c r="AB27" s="35" t="inlineStr">
        <is>
          <t>Y</t>
        </is>
      </c>
      <c r="AC27" s="35" t="inlineStr">
        <is>
          <t>Y</t>
        </is>
      </c>
      <c r="AD27" s="35" t="inlineStr">
        <is>
          <t>N</t>
        </is>
      </c>
      <c r="AE27" s="35" t="inlineStr">
        <is>
          <t>Y</t>
        </is>
      </c>
      <c r="AF27" s="35" t="inlineStr">
        <is>
          <t>N</t>
        </is>
      </c>
      <c r="AG27" s="36">
        <f>IF(A27="","",IF(V27&lt;&gt;"",V27-B27,TODAY()-B27))</f>
        <v/>
      </c>
      <c r="AH27" s="36">
        <f>IF(OR(A27="",I27=""),"",MAX(0,IF(V27&lt;&gt;"",V27-I27,TODAY()-I27)))</f>
        <v/>
      </c>
      <c r="AI27" s="37">
        <f>IF(A27="","",IF(OR(K27="Closed",V27&lt;&gt;""),"Closed",IF(AH27&gt;=AgeCrit,"Critical",IF(AH27&gt;=AgeFu,"For Follow-up",IF(AH27&gt;=AgeMonitor,"Monitor","Within Standard")))))</f>
        <v/>
      </c>
      <c r="AJ27" s="38">
        <f>IF(A27="","",IFERROR(INDEX(StgPct,MATCH(H27,StgList,0)),0))</f>
        <v/>
      </c>
      <c r="AK27" s="38">
        <f>IF(A27="","",IFERROR(COUNTIF(Y27:AF27,"Y")/(COUNTIF(Y27:AF27,"Y")+COUNTIF(Y27:AF27,"N")),0))</f>
        <v/>
      </c>
      <c r="AL27" s="36">
        <f>IF(OR(A27="",X27=""),"",MAX(0,IF(V27&lt;&gt;"",V27,TODAY())-X27))</f>
        <v/>
      </c>
      <c r="AM27" s="32" t="inlineStr">
        <is>
          <t>Accused entered not guilty plea; pre-trial conference scheduled.</t>
        </is>
      </c>
      <c r="AN27" s="33">
        <f>IF(A27="","",LOWER(AI27)&amp;"|"&amp;AH27&amp;"|"&amp;AJ27&amp;"|"&amp;AK27)</f>
        <v/>
      </c>
      <c r="AO27" s="33">
        <f>IF(OR(A27="",T27=""),"",T27-TODAY())</f>
        <v/>
      </c>
      <c r="AP27" s="33">
        <f>IF(OR(A27="",V27&lt;&gt;""),"",(TODAY()-B27)+ROW()/1000000)</f>
        <v/>
      </c>
    </row>
    <row r="28" ht="27" customHeight="1">
      <c r="A28" s="30" t="inlineStr">
        <is>
          <t>CC-2026-0026</t>
        </is>
      </c>
      <c r="B28" s="31" t="n">
        <v>45666</v>
      </c>
      <c r="C28" s="32" t="inlineStr">
        <is>
          <t>People of the Philippines v. San Isidro Agro-Industrial Corp. (resp. reps.)</t>
        </is>
      </c>
      <c r="D28" s="32" t="inlineStr">
        <is>
          <t>DENR - EMB Region III</t>
        </is>
      </c>
      <c r="E28" s="32" t="inlineStr">
        <is>
          <t>San Isidro Agro-Industrial Corp.</t>
        </is>
      </c>
      <c r="F28" s="32" t="inlineStr">
        <is>
          <t>Violation of Clean Water Act</t>
        </is>
      </c>
      <c r="G28" s="33">
        <f>IF(A28="","",IFERROR(INDEX(OffCat,MATCH(F28,OffList,0)),"Unlisted"))</f>
        <v/>
      </c>
      <c r="H28" s="30" t="inlineStr">
        <is>
          <t>Trial</t>
        </is>
      </c>
      <c r="I28" s="31" t="n">
        <v>45796</v>
      </c>
      <c r="J28" s="34" t="inlineStr">
        <is>
          <t>Low</t>
        </is>
      </c>
      <c r="K28" s="34" t="inlineStr">
        <is>
          <t>Dormant</t>
        </is>
      </c>
      <c r="L28" s="34" t="inlineStr">
        <is>
          <t>Pending</t>
        </is>
      </c>
      <c r="M28" s="30" t="inlineStr">
        <is>
          <t>Regional Trial Court</t>
        </is>
      </c>
      <c r="N28" s="30" t="inlineStr">
        <is>
          <t>RTC-2024-0512</t>
        </is>
      </c>
      <c r="O28" s="30" t="inlineStr">
        <is>
          <t>Investigator L. Gomez</t>
        </is>
      </c>
      <c r="P28" s="30" t="inlineStr">
        <is>
          <t>Outside Jurisdiction</t>
        </is>
      </c>
      <c r="Q28" s="31" t="n">
        <v>45616</v>
      </c>
      <c r="R28" s="31" t="n">
        <v>45666</v>
      </c>
      <c r="S28" s="31" t="n">
        <v>45716</v>
      </c>
      <c r="T28" s="31" t="n"/>
      <c r="U28" s="31" t="n">
        <v>45796</v>
      </c>
      <c r="V28" s="31" t="n"/>
      <c r="W28" s="30" t="inlineStr">
        <is>
          <t>At Large</t>
        </is>
      </c>
      <c r="X28" s="31" t="n"/>
      <c r="Y28" s="35" t="inlineStr">
        <is>
          <t>Y</t>
        </is>
      </c>
      <c r="Z28" s="35" t="inlineStr">
        <is>
          <t>Y</t>
        </is>
      </c>
      <c r="AA28" s="35" t="inlineStr">
        <is>
          <t>N</t>
        </is>
      </c>
      <c r="AB28" s="35" t="inlineStr">
        <is>
          <t>Y</t>
        </is>
      </c>
      <c r="AC28" s="35" t="inlineStr">
        <is>
          <t>N</t>
        </is>
      </c>
      <c r="AD28" s="35" t="inlineStr">
        <is>
          <t>N</t>
        </is>
      </c>
      <c r="AE28" s="35" t="inlineStr">
        <is>
          <t>N</t>
        </is>
      </c>
      <c r="AF28" s="35" t="inlineStr">
        <is>
          <t>N</t>
        </is>
      </c>
      <c r="AG28" s="36">
        <f>IF(A28="","",IF(V28&lt;&gt;"",V28-B28,TODAY()-B28))</f>
        <v/>
      </c>
      <c r="AH28" s="36">
        <f>IF(OR(A28="",I28=""),"",MAX(0,IF(V28&lt;&gt;"",V28-I28,TODAY()-I28)))</f>
        <v/>
      </c>
      <c r="AI28" s="37">
        <f>IF(A28="","",IF(OR(K28="Closed",V28&lt;&gt;""),"Closed",IF(AH28&gt;=AgeCrit,"Critical",IF(AH28&gt;=AgeFu,"For Follow-up",IF(AH28&gt;=AgeMonitor,"Monitor","Within Standard")))))</f>
        <v/>
      </c>
      <c r="AJ28" s="38">
        <f>IF(A28="","",IFERROR(INDEX(StgPct,MATCH(H28,StgList,0)),0))</f>
        <v/>
      </c>
      <c r="AK28" s="38">
        <f>IF(A28="","",IFERROR(COUNTIF(Y28:AF28,"Y")/(COUNTIF(Y28:AF28,"Y")+COUNTIF(Y28:AF28,"N")),0))</f>
        <v/>
      </c>
      <c r="AL28" s="36">
        <f>IF(OR(A28="",X28=""),"",MAX(0,IF(V28&lt;&gt;"",V28,TODAY())-X28))</f>
        <v/>
      </c>
      <c r="AM28" s="32" t="inlineStr">
        <is>
          <t>Dormant - accused cannot be located. Recommend archival review.</t>
        </is>
      </c>
      <c r="AN28" s="33">
        <f>IF(A28="","",LOWER(AI28)&amp;"|"&amp;AH28&amp;"|"&amp;AJ28&amp;"|"&amp;AK28)</f>
        <v/>
      </c>
      <c r="AO28" s="33">
        <f>IF(OR(A28="",T28=""),"",T28-TODAY())</f>
        <v/>
      </c>
      <c r="AP28" s="33">
        <f>IF(OR(A28="",V28&lt;&gt;""),"",(TODAY()-B28)+ROW()/1000000)</f>
        <v/>
      </c>
    </row>
    <row r="29" ht="27" customHeight="1">
      <c r="A29" s="30" t="n"/>
      <c r="B29" s="31" t="n"/>
      <c r="C29" s="32" t="n"/>
      <c r="D29" s="32" t="n"/>
      <c r="E29" s="32" t="n"/>
      <c r="F29" s="32" t="n"/>
      <c r="G29" s="33">
        <f>IF(A29="","",IFERROR(INDEX(OffCat,MATCH(F29,OffList,0)),"Unlisted"))</f>
        <v/>
      </c>
      <c r="H29" s="30" t="n"/>
      <c r="I29" s="31" t="n"/>
      <c r="J29" s="34" t="n"/>
      <c r="K29" s="34" t="n"/>
      <c r="L29" s="34" t="n"/>
      <c r="M29" s="30" t="n"/>
      <c r="N29" s="30" t="n"/>
      <c r="O29" s="30" t="n"/>
      <c r="P29" s="30" t="n"/>
      <c r="Q29" s="31" t="n"/>
      <c r="R29" s="31" t="n"/>
      <c r="S29" s="31" t="n"/>
      <c r="T29" s="31" t="n"/>
      <c r="U29" s="31" t="n"/>
      <c r="V29" s="31" t="n"/>
      <c r="W29" s="30" t="n"/>
      <c r="X29" s="31" t="n"/>
      <c r="Y29" s="35" t="n"/>
      <c r="Z29" s="35" t="n"/>
      <c r="AA29" s="35" t="n"/>
      <c r="AB29" s="35" t="n"/>
      <c r="AC29" s="35" t="n"/>
      <c r="AD29" s="35" t="n"/>
      <c r="AE29" s="35" t="n"/>
      <c r="AF29" s="35" t="n"/>
      <c r="AG29" s="36">
        <f>IF(A29="","",IF(V29&lt;&gt;"",V29-B29,TODAY()-B29))</f>
        <v/>
      </c>
      <c r="AH29" s="36">
        <f>IF(OR(A29="",I29=""),"",MAX(0,IF(V29&lt;&gt;"",V29-I29,TODAY()-I29)))</f>
        <v/>
      </c>
      <c r="AI29" s="37">
        <f>IF(A29="","",IF(OR(K29="Closed",V29&lt;&gt;""),"Closed",IF(AH29&gt;=AgeCrit,"Critical",IF(AH29&gt;=AgeFu,"For Follow-up",IF(AH29&gt;=AgeMonitor,"Monitor","Within Standard")))))</f>
        <v/>
      </c>
      <c r="AJ29" s="38">
        <f>IF(A29="","",IFERROR(INDEX(StgPct,MATCH(H29,StgList,0)),0))</f>
        <v/>
      </c>
      <c r="AK29" s="38">
        <f>IF(A29="","",IFERROR(COUNTIF(Y29:AF29,"Y")/(COUNTIF(Y29:AF29,"Y")+COUNTIF(Y29:AF29,"N")),0))</f>
        <v/>
      </c>
      <c r="AL29" s="36">
        <f>IF(OR(A29="",X29=""),"",MAX(0,IF(V29&lt;&gt;"",V29,TODAY())-X29))</f>
        <v/>
      </c>
      <c r="AM29" s="32" t="n"/>
      <c r="AN29" s="33">
        <f>IF(A29="","",LOWER(AI29)&amp;"|"&amp;AH29&amp;"|"&amp;AJ29&amp;"|"&amp;AK29)</f>
        <v/>
      </c>
      <c r="AO29" s="33">
        <f>IF(OR(A29="",T29=""),"",T29-TODAY())</f>
        <v/>
      </c>
      <c r="AP29" s="33">
        <f>IF(OR(A29="",V29&lt;&gt;""),"",(TODAY()-B29)+ROW()/1000000)</f>
        <v/>
      </c>
    </row>
    <row r="30" ht="27" customHeight="1">
      <c r="A30" s="30" t="n"/>
      <c r="B30" s="31" t="n"/>
      <c r="C30" s="32" t="n"/>
      <c r="D30" s="32" t="n"/>
      <c r="E30" s="32" t="n"/>
      <c r="F30" s="32" t="n"/>
      <c r="G30" s="33">
        <f>IF(A30="","",IFERROR(INDEX(OffCat,MATCH(F30,OffList,0)),"Unlisted"))</f>
        <v/>
      </c>
      <c r="H30" s="30" t="n"/>
      <c r="I30" s="31" t="n"/>
      <c r="J30" s="34" t="n"/>
      <c r="K30" s="34" t="n"/>
      <c r="L30" s="34" t="n"/>
      <c r="M30" s="30" t="n"/>
      <c r="N30" s="30" t="n"/>
      <c r="O30" s="30" t="n"/>
      <c r="P30" s="30" t="n"/>
      <c r="Q30" s="31" t="n"/>
      <c r="R30" s="31" t="n"/>
      <c r="S30" s="31" t="n"/>
      <c r="T30" s="31" t="n"/>
      <c r="U30" s="31" t="n"/>
      <c r="V30" s="31" t="n"/>
      <c r="W30" s="30" t="n"/>
      <c r="X30" s="31" t="n"/>
      <c r="Y30" s="35" t="n"/>
      <c r="Z30" s="35" t="n"/>
      <c r="AA30" s="35" t="n"/>
      <c r="AB30" s="35" t="n"/>
      <c r="AC30" s="35" t="n"/>
      <c r="AD30" s="35" t="n"/>
      <c r="AE30" s="35" t="n"/>
      <c r="AF30" s="35" t="n"/>
      <c r="AG30" s="36">
        <f>IF(A30="","",IF(V30&lt;&gt;"",V30-B30,TODAY()-B30))</f>
        <v/>
      </c>
      <c r="AH30" s="36">
        <f>IF(OR(A30="",I30=""),"",MAX(0,IF(V30&lt;&gt;"",V30-I30,TODAY()-I30)))</f>
        <v/>
      </c>
      <c r="AI30" s="37">
        <f>IF(A30="","",IF(OR(K30="Closed",V30&lt;&gt;""),"Closed",IF(AH30&gt;=AgeCrit,"Critical",IF(AH30&gt;=AgeFu,"For Follow-up",IF(AH30&gt;=AgeMonitor,"Monitor","Within Standard")))))</f>
        <v/>
      </c>
      <c r="AJ30" s="38">
        <f>IF(A30="","",IFERROR(INDEX(StgPct,MATCH(H30,StgList,0)),0))</f>
        <v/>
      </c>
      <c r="AK30" s="38">
        <f>IF(A30="","",IFERROR(COUNTIF(Y30:AF30,"Y")/(COUNTIF(Y30:AF30,"Y")+COUNTIF(Y30:AF30,"N")),0))</f>
        <v/>
      </c>
      <c r="AL30" s="36">
        <f>IF(OR(A30="",X30=""),"",MAX(0,IF(V30&lt;&gt;"",V30,TODAY())-X30))</f>
        <v/>
      </c>
      <c r="AM30" s="32" t="n"/>
      <c r="AN30" s="33">
        <f>IF(A30="","",LOWER(AI30)&amp;"|"&amp;AH30&amp;"|"&amp;AJ30&amp;"|"&amp;AK30)</f>
        <v/>
      </c>
      <c r="AO30" s="33">
        <f>IF(OR(A30="",T30=""),"",T30-TODAY())</f>
        <v/>
      </c>
      <c r="AP30" s="33">
        <f>IF(OR(A30="",V30&lt;&gt;""),"",(TODAY()-B30)+ROW()/1000000)</f>
        <v/>
      </c>
    </row>
    <row r="31" ht="27" customHeight="1">
      <c r="A31" s="30" t="n"/>
      <c r="B31" s="31" t="n"/>
      <c r="C31" s="32" t="n"/>
      <c r="D31" s="32" t="n"/>
      <c r="E31" s="32" t="n"/>
      <c r="F31" s="32" t="n"/>
      <c r="G31" s="33">
        <f>IF(A31="","",IFERROR(INDEX(OffCat,MATCH(F31,OffList,0)),"Unlisted"))</f>
        <v/>
      </c>
      <c r="H31" s="30" t="n"/>
      <c r="I31" s="31" t="n"/>
      <c r="J31" s="34" t="n"/>
      <c r="K31" s="34" t="n"/>
      <c r="L31" s="34" t="n"/>
      <c r="M31" s="30" t="n"/>
      <c r="N31" s="30" t="n"/>
      <c r="O31" s="30" t="n"/>
      <c r="P31" s="30" t="n"/>
      <c r="Q31" s="31" t="n"/>
      <c r="R31" s="31" t="n"/>
      <c r="S31" s="31" t="n"/>
      <c r="T31" s="31" t="n"/>
      <c r="U31" s="31" t="n"/>
      <c r="V31" s="31" t="n"/>
      <c r="W31" s="30" t="n"/>
      <c r="X31" s="31" t="n"/>
      <c r="Y31" s="35" t="n"/>
      <c r="Z31" s="35" t="n"/>
      <c r="AA31" s="35" t="n"/>
      <c r="AB31" s="35" t="n"/>
      <c r="AC31" s="35" t="n"/>
      <c r="AD31" s="35" t="n"/>
      <c r="AE31" s="35" t="n"/>
      <c r="AF31" s="35" t="n"/>
      <c r="AG31" s="36">
        <f>IF(A31="","",IF(V31&lt;&gt;"",V31-B31,TODAY()-B31))</f>
        <v/>
      </c>
      <c r="AH31" s="36">
        <f>IF(OR(A31="",I31=""),"",MAX(0,IF(V31&lt;&gt;"",V31-I31,TODAY()-I31)))</f>
        <v/>
      </c>
      <c r="AI31" s="37">
        <f>IF(A31="","",IF(OR(K31="Closed",V31&lt;&gt;""),"Closed",IF(AH31&gt;=AgeCrit,"Critical",IF(AH31&gt;=AgeFu,"For Follow-up",IF(AH31&gt;=AgeMonitor,"Monitor","Within Standard")))))</f>
        <v/>
      </c>
      <c r="AJ31" s="38">
        <f>IF(A31="","",IFERROR(INDEX(StgPct,MATCH(H31,StgList,0)),0))</f>
        <v/>
      </c>
      <c r="AK31" s="38">
        <f>IF(A31="","",IFERROR(COUNTIF(Y31:AF31,"Y")/(COUNTIF(Y31:AF31,"Y")+COUNTIF(Y31:AF31,"N")),0))</f>
        <v/>
      </c>
      <c r="AL31" s="36">
        <f>IF(OR(A31="",X31=""),"",MAX(0,IF(V31&lt;&gt;"",V31,TODAY())-X31))</f>
        <v/>
      </c>
      <c r="AM31" s="32" t="n"/>
      <c r="AN31" s="33">
        <f>IF(A31="","",LOWER(AI31)&amp;"|"&amp;AH31&amp;"|"&amp;AJ31&amp;"|"&amp;AK31)</f>
        <v/>
      </c>
      <c r="AO31" s="33">
        <f>IF(OR(A31="",T31=""),"",T31-TODAY())</f>
        <v/>
      </c>
      <c r="AP31" s="33">
        <f>IF(OR(A31="",V31&lt;&gt;""),"",(TODAY()-B31)+ROW()/1000000)</f>
        <v/>
      </c>
    </row>
    <row r="32" ht="27" customHeight="1">
      <c r="A32" s="30" t="n"/>
      <c r="B32" s="31" t="n"/>
      <c r="C32" s="32" t="n"/>
      <c r="D32" s="32" t="n"/>
      <c r="E32" s="32" t="n"/>
      <c r="F32" s="32" t="n"/>
      <c r="G32" s="33">
        <f>IF(A32="","",IFERROR(INDEX(OffCat,MATCH(F32,OffList,0)),"Unlisted"))</f>
        <v/>
      </c>
      <c r="H32" s="30" t="n"/>
      <c r="I32" s="31" t="n"/>
      <c r="J32" s="34" t="n"/>
      <c r="K32" s="34" t="n"/>
      <c r="L32" s="34" t="n"/>
      <c r="M32" s="30" t="n"/>
      <c r="N32" s="30" t="n"/>
      <c r="O32" s="30" t="n"/>
      <c r="P32" s="30" t="n"/>
      <c r="Q32" s="31" t="n"/>
      <c r="R32" s="31" t="n"/>
      <c r="S32" s="31" t="n"/>
      <c r="T32" s="31" t="n"/>
      <c r="U32" s="31" t="n"/>
      <c r="V32" s="31" t="n"/>
      <c r="W32" s="30" t="n"/>
      <c r="X32" s="31" t="n"/>
      <c r="Y32" s="35" t="n"/>
      <c r="Z32" s="35" t="n"/>
      <c r="AA32" s="35" t="n"/>
      <c r="AB32" s="35" t="n"/>
      <c r="AC32" s="35" t="n"/>
      <c r="AD32" s="35" t="n"/>
      <c r="AE32" s="35" t="n"/>
      <c r="AF32" s="35" t="n"/>
      <c r="AG32" s="36">
        <f>IF(A32="","",IF(V32&lt;&gt;"",V32-B32,TODAY()-B32))</f>
        <v/>
      </c>
      <c r="AH32" s="36">
        <f>IF(OR(A32="",I32=""),"",MAX(0,IF(V32&lt;&gt;"",V32-I32,TODAY()-I32)))</f>
        <v/>
      </c>
      <c r="AI32" s="37">
        <f>IF(A32="","",IF(OR(K32="Closed",V32&lt;&gt;""),"Closed",IF(AH32&gt;=AgeCrit,"Critical",IF(AH32&gt;=AgeFu,"For Follow-up",IF(AH32&gt;=AgeMonitor,"Monitor","Within Standard")))))</f>
        <v/>
      </c>
      <c r="AJ32" s="38">
        <f>IF(A32="","",IFERROR(INDEX(StgPct,MATCH(H32,StgList,0)),0))</f>
        <v/>
      </c>
      <c r="AK32" s="38">
        <f>IF(A32="","",IFERROR(COUNTIF(Y32:AF32,"Y")/(COUNTIF(Y32:AF32,"Y")+COUNTIF(Y32:AF32,"N")),0))</f>
        <v/>
      </c>
      <c r="AL32" s="36">
        <f>IF(OR(A32="",X32=""),"",MAX(0,IF(V32&lt;&gt;"",V32,TODAY())-X32))</f>
        <v/>
      </c>
      <c r="AM32" s="32" t="n"/>
      <c r="AN32" s="33">
        <f>IF(A32="","",LOWER(AI32)&amp;"|"&amp;AH32&amp;"|"&amp;AJ32&amp;"|"&amp;AK32)</f>
        <v/>
      </c>
      <c r="AO32" s="33">
        <f>IF(OR(A32="",T32=""),"",T32-TODAY())</f>
        <v/>
      </c>
      <c r="AP32" s="33">
        <f>IF(OR(A32="",V32&lt;&gt;""),"",(TODAY()-B32)+ROW()/1000000)</f>
        <v/>
      </c>
    </row>
    <row r="33" ht="27" customHeight="1">
      <c r="A33" s="30" t="n"/>
      <c r="B33" s="31" t="n"/>
      <c r="C33" s="32" t="n"/>
      <c r="D33" s="32" t="n"/>
      <c r="E33" s="32" t="n"/>
      <c r="F33" s="32" t="n"/>
      <c r="G33" s="33">
        <f>IF(A33="","",IFERROR(INDEX(OffCat,MATCH(F33,OffList,0)),"Unlisted"))</f>
        <v/>
      </c>
      <c r="H33" s="30" t="n"/>
      <c r="I33" s="31" t="n"/>
      <c r="J33" s="34" t="n"/>
      <c r="K33" s="34" t="n"/>
      <c r="L33" s="34" t="n"/>
      <c r="M33" s="30" t="n"/>
      <c r="N33" s="30" t="n"/>
      <c r="O33" s="30" t="n"/>
      <c r="P33" s="30" t="n"/>
      <c r="Q33" s="31" t="n"/>
      <c r="R33" s="31" t="n"/>
      <c r="S33" s="31" t="n"/>
      <c r="T33" s="31" t="n"/>
      <c r="U33" s="31" t="n"/>
      <c r="V33" s="31" t="n"/>
      <c r="W33" s="30" t="n"/>
      <c r="X33" s="31" t="n"/>
      <c r="Y33" s="35" t="n"/>
      <c r="Z33" s="35" t="n"/>
      <c r="AA33" s="35" t="n"/>
      <c r="AB33" s="35" t="n"/>
      <c r="AC33" s="35" t="n"/>
      <c r="AD33" s="35" t="n"/>
      <c r="AE33" s="35" t="n"/>
      <c r="AF33" s="35" t="n"/>
      <c r="AG33" s="36">
        <f>IF(A33="","",IF(V33&lt;&gt;"",V33-B33,TODAY()-B33))</f>
        <v/>
      </c>
      <c r="AH33" s="36">
        <f>IF(OR(A33="",I33=""),"",MAX(0,IF(V33&lt;&gt;"",V33-I33,TODAY()-I33)))</f>
        <v/>
      </c>
      <c r="AI33" s="37">
        <f>IF(A33="","",IF(OR(K33="Closed",V33&lt;&gt;""),"Closed",IF(AH33&gt;=AgeCrit,"Critical",IF(AH33&gt;=AgeFu,"For Follow-up",IF(AH33&gt;=AgeMonitor,"Monitor","Within Standard")))))</f>
        <v/>
      </c>
      <c r="AJ33" s="38">
        <f>IF(A33="","",IFERROR(INDEX(StgPct,MATCH(H33,StgList,0)),0))</f>
        <v/>
      </c>
      <c r="AK33" s="38">
        <f>IF(A33="","",IFERROR(COUNTIF(Y33:AF33,"Y")/(COUNTIF(Y33:AF33,"Y")+COUNTIF(Y33:AF33,"N")),0))</f>
        <v/>
      </c>
      <c r="AL33" s="36">
        <f>IF(OR(A33="",X33=""),"",MAX(0,IF(V33&lt;&gt;"",V33,TODAY())-X33))</f>
        <v/>
      </c>
      <c r="AM33" s="32" t="n"/>
      <c r="AN33" s="33">
        <f>IF(A33="","",LOWER(AI33)&amp;"|"&amp;AH33&amp;"|"&amp;AJ33&amp;"|"&amp;AK33)</f>
        <v/>
      </c>
      <c r="AO33" s="33">
        <f>IF(OR(A33="",T33=""),"",T33-TODAY())</f>
        <v/>
      </c>
      <c r="AP33" s="33">
        <f>IF(OR(A33="",V33&lt;&gt;""),"",(TODAY()-B33)+ROW()/1000000)</f>
        <v/>
      </c>
    </row>
    <row r="34" ht="27" customHeight="1">
      <c r="A34" s="30" t="n"/>
      <c r="B34" s="31" t="n"/>
      <c r="C34" s="32" t="n"/>
      <c r="D34" s="32" t="n"/>
      <c r="E34" s="32" t="n"/>
      <c r="F34" s="32" t="n"/>
      <c r="G34" s="33">
        <f>IF(A34="","",IFERROR(INDEX(OffCat,MATCH(F34,OffList,0)),"Unlisted"))</f>
        <v/>
      </c>
      <c r="H34" s="30" t="n"/>
      <c r="I34" s="31" t="n"/>
      <c r="J34" s="34" t="n"/>
      <c r="K34" s="34" t="n"/>
      <c r="L34" s="34" t="n"/>
      <c r="M34" s="30" t="n"/>
      <c r="N34" s="30" t="n"/>
      <c r="O34" s="30" t="n"/>
      <c r="P34" s="30" t="n"/>
      <c r="Q34" s="31" t="n"/>
      <c r="R34" s="31" t="n"/>
      <c r="S34" s="31" t="n"/>
      <c r="T34" s="31" t="n"/>
      <c r="U34" s="31" t="n"/>
      <c r="V34" s="31" t="n"/>
      <c r="W34" s="30" t="n"/>
      <c r="X34" s="31" t="n"/>
      <c r="Y34" s="35" t="n"/>
      <c r="Z34" s="35" t="n"/>
      <c r="AA34" s="35" t="n"/>
      <c r="AB34" s="35" t="n"/>
      <c r="AC34" s="35" t="n"/>
      <c r="AD34" s="35" t="n"/>
      <c r="AE34" s="35" t="n"/>
      <c r="AF34" s="35" t="n"/>
      <c r="AG34" s="36">
        <f>IF(A34="","",IF(V34&lt;&gt;"",V34-B34,TODAY()-B34))</f>
        <v/>
      </c>
      <c r="AH34" s="36">
        <f>IF(OR(A34="",I34=""),"",MAX(0,IF(V34&lt;&gt;"",V34-I34,TODAY()-I34)))</f>
        <v/>
      </c>
      <c r="AI34" s="37">
        <f>IF(A34="","",IF(OR(K34="Closed",V34&lt;&gt;""),"Closed",IF(AH34&gt;=AgeCrit,"Critical",IF(AH34&gt;=AgeFu,"For Follow-up",IF(AH34&gt;=AgeMonitor,"Monitor","Within Standard")))))</f>
        <v/>
      </c>
      <c r="AJ34" s="38">
        <f>IF(A34="","",IFERROR(INDEX(StgPct,MATCH(H34,StgList,0)),0))</f>
        <v/>
      </c>
      <c r="AK34" s="38">
        <f>IF(A34="","",IFERROR(COUNTIF(Y34:AF34,"Y")/(COUNTIF(Y34:AF34,"Y")+COUNTIF(Y34:AF34,"N")),0))</f>
        <v/>
      </c>
      <c r="AL34" s="36">
        <f>IF(OR(A34="",X34=""),"",MAX(0,IF(V34&lt;&gt;"",V34,TODAY())-X34))</f>
        <v/>
      </c>
      <c r="AM34" s="32" t="n"/>
      <c r="AN34" s="33">
        <f>IF(A34="","",LOWER(AI34)&amp;"|"&amp;AH34&amp;"|"&amp;AJ34&amp;"|"&amp;AK34)</f>
        <v/>
      </c>
      <c r="AO34" s="33">
        <f>IF(OR(A34="",T34=""),"",T34-TODAY())</f>
        <v/>
      </c>
      <c r="AP34" s="33">
        <f>IF(OR(A34="",V34&lt;&gt;""),"",(TODAY()-B34)+ROW()/1000000)</f>
        <v/>
      </c>
    </row>
    <row r="35" ht="27" customHeight="1">
      <c r="A35" s="30" t="n"/>
      <c r="B35" s="31" t="n"/>
      <c r="C35" s="32" t="n"/>
      <c r="D35" s="32" t="n"/>
      <c r="E35" s="32" t="n"/>
      <c r="F35" s="32" t="n"/>
      <c r="G35" s="33">
        <f>IF(A35="","",IFERROR(INDEX(OffCat,MATCH(F35,OffList,0)),"Unlisted"))</f>
        <v/>
      </c>
      <c r="H35" s="30" t="n"/>
      <c r="I35" s="31" t="n"/>
      <c r="J35" s="34" t="n"/>
      <c r="K35" s="34" t="n"/>
      <c r="L35" s="34" t="n"/>
      <c r="M35" s="30" t="n"/>
      <c r="N35" s="30" t="n"/>
      <c r="O35" s="30" t="n"/>
      <c r="P35" s="30" t="n"/>
      <c r="Q35" s="31" t="n"/>
      <c r="R35" s="31" t="n"/>
      <c r="S35" s="31" t="n"/>
      <c r="T35" s="31" t="n"/>
      <c r="U35" s="31" t="n"/>
      <c r="V35" s="31" t="n"/>
      <c r="W35" s="30" t="n"/>
      <c r="X35" s="31" t="n"/>
      <c r="Y35" s="35" t="n"/>
      <c r="Z35" s="35" t="n"/>
      <c r="AA35" s="35" t="n"/>
      <c r="AB35" s="35" t="n"/>
      <c r="AC35" s="35" t="n"/>
      <c r="AD35" s="35" t="n"/>
      <c r="AE35" s="35" t="n"/>
      <c r="AF35" s="35" t="n"/>
      <c r="AG35" s="36">
        <f>IF(A35="","",IF(V35&lt;&gt;"",V35-B35,TODAY()-B35))</f>
        <v/>
      </c>
      <c r="AH35" s="36">
        <f>IF(OR(A35="",I35=""),"",MAX(0,IF(V35&lt;&gt;"",V35-I35,TODAY()-I35)))</f>
        <v/>
      </c>
      <c r="AI35" s="37">
        <f>IF(A35="","",IF(OR(K35="Closed",V35&lt;&gt;""),"Closed",IF(AH35&gt;=AgeCrit,"Critical",IF(AH35&gt;=AgeFu,"For Follow-up",IF(AH35&gt;=AgeMonitor,"Monitor","Within Standard")))))</f>
        <v/>
      </c>
      <c r="AJ35" s="38">
        <f>IF(A35="","",IFERROR(INDEX(StgPct,MATCH(H35,StgList,0)),0))</f>
        <v/>
      </c>
      <c r="AK35" s="38">
        <f>IF(A35="","",IFERROR(COUNTIF(Y35:AF35,"Y")/(COUNTIF(Y35:AF35,"Y")+COUNTIF(Y35:AF35,"N")),0))</f>
        <v/>
      </c>
      <c r="AL35" s="36">
        <f>IF(OR(A35="",X35=""),"",MAX(0,IF(V35&lt;&gt;"",V35,TODAY())-X35))</f>
        <v/>
      </c>
      <c r="AM35" s="32" t="n"/>
      <c r="AN35" s="33">
        <f>IF(A35="","",LOWER(AI35)&amp;"|"&amp;AH35&amp;"|"&amp;AJ35&amp;"|"&amp;AK35)</f>
        <v/>
      </c>
      <c r="AO35" s="33">
        <f>IF(OR(A35="",T35=""),"",T35-TODAY())</f>
        <v/>
      </c>
      <c r="AP35" s="33">
        <f>IF(OR(A35="",V35&lt;&gt;""),"",(TODAY()-B35)+ROW()/1000000)</f>
        <v/>
      </c>
    </row>
    <row r="36" ht="27" customHeight="1">
      <c r="A36" s="30" t="n"/>
      <c r="B36" s="31" t="n"/>
      <c r="C36" s="32" t="n"/>
      <c r="D36" s="32" t="n"/>
      <c r="E36" s="32" t="n"/>
      <c r="F36" s="32" t="n"/>
      <c r="G36" s="33">
        <f>IF(A36="","",IFERROR(INDEX(OffCat,MATCH(F36,OffList,0)),"Unlisted"))</f>
        <v/>
      </c>
      <c r="H36" s="30" t="n"/>
      <c r="I36" s="31" t="n"/>
      <c r="J36" s="34" t="n"/>
      <c r="K36" s="34" t="n"/>
      <c r="L36" s="34" t="n"/>
      <c r="M36" s="30" t="n"/>
      <c r="N36" s="30" t="n"/>
      <c r="O36" s="30" t="n"/>
      <c r="P36" s="30" t="n"/>
      <c r="Q36" s="31" t="n"/>
      <c r="R36" s="31" t="n"/>
      <c r="S36" s="31" t="n"/>
      <c r="T36" s="31" t="n"/>
      <c r="U36" s="31" t="n"/>
      <c r="V36" s="31" t="n"/>
      <c r="W36" s="30" t="n"/>
      <c r="X36" s="31" t="n"/>
      <c r="Y36" s="35" t="n"/>
      <c r="Z36" s="35" t="n"/>
      <c r="AA36" s="35" t="n"/>
      <c r="AB36" s="35" t="n"/>
      <c r="AC36" s="35" t="n"/>
      <c r="AD36" s="35" t="n"/>
      <c r="AE36" s="35" t="n"/>
      <c r="AF36" s="35" t="n"/>
      <c r="AG36" s="36">
        <f>IF(A36="","",IF(V36&lt;&gt;"",V36-B36,TODAY()-B36))</f>
        <v/>
      </c>
      <c r="AH36" s="36">
        <f>IF(OR(A36="",I36=""),"",MAX(0,IF(V36&lt;&gt;"",V36-I36,TODAY()-I36)))</f>
        <v/>
      </c>
      <c r="AI36" s="37">
        <f>IF(A36="","",IF(OR(K36="Closed",V36&lt;&gt;""),"Closed",IF(AH36&gt;=AgeCrit,"Critical",IF(AH36&gt;=AgeFu,"For Follow-up",IF(AH36&gt;=AgeMonitor,"Monitor","Within Standard")))))</f>
        <v/>
      </c>
      <c r="AJ36" s="38">
        <f>IF(A36="","",IFERROR(INDEX(StgPct,MATCH(H36,StgList,0)),0))</f>
        <v/>
      </c>
      <c r="AK36" s="38">
        <f>IF(A36="","",IFERROR(COUNTIF(Y36:AF36,"Y")/(COUNTIF(Y36:AF36,"Y")+COUNTIF(Y36:AF36,"N")),0))</f>
        <v/>
      </c>
      <c r="AL36" s="36">
        <f>IF(OR(A36="",X36=""),"",MAX(0,IF(V36&lt;&gt;"",V36,TODAY())-X36))</f>
        <v/>
      </c>
      <c r="AM36" s="32" t="n"/>
      <c r="AN36" s="33">
        <f>IF(A36="","",LOWER(AI36)&amp;"|"&amp;AH36&amp;"|"&amp;AJ36&amp;"|"&amp;AK36)</f>
        <v/>
      </c>
      <c r="AO36" s="33">
        <f>IF(OR(A36="",T36=""),"",T36-TODAY())</f>
        <v/>
      </c>
      <c r="AP36" s="33">
        <f>IF(OR(A36="",V36&lt;&gt;""),"",(TODAY()-B36)+ROW()/1000000)</f>
        <v/>
      </c>
    </row>
    <row r="37" ht="27" customHeight="1">
      <c r="A37" s="30" t="n"/>
      <c r="B37" s="31" t="n"/>
      <c r="C37" s="32" t="n"/>
      <c r="D37" s="32" t="n"/>
      <c r="E37" s="32" t="n"/>
      <c r="F37" s="32" t="n"/>
      <c r="G37" s="33">
        <f>IF(A37="","",IFERROR(INDEX(OffCat,MATCH(F37,OffList,0)),"Unlisted"))</f>
        <v/>
      </c>
      <c r="H37" s="30" t="n"/>
      <c r="I37" s="31" t="n"/>
      <c r="J37" s="34" t="n"/>
      <c r="K37" s="34" t="n"/>
      <c r="L37" s="34" t="n"/>
      <c r="M37" s="30" t="n"/>
      <c r="N37" s="30" t="n"/>
      <c r="O37" s="30" t="n"/>
      <c r="P37" s="30" t="n"/>
      <c r="Q37" s="31" t="n"/>
      <c r="R37" s="31" t="n"/>
      <c r="S37" s="31" t="n"/>
      <c r="T37" s="31" t="n"/>
      <c r="U37" s="31" t="n"/>
      <c r="V37" s="31" t="n"/>
      <c r="W37" s="30" t="n"/>
      <c r="X37" s="31" t="n"/>
      <c r="Y37" s="35" t="n"/>
      <c r="Z37" s="35" t="n"/>
      <c r="AA37" s="35" t="n"/>
      <c r="AB37" s="35" t="n"/>
      <c r="AC37" s="35" t="n"/>
      <c r="AD37" s="35" t="n"/>
      <c r="AE37" s="35" t="n"/>
      <c r="AF37" s="35" t="n"/>
      <c r="AG37" s="36">
        <f>IF(A37="","",IF(V37&lt;&gt;"",V37-B37,TODAY()-B37))</f>
        <v/>
      </c>
      <c r="AH37" s="36">
        <f>IF(OR(A37="",I37=""),"",MAX(0,IF(V37&lt;&gt;"",V37-I37,TODAY()-I37)))</f>
        <v/>
      </c>
      <c r="AI37" s="37">
        <f>IF(A37="","",IF(OR(K37="Closed",V37&lt;&gt;""),"Closed",IF(AH37&gt;=AgeCrit,"Critical",IF(AH37&gt;=AgeFu,"For Follow-up",IF(AH37&gt;=AgeMonitor,"Monitor","Within Standard")))))</f>
        <v/>
      </c>
      <c r="AJ37" s="38">
        <f>IF(A37="","",IFERROR(INDEX(StgPct,MATCH(H37,StgList,0)),0))</f>
        <v/>
      </c>
      <c r="AK37" s="38">
        <f>IF(A37="","",IFERROR(COUNTIF(Y37:AF37,"Y")/(COUNTIF(Y37:AF37,"Y")+COUNTIF(Y37:AF37,"N")),0))</f>
        <v/>
      </c>
      <c r="AL37" s="36">
        <f>IF(OR(A37="",X37=""),"",MAX(0,IF(V37&lt;&gt;"",V37,TODAY())-X37))</f>
        <v/>
      </c>
      <c r="AM37" s="32" t="n"/>
      <c r="AN37" s="33">
        <f>IF(A37="","",LOWER(AI37)&amp;"|"&amp;AH37&amp;"|"&amp;AJ37&amp;"|"&amp;AK37)</f>
        <v/>
      </c>
      <c r="AO37" s="33">
        <f>IF(OR(A37="",T37=""),"",T37-TODAY())</f>
        <v/>
      </c>
      <c r="AP37" s="33">
        <f>IF(OR(A37="",V37&lt;&gt;""),"",(TODAY()-B37)+ROW()/1000000)</f>
        <v/>
      </c>
    </row>
    <row r="38" ht="27" customHeight="1">
      <c r="A38" s="30" t="n"/>
      <c r="B38" s="31" t="n"/>
      <c r="C38" s="32" t="n"/>
      <c r="D38" s="32" t="n"/>
      <c r="E38" s="32" t="n"/>
      <c r="F38" s="32" t="n"/>
      <c r="G38" s="33">
        <f>IF(A38="","",IFERROR(INDEX(OffCat,MATCH(F38,OffList,0)),"Unlisted"))</f>
        <v/>
      </c>
      <c r="H38" s="30" t="n"/>
      <c r="I38" s="31" t="n"/>
      <c r="J38" s="34" t="n"/>
      <c r="K38" s="34" t="n"/>
      <c r="L38" s="34" t="n"/>
      <c r="M38" s="30" t="n"/>
      <c r="N38" s="30" t="n"/>
      <c r="O38" s="30" t="n"/>
      <c r="P38" s="30" t="n"/>
      <c r="Q38" s="31" t="n"/>
      <c r="R38" s="31" t="n"/>
      <c r="S38" s="31" t="n"/>
      <c r="T38" s="31" t="n"/>
      <c r="U38" s="31" t="n"/>
      <c r="V38" s="31" t="n"/>
      <c r="W38" s="30" t="n"/>
      <c r="X38" s="31" t="n"/>
      <c r="Y38" s="35" t="n"/>
      <c r="Z38" s="35" t="n"/>
      <c r="AA38" s="35" t="n"/>
      <c r="AB38" s="35" t="n"/>
      <c r="AC38" s="35" t="n"/>
      <c r="AD38" s="35" t="n"/>
      <c r="AE38" s="35" t="n"/>
      <c r="AF38" s="35" t="n"/>
      <c r="AG38" s="36">
        <f>IF(A38="","",IF(V38&lt;&gt;"",V38-B38,TODAY()-B38))</f>
        <v/>
      </c>
      <c r="AH38" s="36">
        <f>IF(OR(A38="",I38=""),"",MAX(0,IF(V38&lt;&gt;"",V38-I38,TODAY()-I38)))</f>
        <v/>
      </c>
      <c r="AI38" s="37">
        <f>IF(A38="","",IF(OR(K38="Closed",V38&lt;&gt;""),"Closed",IF(AH38&gt;=AgeCrit,"Critical",IF(AH38&gt;=AgeFu,"For Follow-up",IF(AH38&gt;=AgeMonitor,"Monitor","Within Standard")))))</f>
        <v/>
      </c>
      <c r="AJ38" s="38">
        <f>IF(A38="","",IFERROR(INDEX(StgPct,MATCH(H38,StgList,0)),0))</f>
        <v/>
      </c>
      <c r="AK38" s="38">
        <f>IF(A38="","",IFERROR(COUNTIF(Y38:AF38,"Y")/(COUNTIF(Y38:AF38,"Y")+COUNTIF(Y38:AF38,"N")),0))</f>
        <v/>
      </c>
      <c r="AL38" s="36">
        <f>IF(OR(A38="",X38=""),"",MAX(0,IF(V38&lt;&gt;"",V38,TODAY())-X38))</f>
        <v/>
      </c>
      <c r="AM38" s="32" t="n"/>
      <c r="AN38" s="33">
        <f>IF(A38="","",LOWER(AI38)&amp;"|"&amp;AH38&amp;"|"&amp;AJ38&amp;"|"&amp;AK38)</f>
        <v/>
      </c>
      <c r="AO38" s="33">
        <f>IF(OR(A38="",T38=""),"",T38-TODAY())</f>
        <v/>
      </c>
      <c r="AP38" s="33">
        <f>IF(OR(A38="",V38&lt;&gt;""),"",(TODAY()-B38)+ROW()/1000000)</f>
        <v/>
      </c>
    </row>
    <row r="39" ht="27" customHeight="1">
      <c r="A39" s="30" t="n"/>
      <c r="B39" s="31" t="n"/>
      <c r="C39" s="32" t="n"/>
      <c r="D39" s="32" t="n"/>
      <c r="E39" s="32" t="n"/>
      <c r="F39" s="32" t="n"/>
      <c r="G39" s="33">
        <f>IF(A39="","",IFERROR(INDEX(OffCat,MATCH(F39,OffList,0)),"Unlisted"))</f>
        <v/>
      </c>
      <c r="H39" s="30" t="n"/>
      <c r="I39" s="31" t="n"/>
      <c r="J39" s="34" t="n"/>
      <c r="K39" s="34" t="n"/>
      <c r="L39" s="34" t="n"/>
      <c r="M39" s="30" t="n"/>
      <c r="N39" s="30" t="n"/>
      <c r="O39" s="30" t="n"/>
      <c r="P39" s="30" t="n"/>
      <c r="Q39" s="31" t="n"/>
      <c r="R39" s="31" t="n"/>
      <c r="S39" s="31" t="n"/>
      <c r="T39" s="31" t="n"/>
      <c r="U39" s="31" t="n"/>
      <c r="V39" s="31" t="n"/>
      <c r="W39" s="30" t="n"/>
      <c r="X39" s="31" t="n"/>
      <c r="Y39" s="35" t="n"/>
      <c r="Z39" s="35" t="n"/>
      <c r="AA39" s="35" t="n"/>
      <c r="AB39" s="35" t="n"/>
      <c r="AC39" s="35" t="n"/>
      <c r="AD39" s="35" t="n"/>
      <c r="AE39" s="35" t="n"/>
      <c r="AF39" s="35" t="n"/>
      <c r="AG39" s="36">
        <f>IF(A39="","",IF(V39&lt;&gt;"",V39-B39,TODAY()-B39))</f>
        <v/>
      </c>
      <c r="AH39" s="36">
        <f>IF(OR(A39="",I39=""),"",MAX(0,IF(V39&lt;&gt;"",V39-I39,TODAY()-I39)))</f>
        <v/>
      </c>
      <c r="AI39" s="37">
        <f>IF(A39="","",IF(OR(K39="Closed",V39&lt;&gt;""),"Closed",IF(AH39&gt;=AgeCrit,"Critical",IF(AH39&gt;=AgeFu,"For Follow-up",IF(AH39&gt;=AgeMonitor,"Monitor","Within Standard")))))</f>
        <v/>
      </c>
      <c r="AJ39" s="38">
        <f>IF(A39="","",IFERROR(INDEX(StgPct,MATCH(H39,StgList,0)),0))</f>
        <v/>
      </c>
      <c r="AK39" s="38">
        <f>IF(A39="","",IFERROR(COUNTIF(Y39:AF39,"Y")/(COUNTIF(Y39:AF39,"Y")+COUNTIF(Y39:AF39,"N")),0))</f>
        <v/>
      </c>
      <c r="AL39" s="36">
        <f>IF(OR(A39="",X39=""),"",MAX(0,IF(V39&lt;&gt;"",V39,TODAY())-X39))</f>
        <v/>
      </c>
      <c r="AM39" s="32" t="n"/>
      <c r="AN39" s="33">
        <f>IF(A39="","",LOWER(AI39)&amp;"|"&amp;AH39&amp;"|"&amp;AJ39&amp;"|"&amp;AK39)</f>
        <v/>
      </c>
      <c r="AO39" s="33">
        <f>IF(OR(A39="",T39=""),"",T39-TODAY())</f>
        <v/>
      </c>
      <c r="AP39" s="33">
        <f>IF(OR(A39="",V39&lt;&gt;""),"",(TODAY()-B39)+ROW()/1000000)</f>
        <v/>
      </c>
    </row>
    <row r="40" ht="27" customHeight="1">
      <c r="A40" s="30" t="n"/>
      <c r="B40" s="31" t="n"/>
      <c r="C40" s="32" t="n"/>
      <c r="D40" s="32" t="n"/>
      <c r="E40" s="32" t="n"/>
      <c r="F40" s="32" t="n"/>
      <c r="G40" s="33">
        <f>IF(A40="","",IFERROR(INDEX(OffCat,MATCH(F40,OffList,0)),"Unlisted"))</f>
        <v/>
      </c>
      <c r="H40" s="30" t="n"/>
      <c r="I40" s="31" t="n"/>
      <c r="J40" s="34" t="n"/>
      <c r="K40" s="34" t="n"/>
      <c r="L40" s="34" t="n"/>
      <c r="M40" s="30" t="n"/>
      <c r="N40" s="30" t="n"/>
      <c r="O40" s="30" t="n"/>
      <c r="P40" s="30" t="n"/>
      <c r="Q40" s="31" t="n"/>
      <c r="R40" s="31" t="n"/>
      <c r="S40" s="31" t="n"/>
      <c r="T40" s="31" t="n"/>
      <c r="U40" s="31" t="n"/>
      <c r="V40" s="31" t="n"/>
      <c r="W40" s="30" t="n"/>
      <c r="X40" s="31" t="n"/>
      <c r="Y40" s="35" t="n"/>
      <c r="Z40" s="35" t="n"/>
      <c r="AA40" s="35" t="n"/>
      <c r="AB40" s="35" t="n"/>
      <c r="AC40" s="35" t="n"/>
      <c r="AD40" s="35" t="n"/>
      <c r="AE40" s="35" t="n"/>
      <c r="AF40" s="35" t="n"/>
      <c r="AG40" s="36">
        <f>IF(A40="","",IF(V40&lt;&gt;"",V40-B40,TODAY()-B40))</f>
        <v/>
      </c>
      <c r="AH40" s="36">
        <f>IF(OR(A40="",I40=""),"",MAX(0,IF(V40&lt;&gt;"",V40-I40,TODAY()-I40)))</f>
        <v/>
      </c>
      <c r="AI40" s="37">
        <f>IF(A40="","",IF(OR(K40="Closed",V40&lt;&gt;""),"Closed",IF(AH40&gt;=AgeCrit,"Critical",IF(AH40&gt;=AgeFu,"For Follow-up",IF(AH40&gt;=AgeMonitor,"Monitor","Within Standard")))))</f>
        <v/>
      </c>
      <c r="AJ40" s="38">
        <f>IF(A40="","",IFERROR(INDEX(StgPct,MATCH(H40,StgList,0)),0))</f>
        <v/>
      </c>
      <c r="AK40" s="38">
        <f>IF(A40="","",IFERROR(COUNTIF(Y40:AF40,"Y")/(COUNTIF(Y40:AF40,"Y")+COUNTIF(Y40:AF40,"N")),0))</f>
        <v/>
      </c>
      <c r="AL40" s="36">
        <f>IF(OR(A40="",X40=""),"",MAX(0,IF(V40&lt;&gt;"",V40,TODAY())-X40))</f>
        <v/>
      </c>
      <c r="AM40" s="32" t="n"/>
      <c r="AN40" s="33">
        <f>IF(A40="","",LOWER(AI40)&amp;"|"&amp;AH40&amp;"|"&amp;AJ40&amp;"|"&amp;AK40)</f>
        <v/>
      </c>
      <c r="AO40" s="33">
        <f>IF(OR(A40="",T40=""),"",T40-TODAY())</f>
        <v/>
      </c>
      <c r="AP40" s="33">
        <f>IF(OR(A40="",V40&lt;&gt;""),"",(TODAY()-B40)+ROW()/1000000)</f>
        <v/>
      </c>
    </row>
    <row r="41" ht="27" customHeight="1">
      <c r="A41" s="30" t="n"/>
      <c r="B41" s="31" t="n"/>
      <c r="C41" s="32" t="n"/>
      <c r="D41" s="32" t="n"/>
      <c r="E41" s="32" t="n"/>
      <c r="F41" s="32" t="n"/>
      <c r="G41" s="33">
        <f>IF(A41="","",IFERROR(INDEX(OffCat,MATCH(F41,OffList,0)),"Unlisted"))</f>
        <v/>
      </c>
      <c r="H41" s="30" t="n"/>
      <c r="I41" s="31" t="n"/>
      <c r="J41" s="34" t="n"/>
      <c r="K41" s="34" t="n"/>
      <c r="L41" s="34" t="n"/>
      <c r="M41" s="30" t="n"/>
      <c r="N41" s="30" t="n"/>
      <c r="O41" s="30" t="n"/>
      <c r="P41" s="30" t="n"/>
      <c r="Q41" s="31" t="n"/>
      <c r="R41" s="31" t="n"/>
      <c r="S41" s="31" t="n"/>
      <c r="T41" s="31" t="n"/>
      <c r="U41" s="31" t="n"/>
      <c r="V41" s="31" t="n"/>
      <c r="W41" s="30" t="n"/>
      <c r="X41" s="31" t="n"/>
      <c r="Y41" s="35" t="n"/>
      <c r="Z41" s="35" t="n"/>
      <c r="AA41" s="35" t="n"/>
      <c r="AB41" s="35" t="n"/>
      <c r="AC41" s="35" t="n"/>
      <c r="AD41" s="35" t="n"/>
      <c r="AE41" s="35" t="n"/>
      <c r="AF41" s="35" t="n"/>
      <c r="AG41" s="36">
        <f>IF(A41="","",IF(V41&lt;&gt;"",V41-B41,TODAY()-B41))</f>
        <v/>
      </c>
      <c r="AH41" s="36">
        <f>IF(OR(A41="",I41=""),"",MAX(0,IF(V41&lt;&gt;"",V41-I41,TODAY()-I41)))</f>
        <v/>
      </c>
      <c r="AI41" s="37">
        <f>IF(A41="","",IF(OR(K41="Closed",V41&lt;&gt;""),"Closed",IF(AH41&gt;=AgeCrit,"Critical",IF(AH41&gt;=AgeFu,"For Follow-up",IF(AH41&gt;=AgeMonitor,"Monitor","Within Standard")))))</f>
        <v/>
      </c>
      <c r="AJ41" s="38">
        <f>IF(A41="","",IFERROR(INDEX(StgPct,MATCH(H41,StgList,0)),0))</f>
        <v/>
      </c>
      <c r="AK41" s="38">
        <f>IF(A41="","",IFERROR(COUNTIF(Y41:AF41,"Y")/(COUNTIF(Y41:AF41,"Y")+COUNTIF(Y41:AF41,"N")),0))</f>
        <v/>
      </c>
      <c r="AL41" s="36">
        <f>IF(OR(A41="",X41=""),"",MAX(0,IF(V41&lt;&gt;"",V41,TODAY())-X41))</f>
        <v/>
      </c>
      <c r="AM41" s="32" t="n"/>
      <c r="AN41" s="33">
        <f>IF(A41="","",LOWER(AI41)&amp;"|"&amp;AH41&amp;"|"&amp;AJ41&amp;"|"&amp;AK41)</f>
        <v/>
      </c>
      <c r="AO41" s="33">
        <f>IF(OR(A41="",T41=""),"",T41-TODAY())</f>
        <v/>
      </c>
      <c r="AP41" s="33">
        <f>IF(OR(A41="",V41&lt;&gt;""),"",(TODAY()-B41)+ROW()/1000000)</f>
        <v/>
      </c>
    </row>
    <row r="42" ht="27" customHeight="1">
      <c r="A42" s="30" t="n"/>
      <c r="B42" s="31" t="n"/>
      <c r="C42" s="32" t="n"/>
      <c r="D42" s="32" t="n"/>
      <c r="E42" s="32" t="n"/>
      <c r="F42" s="32" t="n"/>
      <c r="G42" s="33">
        <f>IF(A42="","",IFERROR(INDEX(OffCat,MATCH(F42,OffList,0)),"Unlisted"))</f>
        <v/>
      </c>
      <c r="H42" s="30" t="n"/>
      <c r="I42" s="31" t="n"/>
      <c r="J42" s="34" t="n"/>
      <c r="K42" s="34" t="n"/>
      <c r="L42" s="34" t="n"/>
      <c r="M42" s="30" t="n"/>
      <c r="N42" s="30" t="n"/>
      <c r="O42" s="30" t="n"/>
      <c r="P42" s="30" t="n"/>
      <c r="Q42" s="31" t="n"/>
      <c r="R42" s="31" t="n"/>
      <c r="S42" s="31" t="n"/>
      <c r="T42" s="31" t="n"/>
      <c r="U42" s="31" t="n"/>
      <c r="V42" s="31" t="n"/>
      <c r="W42" s="30" t="n"/>
      <c r="X42" s="31" t="n"/>
      <c r="Y42" s="35" t="n"/>
      <c r="Z42" s="35" t="n"/>
      <c r="AA42" s="35" t="n"/>
      <c r="AB42" s="35" t="n"/>
      <c r="AC42" s="35" t="n"/>
      <c r="AD42" s="35" t="n"/>
      <c r="AE42" s="35" t="n"/>
      <c r="AF42" s="35" t="n"/>
      <c r="AG42" s="36">
        <f>IF(A42="","",IF(V42&lt;&gt;"",V42-B42,TODAY()-B42))</f>
        <v/>
      </c>
      <c r="AH42" s="36">
        <f>IF(OR(A42="",I42=""),"",MAX(0,IF(V42&lt;&gt;"",V42-I42,TODAY()-I42)))</f>
        <v/>
      </c>
      <c r="AI42" s="37">
        <f>IF(A42="","",IF(OR(K42="Closed",V42&lt;&gt;""),"Closed",IF(AH42&gt;=AgeCrit,"Critical",IF(AH42&gt;=AgeFu,"For Follow-up",IF(AH42&gt;=AgeMonitor,"Monitor","Within Standard")))))</f>
        <v/>
      </c>
      <c r="AJ42" s="38">
        <f>IF(A42="","",IFERROR(INDEX(StgPct,MATCH(H42,StgList,0)),0))</f>
        <v/>
      </c>
      <c r="AK42" s="38">
        <f>IF(A42="","",IFERROR(COUNTIF(Y42:AF42,"Y")/(COUNTIF(Y42:AF42,"Y")+COUNTIF(Y42:AF42,"N")),0))</f>
        <v/>
      </c>
      <c r="AL42" s="36">
        <f>IF(OR(A42="",X42=""),"",MAX(0,IF(V42&lt;&gt;"",V42,TODAY())-X42))</f>
        <v/>
      </c>
      <c r="AM42" s="32" t="n"/>
      <c r="AN42" s="33">
        <f>IF(A42="","",LOWER(AI42)&amp;"|"&amp;AH42&amp;"|"&amp;AJ42&amp;"|"&amp;AK42)</f>
        <v/>
      </c>
      <c r="AO42" s="33">
        <f>IF(OR(A42="",T42=""),"",T42-TODAY())</f>
        <v/>
      </c>
      <c r="AP42" s="33">
        <f>IF(OR(A42="",V42&lt;&gt;""),"",(TODAY()-B42)+ROW()/1000000)</f>
        <v/>
      </c>
    </row>
    <row r="43" ht="27" customHeight="1">
      <c r="A43" s="30" t="n"/>
      <c r="B43" s="31" t="n"/>
      <c r="C43" s="32" t="n"/>
      <c r="D43" s="32" t="n"/>
      <c r="E43" s="32" t="n"/>
      <c r="F43" s="32" t="n"/>
      <c r="G43" s="33">
        <f>IF(A43="","",IFERROR(INDEX(OffCat,MATCH(F43,OffList,0)),"Unlisted"))</f>
        <v/>
      </c>
      <c r="H43" s="30" t="n"/>
      <c r="I43" s="31" t="n"/>
      <c r="J43" s="34" t="n"/>
      <c r="K43" s="34" t="n"/>
      <c r="L43" s="34" t="n"/>
      <c r="M43" s="30" t="n"/>
      <c r="N43" s="30" t="n"/>
      <c r="O43" s="30" t="n"/>
      <c r="P43" s="30" t="n"/>
      <c r="Q43" s="31" t="n"/>
      <c r="R43" s="31" t="n"/>
      <c r="S43" s="31" t="n"/>
      <c r="T43" s="31" t="n"/>
      <c r="U43" s="31" t="n"/>
      <c r="V43" s="31" t="n"/>
      <c r="W43" s="30" t="n"/>
      <c r="X43" s="31" t="n"/>
      <c r="Y43" s="35" t="n"/>
      <c r="Z43" s="35" t="n"/>
      <c r="AA43" s="35" t="n"/>
      <c r="AB43" s="35" t="n"/>
      <c r="AC43" s="35" t="n"/>
      <c r="AD43" s="35" t="n"/>
      <c r="AE43" s="35" t="n"/>
      <c r="AF43" s="35" t="n"/>
      <c r="AG43" s="36">
        <f>IF(A43="","",IF(V43&lt;&gt;"",V43-B43,TODAY()-B43))</f>
        <v/>
      </c>
      <c r="AH43" s="36">
        <f>IF(OR(A43="",I43=""),"",MAX(0,IF(V43&lt;&gt;"",V43-I43,TODAY()-I43)))</f>
        <v/>
      </c>
      <c r="AI43" s="37">
        <f>IF(A43="","",IF(OR(K43="Closed",V43&lt;&gt;""),"Closed",IF(AH43&gt;=AgeCrit,"Critical",IF(AH43&gt;=AgeFu,"For Follow-up",IF(AH43&gt;=AgeMonitor,"Monitor","Within Standard")))))</f>
        <v/>
      </c>
      <c r="AJ43" s="38">
        <f>IF(A43="","",IFERROR(INDEX(StgPct,MATCH(H43,StgList,0)),0))</f>
        <v/>
      </c>
      <c r="AK43" s="38">
        <f>IF(A43="","",IFERROR(COUNTIF(Y43:AF43,"Y")/(COUNTIF(Y43:AF43,"Y")+COUNTIF(Y43:AF43,"N")),0))</f>
        <v/>
      </c>
      <c r="AL43" s="36">
        <f>IF(OR(A43="",X43=""),"",MAX(0,IF(V43&lt;&gt;"",V43,TODAY())-X43))</f>
        <v/>
      </c>
      <c r="AM43" s="32" t="n"/>
      <c r="AN43" s="33">
        <f>IF(A43="","",LOWER(AI43)&amp;"|"&amp;AH43&amp;"|"&amp;AJ43&amp;"|"&amp;AK43)</f>
        <v/>
      </c>
      <c r="AO43" s="33">
        <f>IF(OR(A43="",T43=""),"",T43-TODAY())</f>
        <v/>
      </c>
      <c r="AP43" s="33">
        <f>IF(OR(A43="",V43&lt;&gt;""),"",(TODAY()-B43)+ROW()/1000000)</f>
        <v/>
      </c>
    </row>
    <row r="44" ht="27" customHeight="1">
      <c r="A44" s="30" t="n"/>
      <c r="B44" s="31" t="n"/>
      <c r="C44" s="32" t="n"/>
      <c r="D44" s="32" t="n"/>
      <c r="E44" s="32" t="n"/>
      <c r="F44" s="32" t="n"/>
      <c r="G44" s="33">
        <f>IF(A44="","",IFERROR(INDEX(OffCat,MATCH(F44,OffList,0)),"Unlisted"))</f>
        <v/>
      </c>
      <c r="H44" s="30" t="n"/>
      <c r="I44" s="31" t="n"/>
      <c r="J44" s="34" t="n"/>
      <c r="K44" s="34" t="n"/>
      <c r="L44" s="34" t="n"/>
      <c r="M44" s="30" t="n"/>
      <c r="N44" s="30" t="n"/>
      <c r="O44" s="30" t="n"/>
      <c r="P44" s="30" t="n"/>
      <c r="Q44" s="31" t="n"/>
      <c r="R44" s="31" t="n"/>
      <c r="S44" s="31" t="n"/>
      <c r="T44" s="31" t="n"/>
      <c r="U44" s="31" t="n"/>
      <c r="V44" s="31" t="n"/>
      <c r="W44" s="30" t="n"/>
      <c r="X44" s="31" t="n"/>
      <c r="Y44" s="35" t="n"/>
      <c r="Z44" s="35" t="n"/>
      <c r="AA44" s="35" t="n"/>
      <c r="AB44" s="35" t="n"/>
      <c r="AC44" s="35" t="n"/>
      <c r="AD44" s="35" t="n"/>
      <c r="AE44" s="35" t="n"/>
      <c r="AF44" s="35" t="n"/>
      <c r="AG44" s="36">
        <f>IF(A44="","",IF(V44&lt;&gt;"",V44-B44,TODAY()-B44))</f>
        <v/>
      </c>
      <c r="AH44" s="36">
        <f>IF(OR(A44="",I44=""),"",MAX(0,IF(V44&lt;&gt;"",V44-I44,TODAY()-I44)))</f>
        <v/>
      </c>
      <c r="AI44" s="37">
        <f>IF(A44="","",IF(OR(K44="Closed",V44&lt;&gt;""),"Closed",IF(AH44&gt;=AgeCrit,"Critical",IF(AH44&gt;=AgeFu,"For Follow-up",IF(AH44&gt;=AgeMonitor,"Monitor","Within Standard")))))</f>
        <v/>
      </c>
      <c r="AJ44" s="38">
        <f>IF(A44="","",IFERROR(INDEX(StgPct,MATCH(H44,StgList,0)),0))</f>
        <v/>
      </c>
      <c r="AK44" s="38">
        <f>IF(A44="","",IFERROR(COUNTIF(Y44:AF44,"Y")/(COUNTIF(Y44:AF44,"Y")+COUNTIF(Y44:AF44,"N")),0))</f>
        <v/>
      </c>
      <c r="AL44" s="36">
        <f>IF(OR(A44="",X44=""),"",MAX(0,IF(V44&lt;&gt;"",V44,TODAY())-X44))</f>
        <v/>
      </c>
      <c r="AM44" s="32" t="n"/>
      <c r="AN44" s="33">
        <f>IF(A44="","",LOWER(AI44)&amp;"|"&amp;AH44&amp;"|"&amp;AJ44&amp;"|"&amp;AK44)</f>
        <v/>
      </c>
      <c r="AO44" s="33">
        <f>IF(OR(A44="",T44=""),"",T44-TODAY())</f>
        <v/>
      </c>
      <c r="AP44" s="33">
        <f>IF(OR(A44="",V44&lt;&gt;""),"",(TODAY()-B44)+ROW()/1000000)</f>
        <v/>
      </c>
    </row>
    <row r="45" ht="27" customHeight="1">
      <c r="A45" s="30" t="n"/>
      <c r="B45" s="31" t="n"/>
      <c r="C45" s="32" t="n"/>
      <c r="D45" s="32" t="n"/>
      <c r="E45" s="32" t="n"/>
      <c r="F45" s="32" t="n"/>
      <c r="G45" s="33">
        <f>IF(A45="","",IFERROR(INDEX(OffCat,MATCH(F45,OffList,0)),"Unlisted"))</f>
        <v/>
      </c>
      <c r="H45" s="30" t="n"/>
      <c r="I45" s="31" t="n"/>
      <c r="J45" s="34" t="n"/>
      <c r="K45" s="34" t="n"/>
      <c r="L45" s="34" t="n"/>
      <c r="M45" s="30" t="n"/>
      <c r="N45" s="30" t="n"/>
      <c r="O45" s="30" t="n"/>
      <c r="P45" s="30" t="n"/>
      <c r="Q45" s="31" t="n"/>
      <c r="R45" s="31" t="n"/>
      <c r="S45" s="31" t="n"/>
      <c r="T45" s="31" t="n"/>
      <c r="U45" s="31" t="n"/>
      <c r="V45" s="31" t="n"/>
      <c r="W45" s="30" t="n"/>
      <c r="X45" s="31" t="n"/>
      <c r="Y45" s="35" t="n"/>
      <c r="Z45" s="35" t="n"/>
      <c r="AA45" s="35" t="n"/>
      <c r="AB45" s="35" t="n"/>
      <c r="AC45" s="35" t="n"/>
      <c r="AD45" s="35" t="n"/>
      <c r="AE45" s="35" t="n"/>
      <c r="AF45" s="35" t="n"/>
      <c r="AG45" s="36">
        <f>IF(A45="","",IF(V45&lt;&gt;"",V45-B45,TODAY()-B45))</f>
        <v/>
      </c>
      <c r="AH45" s="36">
        <f>IF(OR(A45="",I45=""),"",MAX(0,IF(V45&lt;&gt;"",V45-I45,TODAY()-I45)))</f>
        <v/>
      </c>
      <c r="AI45" s="37">
        <f>IF(A45="","",IF(OR(K45="Closed",V45&lt;&gt;""),"Closed",IF(AH45&gt;=AgeCrit,"Critical",IF(AH45&gt;=AgeFu,"For Follow-up",IF(AH45&gt;=AgeMonitor,"Monitor","Within Standard")))))</f>
        <v/>
      </c>
      <c r="AJ45" s="38">
        <f>IF(A45="","",IFERROR(INDEX(StgPct,MATCH(H45,StgList,0)),0))</f>
        <v/>
      </c>
      <c r="AK45" s="38">
        <f>IF(A45="","",IFERROR(COUNTIF(Y45:AF45,"Y")/(COUNTIF(Y45:AF45,"Y")+COUNTIF(Y45:AF45,"N")),0))</f>
        <v/>
      </c>
      <c r="AL45" s="36">
        <f>IF(OR(A45="",X45=""),"",MAX(0,IF(V45&lt;&gt;"",V45,TODAY())-X45))</f>
        <v/>
      </c>
      <c r="AM45" s="32" t="n"/>
      <c r="AN45" s="33">
        <f>IF(A45="","",LOWER(AI45)&amp;"|"&amp;AH45&amp;"|"&amp;AJ45&amp;"|"&amp;AK45)</f>
        <v/>
      </c>
      <c r="AO45" s="33">
        <f>IF(OR(A45="",T45=""),"",T45-TODAY())</f>
        <v/>
      </c>
      <c r="AP45" s="33">
        <f>IF(OR(A45="",V45&lt;&gt;""),"",(TODAY()-B45)+ROW()/1000000)</f>
        <v/>
      </c>
    </row>
    <row r="46" ht="27" customHeight="1">
      <c r="A46" s="30" t="n"/>
      <c r="B46" s="31" t="n"/>
      <c r="C46" s="32" t="n"/>
      <c r="D46" s="32" t="n"/>
      <c r="E46" s="32" t="n"/>
      <c r="F46" s="32" t="n"/>
      <c r="G46" s="33">
        <f>IF(A46="","",IFERROR(INDEX(OffCat,MATCH(F46,OffList,0)),"Unlisted"))</f>
        <v/>
      </c>
      <c r="H46" s="30" t="n"/>
      <c r="I46" s="31" t="n"/>
      <c r="J46" s="34" t="n"/>
      <c r="K46" s="34" t="n"/>
      <c r="L46" s="34" t="n"/>
      <c r="M46" s="30" t="n"/>
      <c r="N46" s="30" t="n"/>
      <c r="O46" s="30" t="n"/>
      <c r="P46" s="30" t="n"/>
      <c r="Q46" s="31" t="n"/>
      <c r="R46" s="31" t="n"/>
      <c r="S46" s="31" t="n"/>
      <c r="T46" s="31" t="n"/>
      <c r="U46" s="31" t="n"/>
      <c r="V46" s="31" t="n"/>
      <c r="W46" s="30" t="n"/>
      <c r="X46" s="31" t="n"/>
      <c r="Y46" s="35" t="n"/>
      <c r="Z46" s="35" t="n"/>
      <c r="AA46" s="35" t="n"/>
      <c r="AB46" s="35" t="n"/>
      <c r="AC46" s="35" t="n"/>
      <c r="AD46" s="35" t="n"/>
      <c r="AE46" s="35" t="n"/>
      <c r="AF46" s="35" t="n"/>
      <c r="AG46" s="36">
        <f>IF(A46="","",IF(V46&lt;&gt;"",V46-B46,TODAY()-B46))</f>
        <v/>
      </c>
      <c r="AH46" s="36">
        <f>IF(OR(A46="",I46=""),"",MAX(0,IF(V46&lt;&gt;"",V46-I46,TODAY()-I46)))</f>
        <v/>
      </c>
      <c r="AI46" s="37">
        <f>IF(A46="","",IF(OR(K46="Closed",V46&lt;&gt;""),"Closed",IF(AH46&gt;=AgeCrit,"Critical",IF(AH46&gt;=AgeFu,"For Follow-up",IF(AH46&gt;=AgeMonitor,"Monitor","Within Standard")))))</f>
        <v/>
      </c>
      <c r="AJ46" s="38">
        <f>IF(A46="","",IFERROR(INDEX(StgPct,MATCH(H46,StgList,0)),0))</f>
        <v/>
      </c>
      <c r="AK46" s="38">
        <f>IF(A46="","",IFERROR(COUNTIF(Y46:AF46,"Y")/(COUNTIF(Y46:AF46,"Y")+COUNTIF(Y46:AF46,"N")),0))</f>
        <v/>
      </c>
      <c r="AL46" s="36">
        <f>IF(OR(A46="",X46=""),"",MAX(0,IF(V46&lt;&gt;"",V46,TODAY())-X46))</f>
        <v/>
      </c>
      <c r="AM46" s="32" t="n"/>
      <c r="AN46" s="33">
        <f>IF(A46="","",LOWER(AI46)&amp;"|"&amp;AH46&amp;"|"&amp;AJ46&amp;"|"&amp;AK46)</f>
        <v/>
      </c>
      <c r="AO46" s="33">
        <f>IF(OR(A46="",T46=""),"",T46-TODAY())</f>
        <v/>
      </c>
      <c r="AP46" s="33">
        <f>IF(OR(A46="",V46&lt;&gt;""),"",(TODAY()-B46)+ROW()/1000000)</f>
        <v/>
      </c>
    </row>
    <row r="47" ht="27" customHeight="1">
      <c r="A47" s="30" t="n"/>
      <c r="B47" s="31" t="n"/>
      <c r="C47" s="32" t="n"/>
      <c r="D47" s="32" t="n"/>
      <c r="E47" s="32" t="n"/>
      <c r="F47" s="32" t="n"/>
      <c r="G47" s="33">
        <f>IF(A47="","",IFERROR(INDEX(OffCat,MATCH(F47,OffList,0)),"Unlisted"))</f>
        <v/>
      </c>
      <c r="H47" s="30" t="n"/>
      <c r="I47" s="31" t="n"/>
      <c r="J47" s="34" t="n"/>
      <c r="K47" s="34" t="n"/>
      <c r="L47" s="34" t="n"/>
      <c r="M47" s="30" t="n"/>
      <c r="N47" s="30" t="n"/>
      <c r="O47" s="30" t="n"/>
      <c r="P47" s="30" t="n"/>
      <c r="Q47" s="31" t="n"/>
      <c r="R47" s="31" t="n"/>
      <c r="S47" s="31" t="n"/>
      <c r="T47" s="31" t="n"/>
      <c r="U47" s="31" t="n"/>
      <c r="V47" s="31" t="n"/>
      <c r="W47" s="30" t="n"/>
      <c r="X47" s="31" t="n"/>
      <c r="Y47" s="35" t="n"/>
      <c r="Z47" s="35" t="n"/>
      <c r="AA47" s="35" t="n"/>
      <c r="AB47" s="35" t="n"/>
      <c r="AC47" s="35" t="n"/>
      <c r="AD47" s="35" t="n"/>
      <c r="AE47" s="35" t="n"/>
      <c r="AF47" s="35" t="n"/>
      <c r="AG47" s="36">
        <f>IF(A47="","",IF(V47&lt;&gt;"",V47-B47,TODAY()-B47))</f>
        <v/>
      </c>
      <c r="AH47" s="36">
        <f>IF(OR(A47="",I47=""),"",MAX(0,IF(V47&lt;&gt;"",V47-I47,TODAY()-I47)))</f>
        <v/>
      </c>
      <c r="AI47" s="37">
        <f>IF(A47="","",IF(OR(K47="Closed",V47&lt;&gt;""),"Closed",IF(AH47&gt;=AgeCrit,"Critical",IF(AH47&gt;=AgeFu,"For Follow-up",IF(AH47&gt;=AgeMonitor,"Monitor","Within Standard")))))</f>
        <v/>
      </c>
      <c r="AJ47" s="38">
        <f>IF(A47="","",IFERROR(INDEX(StgPct,MATCH(H47,StgList,0)),0))</f>
        <v/>
      </c>
      <c r="AK47" s="38">
        <f>IF(A47="","",IFERROR(COUNTIF(Y47:AF47,"Y")/(COUNTIF(Y47:AF47,"Y")+COUNTIF(Y47:AF47,"N")),0))</f>
        <v/>
      </c>
      <c r="AL47" s="36">
        <f>IF(OR(A47="",X47=""),"",MAX(0,IF(V47&lt;&gt;"",V47,TODAY())-X47))</f>
        <v/>
      </c>
      <c r="AM47" s="32" t="n"/>
      <c r="AN47" s="33">
        <f>IF(A47="","",LOWER(AI47)&amp;"|"&amp;AH47&amp;"|"&amp;AJ47&amp;"|"&amp;AK47)</f>
        <v/>
      </c>
      <c r="AO47" s="33">
        <f>IF(OR(A47="",T47=""),"",T47-TODAY())</f>
        <v/>
      </c>
      <c r="AP47" s="33">
        <f>IF(OR(A47="",V47&lt;&gt;""),"",(TODAY()-B47)+ROW()/1000000)</f>
        <v/>
      </c>
    </row>
    <row r="48" ht="27" customHeight="1">
      <c r="A48" s="30" t="n"/>
      <c r="B48" s="31" t="n"/>
      <c r="C48" s="32" t="n"/>
      <c r="D48" s="32" t="n"/>
      <c r="E48" s="32" t="n"/>
      <c r="F48" s="32" t="n"/>
      <c r="G48" s="33">
        <f>IF(A48="","",IFERROR(INDEX(OffCat,MATCH(F48,OffList,0)),"Unlisted"))</f>
        <v/>
      </c>
      <c r="H48" s="30" t="n"/>
      <c r="I48" s="31" t="n"/>
      <c r="J48" s="34" t="n"/>
      <c r="K48" s="34" t="n"/>
      <c r="L48" s="34" t="n"/>
      <c r="M48" s="30" t="n"/>
      <c r="N48" s="30" t="n"/>
      <c r="O48" s="30" t="n"/>
      <c r="P48" s="30" t="n"/>
      <c r="Q48" s="31" t="n"/>
      <c r="R48" s="31" t="n"/>
      <c r="S48" s="31" t="n"/>
      <c r="T48" s="31" t="n"/>
      <c r="U48" s="31" t="n"/>
      <c r="V48" s="31" t="n"/>
      <c r="W48" s="30" t="n"/>
      <c r="X48" s="31" t="n"/>
      <c r="Y48" s="35" t="n"/>
      <c r="Z48" s="35" t="n"/>
      <c r="AA48" s="35" t="n"/>
      <c r="AB48" s="35" t="n"/>
      <c r="AC48" s="35" t="n"/>
      <c r="AD48" s="35" t="n"/>
      <c r="AE48" s="35" t="n"/>
      <c r="AF48" s="35" t="n"/>
      <c r="AG48" s="36">
        <f>IF(A48="","",IF(V48&lt;&gt;"",V48-B48,TODAY()-B48))</f>
        <v/>
      </c>
      <c r="AH48" s="36">
        <f>IF(OR(A48="",I48=""),"",MAX(0,IF(V48&lt;&gt;"",V48-I48,TODAY()-I48)))</f>
        <v/>
      </c>
      <c r="AI48" s="37">
        <f>IF(A48="","",IF(OR(K48="Closed",V48&lt;&gt;""),"Closed",IF(AH48&gt;=AgeCrit,"Critical",IF(AH48&gt;=AgeFu,"For Follow-up",IF(AH48&gt;=AgeMonitor,"Monitor","Within Standard")))))</f>
        <v/>
      </c>
      <c r="AJ48" s="38">
        <f>IF(A48="","",IFERROR(INDEX(StgPct,MATCH(H48,StgList,0)),0))</f>
        <v/>
      </c>
      <c r="AK48" s="38">
        <f>IF(A48="","",IFERROR(COUNTIF(Y48:AF48,"Y")/(COUNTIF(Y48:AF48,"Y")+COUNTIF(Y48:AF48,"N")),0))</f>
        <v/>
      </c>
      <c r="AL48" s="36">
        <f>IF(OR(A48="",X48=""),"",MAX(0,IF(V48&lt;&gt;"",V48,TODAY())-X48))</f>
        <v/>
      </c>
      <c r="AM48" s="32" t="n"/>
      <c r="AN48" s="33">
        <f>IF(A48="","",LOWER(AI48)&amp;"|"&amp;AH48&amp;"|"&amp;AJ48&amp;"|"&amp;AK48)</f>
        <v/>
      </c>
      <c r="AO48" s="33">
        <f>IF(OR(A48="",T48=""),"",T48-TODAY())</f>
        <v/>
      </c>
      <c r="AP48" s="33">
        <f>IF(OR(A48="",V48&lt;&gt;""),"",(TODAY()-B48)+ROW()/1000000)</f>
        <v/>
      </c>
    </row>
    <row r="49" ht="27" customHeight="1">
      <c r="A49" s="30" t="n"/>
      <c r="B49" s="31" t="n"/>
      <c r="C49" s="32" t="n"/>
      <c r="D49" s="32" t="n"/>
      <c r="E49" s="32" t="n"/>
      <c r="F49" s="32" t="n"/>
      <c r="G49" s="33">
        <f>IF(A49="","",IFERROR(INDEX(OffCat,MATCH(F49,OffList,0)),"Unlisted"))</f>
        <v/>
      </c>
      <c r="H49" s="30" t="n"/>
      <c r="I49" s="31" t="n"/>
      <c r="J49" s="34" t="n"/>
      <c r="K49" s="34" t="n"/>
      <c r="L49" s="34" t="n"/>
      <c r="M49" s="30" t="n"/>
      <c r="N49" s="30" t="n"/>
      <c r="O49" s="30" t="n"/>
      <c r="P49" s="30" t="n"/>
      <c r="Q49" s="31" t="n"/>
      <c r="R49" s="31" t="n"/>
      <c r="S49" s="31" t="n"/>
      <c r="T49" s="31" t="n"/>
      <c r="U49" s="31" t="n"/>
      <c r="V49" s="31" t="n"/>
      <c r="W49" s="30" t="n"/>
      <c r="X49" s="31" t="n"/>
      <c r="Y49" s="35" t="n"/>
      <c r="Z49" s="35" t="n"/>
      <c r="AA49" s="35" t="n"/>
      <c r="AB49" s="35" t="n"/>
      <c r="AC49" s="35" t="n"/>
      <c r="AD49" s="35" t="n"/>
      <c r="AE49" s="35" t="n"/>
      <c r="AF49" s="35" t="n"/>
      <c r="AG49" s="36">
        <f>IF(A49="","",IF(V49&lt;&gt;"",V49-B49,TODAY()-B49))</f>
        <v/>
      </c>
      <c r="AH49" s="36">
        <f>IF(OR(A49="",I49=""),"",MAX(0,IF(V49&lt;&gt;"",V49-I49,TODAY()-I49)))</f>
        <v/>
      </c>
      <c r="AI49" s="37">
        <f>IF(A49="","",IF(OR(K49="Closed",V49&lt;&gt;""),"Closed",IF(AH49&gt;=AgeCrit,"Critical",IF(AH49&gt;=AgeFu,"For Follow-up",IF(AH49&gt;=AgeMonitor,"Monitor","Within Standard")))))</f>
        <v/>
      </c>
      <c r="AJ49" s="38">
        <f>IF(A49="","",IFERROR(INDEX(StgPct,MATCH(H49,StgList,0)),0))</f>
        <v/>
      </c>
      <c r="AK49" s="38">
        <f>IF(A49="","",IFERROR(COUNTIF(Y49:AF49,"Y")/(COUNTIF(Y49:AF49,"Y")+COUNTIF(Y49:AF49,"N")),0))</f>
        <v/>
      </c>
      <c r="AL49" s="36">
        <f>IF(OR(A49="",X49=""),"",MAX(0,IF(V49&lt;&gt;"",V49,TODAY())-X49))</f>
        <v/>
      </c>
      <c r="AM49" s="32" t="n"/>
      <c r="AN49" s="33">
        <f>IF(A49="","",LOWER(AI49)&amp;"|"&amp;AH49&amp;"|"&amp;AJ49&amp;"|"&amp;AK49)</f>
        <v/>
      </c>
      <c r="AO49" s="33">
        <f>IF(OR(A49="",T49=""),"",T49-TODAY())</f>
        <v/>
      </c>
      <c r="AP49" s="33">
        <f>IF(OR(A49="",V49&lt;&gt;""),"",(TODAY()-B49)+ROW()/1000000)</f>
        <v/>
      </c>
    </row>
    <row r="50" ht="27" customHeight="1">
      <c r="A50" s="30" t="n"/>
      <c r="B50" s="31" t="n"/>
      <c r="C50" s="32" t="n"/>
      <c r="D50" s="32" t="n"/>
      <c r="E50" s="32" t="n"/>
      <c r="F50" s="32" t="n"/>
      <c r="G50" s="33">
        <f>IF(A50="","",IFERROR(INDEX(OffCat,MATCH(F50,OffList,0)),"Unlisted"))</f>
        <v/>
      </c>
      <c r="H50" s="30" t="n"/>
      <c r="I50" s="31" t="n"/>
      <c r="J50" s="34" t="n"/>
      <c r="K50" s="34" t="n"/>
      <c r="L50" s="34" t="n"/>
      <c r="M50" s="30" t="n"/>
      <c r="N50" s="30" t="n"/>
      <c r="O50" s="30" t="n"/>
      <c r="P50" s="30" t="n"/>
      <c r="Q50" s="31" t="n"/>
      <c r="R50" s="31" t="n"/>
      <c r="S50" s="31" t="n"/>
      <c r="T50" s="31" t="n"/>
      <c r="U50" s="31" t="n"/>
      <c r="V50" s="31" t="n"/>
      <c r="W50" s="30" t="n"/>
      <c r="X50" s="31" t="n"/>
      <c r="Y50" s="35" t="n"/>
      <c r="Z50" s="35" t="n"/>
      <c r="AA50" s="35" t="n"/>
      <c r="AB50" s="35" t="n"/>
      <c r="AC50" s="35" t="n"/>
      <c r="AD50" s="35" t="n"/>
      <c r="AE50" s="35" t="n"/>
      <c r="AF50" s="35" t="n"/>
      <c r="AG50" s="36">
        <f>IF(A50="","",IF(V50&lt;&gt;"",V50-B50,TODAY()-B50))</f>
        <v/>
      </c>
      <c r="AH50" s="36">
        <f>IF(OR(A50="",I50=""),"",MAX(0,IF(V50&lt;&gt;"",V50-I50,TODAY()-I50)))</f>
        <v/>
      </c>
      <c r="AI50" s="37">
        <f>IF(A50="","",IF(OR(K50="Closed",V50&lt;&gt;""),"Closed",IF(AH50&gt;=AgeCrit,"Critical",IF(AH50&gt;=AgeFu,"For Follow-up",IF(AH50&gt;=AgeMonitor,"Monitor","Within Standard")))))</f>
        <v/>
      </c>
      <c r="AJ50" s="38">
        <f>IF(A50="","",IFERROR(INDEX(StgPct,MATCH(H50,StgList,0)),0))</f>
        <v/>
      </c>
      <c r="AK50" s="38">
        <f>IF(A50="","",IFERROR(COUNTIF(Y50:AF50,"Y")/(COUNTIF(Y50:AF50,"Y")+COUNTIF(Y50:AF50,"N")),0))</f>
        <v/>
      </c>
      <c r="AL50" s="36">
        <f>IF(OR(A50="",X50=""),"",MAX(0,IF(V50&lt;&gt;"",V50,TODAY())-X50))</f>
        <v/>
      </c>
      <c r="AM50" s="32" t="n"/>
      <c r="AN50" s="33">
        <f>IF(A50="","",LOWER(AI50)&amp;"|"&amp;AH50&amp;"|"&amp;AJ50&amp;"|"&amp;AK50)</f>
        <v/>
      </c>
      <c r="AO50" s="33">
        <f>IF(OR(A50="",T50=""),"",T50-TODAY())</f>
        <v/>
      </c>
      <c r="AP50" s="33">
        <f>IF(OR(A50="",V50&lt;&gt;""),"",(TODAY()-B50)+ROW()/1000000)</f>
        <v/>
      </c>
    </row>
    <row r="51" ht="27" customHeight="1">
      <c r="A51" s="30" t="n"/>
      <c r="B51" s="31" t="n"/>
      <c r="C51" s="32" t="n"/>
      <c r="D51" s="32" t="n"/>
      <c r="E51" s="32" t="n"/>
      <c r="F51" s="32" t="n"/>
      <c r="G51" s="33">
        <f>IF(A51="","",IFERROR(INDEX(OffCat,MATCH(F51,OffList,0)),"Unlisted"))</f>
        <v/>
      </c>
      <c r="H51" s="30" t="n"/>
      <c r="I51" s="31" t="n"/>
      <c r="J51" s="34" t="n"/>
      <c r="K51" s="34" t="n"/>
      <c r="L51" s="34" t="n"/>
      <c r="M51" s="30" t="n"/>
      <c r="N51" s="30" t="n"/>
      <c r="O51" s="30" t="n"/>
      <c r="P51" s="30" t="n"/>
      <c r="Q51" s="31" t="n"/>
      <c r="R51" s="31" t="n"/>
      <c r="S51" s="31" t="n"/>
      <c r="T51" s="31" t="n"/>
      <c r="U51" s="31" t="n"/>
      <c r="V51" s="31" t="n"/>
      <c r="W51" s="30" t="n"/>
      <c r="X51" s="31" t="n"/>
      <c r="Y51" s="35" t="n"/>
      <c r="Z51" s="35" t="n"/>
      <c r="AA51" s="35" t="n"/>
      <c r="AB51" s="35" t="n"/>
      <c r="AC51" s="35" t="n"/>
      <c r="AD51" s="35" t="n"/>
      <c r="AE51" s="35" t="n"/>
      <c r="AF51" s="35" t="n"/>
      <c r="AG51" s="36">
        <f>IF(A51="","",IF(V51&lt;&gt;"",V51-B51,TODAY()-B51))</f>
        <v/>
      </c>
      <c r="AH51" s="36">
        <f>IF(OR(A51="",I51=""),"",MAX(0,IF(V51&lt;&gt;"",V51-I51,TODAY()-I51)))</f>
        <v/>
      </c>
      <c r="AI51" s="37">
        <f>IF(A51="","",IF(OR(K51="Closed",V51&lt;&gt;""),"Closed",IF(AH51&gt;=AgeCrit,"Critical",IF(AH51&gt;=AgeFu,"For Follow-up",IF(AH51&gt;=AgeMonitor,"Monitor","Within Standard")))))</f>
        <v/>
      </c>
      <c r="AJ51" s="38">
        <f>IF(A51="","",IFERROR(INDEX(StgPct,MATCH(H51,StgList,0)),0))</f>
        <v/>
      </c>
      <c r="AK51" s="38">
        <f>IF(A51="","",IFERROR(COUNTIF(Y51:AF51,"Y")/(COUNTIF(Y51:AF51,"Y")+COUNTIF(Y51:AF51,"N")),0))</f>
        <v/>
      </c>
      <c r="AL51" s="36">
        <f>IF(OR(A51="",X51=""),"",MAX(0,IF(V51&lt;&gt;"",V51,TODAY())-X51))</f>
        <v/>
      </c>
      <c r="AM51" s="32" t="n"/>
      <c r="AN51" s="33">
        <f>IF(A51="","",LOWER(AI51)&amp;"|"&amp;AH51&amp;"|"&amp;AJ51&amp;"|"&amp;AK51)</f>
        <v/>
      </c>
      <c r="AO51" s="33">
        <f>IF(OR(A51="",T51=""),"",T51-TODAY())</f>
        <v/>
      </c>
      <c r="AP51" s="33">
        <f>IF(OR(A51="",V51&lt;&gt;""),"",(TODAY()-B51)+ROW()/1000000)</f>
        <v/>
      </c>
    </row>
    <row r="52" ht="27" customHeight="1">
      <c r="A52" s="30" t="n"/>
      <c r="B52" s="31" t="n"/>
      <c r="C52" s="32" t="n"/>
      <c r="D52" s="32" t="n"/>
      <c r="E52" s="32" t="n"/>
      <c r="F52" s="32" t="n"/>
      <c r="G52" s="33">
        <f>IF(A52="","",IFERROR(INDEX(OffCat,MATCH(F52,OffList,0)),"Unlisted"))</f>
        <v/>
      </c>
      <c r="H52" s="30" t="n"/>
      <c r="I52" s="31" t="n"/>
      <c r="J52" s="34" t="n"/>
      <c r="K52" s="34" t="n"/>
      <c r="L52" s="34" t="n"/>
      <c r="M52" s="30" t="n"/>
      <c r="N52" s="30" t="n"/>
      <c r="O52" s="30" t="n"/>
      <c r="P52" s="30" t="n"/>
      <c r="Q52" s="31" t="n"/>
      <c r="R52" s="31" t="n"/>
      <c r="S52" s="31" t="n"/>
      <c r="T52" s="31" t="n"/>
      <c r="U52" s="31" t="n"/>
      <c r="V52" s="31" t="n"/>
      <c r="W52" s="30" t="n"/>
      <c r="X52" s="31" t="n"/>
      <c r="Y52" s="35" t="n"/>
      <c r="Z52" s="35" t="n"/>
      <c r="AA52" s="35" t="n"/>
      <c r="AB52" s="35" t="n"/>
      <c r="AC52" s="35" t="n"/>
      <c r="AD52" s="35" t="n"/>
      <c r="AE52" s="35" t="n"/>
      <c r="AF52" s="35" t="n"/>
      <c r="AG52" s="36">
        <f>IF(A52="","",IF(V52&lt;&gt;"",V52-B52,TODAY()-B52))</f>
        <v/>
      </c>
      <c r="AH52" s="36">
        <f>IF(OR(A52="",I52=""),"",MAX(0,IF(V52&lt;&gt;"",V52-I52,TODAY()-I52)))</f>
        <v/>
      </c>
      <c r="AI52" s="37">
        <f>IF(A52="","",IF(OR(K52="Closed",V52&lt;&gt;""),"Closed",IF(AH52&gt;=AgeCrit,"Critical",IF(AH52&gt;=AgeFu,"For Follow-up",IF(AH52&gt;=AgeMonitor,"Monitor","Within Standard")))))</f>
        <v/>
      </c>
      <c r="AJ52" s="38">
        <f>IF(A52="","",IFERROR(INDEX(StgPct,MATCH(H52,StgList,0)),0))</f>
        <v/>
      </c>
      <c r="AK52" s="38">
        <f>IF(A52="","",IFERROR(COUNTIF(Y52:AF52,"Y")/(COUNTIF(Y52:AF52,"Y")+COUNTIF(Y52:AF52,"N")),0))</f>
        <v/>
      </c>
      <c r="AL52" s="36">
        <f>IF(OR(A52="",X52=""),"",MAX(0,IF(V52&lt;&gt;"",V52,TODAY())-X52))</f>
        <v/>
      </c>
      <c r="AM52" s="32" t="n"/>
      <c r="AN52" s="33">
        <f>IF(A52="","",LOWER(AI52)&amp;"|"&amp;AH52&amp;"|"&amp;AJ52&amp;"|"&amp;AK52)</f>
        <v/>
      </c>
      <c r="AO52" s="33">
        <f>IF(OR(A52="",T52=""),"",T52-TODAY())</f>
        <v/>
      </c>
      <c r="AP52" s="33">
        <f>IF(OR(A52="",V52&lt;&gt;""),"",(TODAY()-B52)+ROW()/1000000)</f>
        <v/>
      </c>
    </row>
    <row r="53" ht="27" customHeight="1">
      <c r="A53" s="30" t="n"/>
      <c r="B53" s="31" t="n"/>
      <c r="C53" s="32" t="n"/>
      <c r="D53" s="32" t="n"/>
      <c r="E53" s="32" t="n"/>
      <c r="F53" s="32" t="n"/>
      <c r="G53" s="33">
        <f>IF(A53="","",IFERROR(INDEX(OffCat,MATCH(F53,OffList,0)),"Unlisted"))</f>
        <v/>
      </c>
      <c r="H53" s="30" t="n"/>
      <c r="I53" s="31" t="n"/>
      <c r="J53" s="34" t="n"/>
      <c r="K53" s="34" t="n"/>
      <c r="L53" s="34" t="n"/>
      <c r="M53" s="30" t="n"/>
      <c r="N53" s="30" t="n"/>
      <c r="O53" s="30" t="n"/>
      <c r="P53" s="30" t="n"/>
      <c r="Q53" s="31" t="n"/>
      <c r="R53" s="31" t="n"/>
      <c r="S53" s="31" t="n"/>
      <c r="T53" s="31" t="n"/>
      <c r="U53" s="31" t="n"/>
      <c r="V53" s="31" t="n"/>
      <c r="W53" s="30" t="n"/>
      <c r="X53" s="31" t="n"/>
      <c r="Y53" s="35" t="n"/>
      <c r="Z53" s="35" t="n"/>
      <c r="AA53" s="35" t="n"/>
      <c r="AB53" s="35" t="n"/>
      <c r="AC53" s="35" t="n"/>
      <c r="AD53" s="35" t="n"/>
      <c r="AE53" s="35" t="n"/>
      <c r="AF53" s="35" t="n"/>
      <c r="AG53" s="36">
        <f>IF(A53="","",IF(V53&lt;&gt;"",V53-B53,TODAY()-B53))</f>
        <v/>
      </c>
      <c r="AH53" s="36">
        <f>IF(OR(A53="",I53=""),"",MAX(0,IF(V53&lt;&gt;"",V53-I53,TODAY()-I53)))</f>
        <v/>
      </c>
      <c r="AI53" s="37">
        <f>IF(A53="","",IF(OR(K53="Closed",V53&lt;&gt;""),"Closed",IF(AH53&gt;=AgeCrit,"Critical",IF(AH53&gt;=AgeFu,"For Follow-up",IF(AH53&gt;=AgeMonitor,"Monitor","Within Standard")))))</f>
        <v/>
      </c>
      <c r="AJ53" s="38">
        <f>IF(A53="","",IFERROR(INDEX(StgPct,MATCH(H53,StgList,0)),0))</f>
        <v/>
      </c>
      <c r="AK53" s="38">
        <f>IF(A53="","",IFERROR(COUNTIF(Y53:AF53,"Y")/(COUNTIF(Y53:AF53,"Y")+COUNTIF(Y53:AF53,"N")),0))</f>
        <v/>
      </c>
      <c r="AL53" s="36">
        <f>IF(OR(A53="",X53=""),"",MAX(0,IF(V53&lt;&gt;"",V53,TODAY())-X53))</f>
        <v/>
      </c>
      <c r="AM53" s="32" t="n"/>
      <c r="AN53" s="33">
        <f>IF(A53="","",LOWER(AI53)&amp;"|"&amp;AH53&amp;"|"&amp;AJ53&amp;"|"&amp;AK53)</f>
        <v/>
      </c>
      <c r="AO53" s="33">
        <f>IF(OR(A53="",T53=""),"",T53-TODAY())</f>
        <v/>
      </c>
      <c r="AP53" s="33">
        <f>IF(OR(A53="",V53&lt;&gt;""),"",(TODAY()-B53)+ROW()/1000000)</f>
        <v/>
      </c>
    </row>
    <row r="54" ht="27" customHeight="1">
      <c r="A54" s="30" t="n"/>
      <c r="B54" s="31" t="n"/>
      <c r="C54" s="32" t="n"/>
      <c r="D54" s="32" t="n"/>
      <c r="E54" s="32" t="n"/>
      <c r="F54" s="32" t="n"/>
      <c r="G54" s="33">
        <f>IF(A54="","",IFERROR(INDEX(OffCat,MATCH(F54,OffList,0)),"Unlisted"))</f>
        <v/>
      </c>
      <c r="H54" s="30" t="n"/>
      <c r="I54" s="31" t="n"/>
      <c r="J54" s="34" t="n"/>
      <c r="K54" s="34" t="n"/>
      <c r="L54" s="34" t="n"/>
      <c r="M54" s="30" t="n"/>
      <c r="N54" s="30" t="n"/>
      <c r="O54" s="30" t="n"/>
      <c r="P54" s="30" t="n"/>
      <c r="Q54" s="31" t="n"/>
      <c r="R54" s="31" t="n"/>
      <c r="S54" s="31" t="n"/>
      <c r="T54" s="31" t="n"/>
      <c r="U54" s="31" t="n"/>
      <c r="V54" s="31" t="n"/>
      <c r="W54" s="30" t="n"/>
      <c r="X54" s="31" t="n"/>
      <c r="Y54" s="35" t="n"/>
      <c r="Z54" s="35" t="n"/>
      <c r="AA54" s="35" t="n"/>
      <c r="AB54" s="35" t="n"/>
      <c r="AC54" s="35" t="n"/>
      <c r="AD54" s="35" t="n"/>
      <c r="AE54" s="35" t="n"/>
      <c r="AF54" s="35" t="n"/>
      <c r="AG54" s="36">
        <f>IF(A54="","",IF(V54&lt;&gt;"",V54-B54,TODAY()-B54))</f>
        <v/>
      </c>
      <c r="AH54" s="36">
        <f>IF(OR(A54="",I54=""),"",MAX(0,IF(V54&lt;&gt;"",V54-I54,TODAY()-I54)))</f>
        <v/>
      </c>
      <c r="AI54" s="37">
        <f>IF(A54="","",IF(OR(K54="Closed",V54&lt;&gt;""),"Closed",IF(AH54&gt;=AgeCrit,"Critical",IF(AH54&gt;=AgeFu,"For Follow-up",IF(AH54&gt;=AgeMonitor,"Monitor","Within Standard")))))</f>
        <v/>
      </c>
      <c r="AJ54" s="38">
        <f>IF(A54="","",IFERROR(INDEX(StgPct,MATCH(H54,StgList,0)),0))</f>
        <v/>
      </c>
      <c r="AK54" s="38">
        <f>IF(A54="","",IFERROR(COUNTIF(Y54:AF54,"Y")/(COUNTIF(Y54:AF54,"Y")+COUNTIF(Y54:AF54,"N")),0))</f>
        <v/>
      </c>
      <c r="AL54" s="36">
        <f>IF(OR(A54="",X54=""),"",MAX(0,IF(V54&lt;&gt;"",V54,TODAY())-X54))</f>
        <v/>
      </c>
      <c r="AM54" s="32" t="n"/>
      <c r="AN54" s="33">
        <f>IF(A54="","",LOWER(AI54)&amp;"|"&amp;AH54&amp;"|"&amp;AJ54&amp;"|"&amp;AK54)</f>
        <v/>
      </c>
      <c r="AO54" s="33">
        <f>IF(OR(A54="",T54=""),"",T54-TODAY())</f>
        <v/>
      </c>
      <c r="AP54" s="33">
        <f>IF(OR(A54="",V54&lt;&gt;""),"",(TODAY()-B54)+ROW()/1000000)</f>
        <v/>
      </c>
    </row>
    <row r="55" ht="27" customHeight="1">
      <c r="A55" s="30" t="n"/>
      <c r="B55" s="31" t="n"/>
      <c r="C55" s="32" t="n"/>
      <c r="D55" s="32" t="n"/>
      <c r="E55" s="32" t="n"/>
      <c r="F55" s="32" t="n"/>
      <c r="G55" s="33">
        <f>IF(A55="","",IFERROR(INDEX(OffCat,MATCH(F55,OffList,0)),"Unlisted"))</f>
        <v/>
      </c>
      <c r="H55" s="30" t="n"/>
      <c r="I55" s="31" t="n"/>
      <c r="J55" s="34" t="n"/>
      <c r="K55" s="34" t="n"/>
      <c r="L55" s="34" t="n"/>
      <c r="M55" s="30" t="n"/>
      <c r="N55" s="30" t="n"/>
      <c r="O55" s="30" t="n"/>
      <c r="P55" s="30" t="n"/>
      <c r="Q55" s="31" t="n"/>
      <c r="R55" s="31" t="n"/>
      <c r="S55" s="31" t="n"/>
      <c r="T55" s="31" t="n"/>
      <c r="U55" s="31" t="n"/>
      <c r="V55" s="31" t="n"/>
      <c r="W55" s="30" t="n"/>
      <c r="X55" s="31" t="n"/>
      <c r="Y55" s="35" t="n"/>
      <c r="Z55" s="35" t="n"/>
      <c r="AA55" s="35" t="n"/>
      <c r="AB55" s="35" t="n"/>
      <c r="AC55" s="35" t="n"/>
      <c r="AD55" s="35" t="n"/>
      <c r="AE55" s="35" t="n"/>
      <c r="AF55" s="35" t="n"/>
      <c r="AG55" s="36">
        <f>IF(A55="","",IF(V55&lt;&gt;"",V55-B55,TODAY()-B55))</f>
        <v/>
      </c>
      <c r="AH55" s="36">
        <f>IF(OR(A55="",I55=""),"",MAX(0,IF(V55&lt;&gt;"",V55-I55,TODAY()-I55)))</f>
        <v/>
      </c>
      <c r="AI55" s="37">
        <f>IF(A55="","",IF(OR(K55="Closed",V55&lt;&gt;""),"Closed",IF(AH55&gt;=AgeCrit,"Critical",IF(AH55&gt;=AgeFu,"For Follow-up",IF(AH55&gt;=AgeMonitor,"Monitor","Within Standard")))))</f>
        <v/>
      </c>
      <c r="AJ55" s="38">
        <f>IF(A55="","",IFERROR(INDEX(StgPct,MATCH(H55,StgList,0)),0))</f>
        <v/>
      </c>
      <c r="AK55" s="38">
        <f>IF(A55="","",IFERROR(COUNTIF(Y55:AF55,"Y")/(COUNTIF(Y55:AF55,"Y")+COUNTIF(Y55:AF55,"N")),0))</f>
        <v/>
      </c>
      <c r="AL55" s="36">
        <f>IF(OR(A55="",X55=""),"",MAX(0,IF(V55&lt;&gt;"",V55,TODAY())-X55))</f>
        <v/>
      </c>
      <c r="AM55" s="32" t="n"/>
      <c r="AN55" s="33">
        <f>IF(A55="","",LOWER(AI55)&amp;"|"&amp;AH55&amp;"|"&amp;AJ55&amp;"|"&amp;AK55)</f>
        <v/>
      </c>
      <c r="AO55" s="33">
        <f>IF(OR(A55="",T55=""),"",T55-TODAY())</f>
        <v/>
      </c>
      <c r="AP55" s="33">
        <f>IF(OR(A55="",V55&lt;&gt;""),"",(TODAY()-B55)+ROW()/1000000)</f>
        <v/>
      </c>
    </row>
    <row r="56" ht="27" customHeight="1">
      <c r="A56" s="30" t="n"/>
      <c r="B56" s="31" t="n"/>
      <c r="C56" s="32" t="n"/>
      <c r="D56" s="32" t="n"/>
      <c r="E56" s="32" t="n"/>
      <c r="F56" s="32" t="n"/>
      <c r="G56" s="33">
        <f>IF(A56="","",IFERROR(INDEX(OffCat,MATCH(F56,OffList,0)),"Unlisted"))</f>
        <v/>
      </c>
      <c r="H56" s="30" t="n"/>
      <c r="I56" s="31" t="n"/>
      <c r="J56" s="34" t="n"/>
      <c r="K56" s="34" t="n"/>
      <c r="L56" s="34" t="n"/>
      <c r="M56" s="30" t="n"/>
      <c r="N56" s="30" t="n"/>
      <c r="O56" s="30" t="n"/>
      <c r="P56" s="30" t="n"/>
      <c r="Q56" s="31" t="n"/>
      <c r="R56" s="31" t="n"/>
      <c r="S56" s="31" t="n"/>
      <c r="T56" s="31" t="n"/>
      <c r="U56" s="31" t="n"/>
      <c r="V56" s="31" t="n"/>
      <c r="W56" s="30" t="n"/>
      <c r="X56" s="31" t="n"/>
      <c r="Y56" s="35" t="n"/>
      <c r="Z56" s="35" t="n"/>
      <c r="AA56" s="35" t="n"/>
      <c r="AB56" s="35" t="n"/>
      <c r="AC56" s="35" t="n"/>
      <c r="AD56" s="35" t="n"/>
      <c r="AE56" s="35" t="n"/>
      <c r="AF56" s="35" t="n"/>
      <c r="AG56" s="36">
        <f>IF(A56="","",IF(V56&lt;&gt;"",V56-B56,TODAY()-B56))</f>
        <v/>
      </c>
      <c r="AH56" s="36">
        <f>IF(OR(A56="",I56=""),"",MAX(0,IF(V56&lt;&gt;"",V56-I56,TODAY()-I56)))</f>
        <v/>
      </c>
      <c r="AI56" s="37">
        <f>IF(A56="","",IF(OR(K56="Closed",V56&lt;&gt;""),"Closed",IF(AH56&gt;=AgeCrit,"Critical",IF(AH56&gt;=AgeFu,"For Follow-up",IF(AH56&gt;=AgeMonitor,"Monitor","Within Standard")))))</f>
        <v/>
      </c>
      <c r="AJ56" s="38">
        <f>IF(A56="","",IFERROR(INDEX(StgPct,MATCH(H56,StgList,0)),0))</f>
        <v/>
      </c>
      <c r="AK56" s="38">
        <f>IF(A56="","",IFERROR(COUNTIF(Y56:AF56,"Y")/(COUNTIF(Y56:AF56,"Y")+COUNTIF(Y56:AF56,"N")),0))</f>
        <v/>
      </c>
      <c r="AL56" s="36">
        <f>IF(OR(A56="",X56=""),"",MAX(0,IF(V56&lt;&gt;"",V56,TODAY())-X56))</f>
        <v/>
      </c>
      <c r="AM56" s="32" t="n"/>
      <c r="AN56" s="33">
        <f>IF(A56="","",LOWER(AI56)&amp;"|"&amp;AH56&amp;"|"&amp;AJ56&amp;"|"&amp;AK56)</f>
        <v/>
      </c>
      <c r="AO56" s="33">
        <f>IF(OR(A56="",T56=""),"",T56-TODAY())</f>
        <v/>
      </c>
      <c r="AP56" s="33">
        <f>IF(OR(A56="",V56&lt;&gt;""),"",(TODAY()-B56)+ROW()/1000000)</f>
        <v/>
      </c>
    </row>
    <row r="57" ht="27" customHeight="1">
      <c r="A57" s="30" t="n"/>
      <c r="B57" s="31" t="n"/>
      <c r="C57" s="32" t="n"/>
      <c r="D57" s="32" t="n"/>
      <c r="E57" s="32" t="n"/>
      <c r="F57" s="32" t="n"/>
      <c r="G57" s="33">
        <f>IF(A57="","",IFERROR(INDEX(OffCat,MATCH(F57,OffList,0)),"Unlisted"))</f>
        <v/>
      </c>
      <c r="H57" s="30" t="n"/>
      <c r="I57" s="31" t="n"/>
      <c r="J57" s="34" t="n"/>
      <c r="K57" s="34" t="n"/>
      <c r="L57" s="34" t="n"/>
      <c r="M57" s="30" t="n"/>
      <c r="N57" s="30" t="n"/>
      <c r="O57" s="30" t="n"/>
      <c r="P57" s="30" t="n"/>
      <c r="Q57" s="31" t="n"/>
      <c r="R57" s="31" t="n"/>
      <c r="S57" s="31" t="n"/>
      <c r="T57" s="31" t="n"/>
      <c r="U57" s="31" t="n"/>
      <c r="V57" s="31" t="n"/>
      <c r="W57" s="30" t="n"/>
      <c r="X57" s="31" t="n"/>
      <c r="Y57" s="35" t="n"/>
      <c r="Z57" s="35" t="n"/>
      <c r="AA57" s="35" t="n"/>
      <c r="AB57" s="35" t="n"/>
      <c r="AC57" s="35" t="n"/>
      <c r="AD57" s="35" t="n"/>
      <c r="AE57" s="35" t="n"/>
      <c r="AF57" s="35" t="n"/>
      <c r="AG57" s="36">
        <f>IF(A57="","",IF(V57&lt;&gt;"",V57-B57,TODAY()-B57))</f>
        <v/>
      </c>
      <c r="AH57" s="36">
        <f>IF(OR(A57="",I57=""),"",MAX(0,IF(V57&lt;&gt;"",V57-I57,TODAY()-I57)))</f>
        <v/>
      </c>
      <c r="AI57" s="37">
        <f>IF(A57="","",IF(OR(K57="Closed",V57&lt;&gt;""),"Closed",IF(AH57&gt;=AgeCrit,"Critical",IF(AH57&gt;=AgeFu,"For Follow-up",IF(AH57&gt;=AgeMonitor,"Monitor","Within Standard")))))</f>
        <v/>
      </c>
      <c r="AJ57" s="38">
        <f>IF(A57="","",IFERROR(INDEX(StgPct,MATCH(H57,StgList,0)),0))</f>
        <v/>
      </c>
      <c r="AK57" s="38">
        <f>IF(A57="","",IFERROR(COUNTIF(Y57:AF57,"Y")/(COUNTIF(Y57:AF57,"Y")+COUNTIF(Y57:AF57,"N")),0))</f>
        <v/>
      </c>
      <c r="AL57" s="36">
        <f>IF(OR(A57="",X57=""),"",MAX(0,IF(V57&lt;&gt;"",V57,TODAY())-X57))</f>
        <v/>
      </c>
      <c r="AM57" s="32" t="n"/>
      <c r="AN57" s="33">
        <f>IF(A57="","",LOWER(AI57)&amp;"|"&amp;AH57&amp;"|"&amp;AJ57&amp;"|"&amp;AK57)</f>
        <v/>
      </c>
      <c r="AO57" s="33">
        <f>IF(OR(A57="",T57=""),"",T57-TODAY())</f>
        <v/>
      </c>
      <c r="AP57" s="33">
        <f>IF(OR(A57="",V57&lt;&gt;""),"",(TODAY()-B57)+ROW()/1000000)</f>
        <v/>
      </c>
    </row>
    <row r="58" ht="27" customHeight="1">
      <c r="A58" s="30" t="n"/>
      <c r="B58" s="31" t="n"/>
      <c r="C58" s="32" t="n"/>
      <c r="D58" s="32" t="n"/>
      <c r="E58" s="32" t="n"/>
      <c r="F58" s="32" t="n"/>
      <c r="G58" s="33">
        <f>IF(A58="","",IFERROR(INDEX(OffCat,MATCH(F58,OffList,0)),"Unlisted"))</f>
        <v/>
      </c>
      <c r="H58" s="30" t="n"/>
      <c r="I58" s="31" t="n"/>
      <c r="J58" s="34" t="n"/>
      <c r="K58" s="34" t="n"/>
      <c r="L58" s="34" t="n"/>
      <c r="M58" s="30" t="n"/>
      <c r="N58" s="30" t="n"/>
      <c r="O58" s="30" t="n"/>
      <c r="P58" s="30" t="n"/>
      <c r="Q58" s="31" t="n"/>
      <c r="R58" s="31" t="n"/>
      <c r="S58" s="31" t="n"/>
      <c r="T58" s="31" t="n"/>
      <c r="U58" s="31" t="n"/>
      <c r="V58" s="31" t="n"/>
      <c r="W58" s="30" t="n"/>
      <c r="X58" s="31" t="n"/>
      <c r="Y58" s="35" t="n"/>
      <c r="Z58" s="35" t="n"/>
      <c r="AA58" s="35" t="n"/>
      <c r="AB58" s="35" t="n"/>
      <c r="AC58" s="35" t="n"/>
      <c r="AD58" s="35" t="n"/>
      <c r="AE58" s="35" t="n"/>
      <c r="AF58" s="35" t="n"/>
      <c r="AG58" s="36">
        <f>IF(A58="","",IF(V58&lt;&gt;"",V58-B58,TODAY()-B58))</f>
        <v/>
      </c>
      <c r="AH58" s="36">
        <f>IF(OR(A58="",I58=""),"",MAX(0,IF(V58&lt;&gt;"",V58-I58,TODAY()-I58)))</f>
        <v/>
      </c>
      <c r="AI58" s="37">
        <f>IF(A58="","",IF(OR(K58="Closed",V58&lt;&gt;""),"Closed",IF(AH58&gt;=AgeCrit,"Critical",IF(AH58&gt;=AgeFu,"For Follow-up",IF(AH58&gt;=AgeMonitor,"Monitor","Within Standard")))))</f>
        <v/>
      </c>
      <c r="AJ58" s="38">
        <f>IF(A58="","",IFERROR(INDEX(StgPct,MATCH(H58,StgList,0)),0))</f>
        <v/>
      </c>
      <c r="AK58" s="38">
        <f>IF(A58="","",IFERROR(COUNTIF(Y58:AF58,"Y")/(COUNTIF(Y58:AF58,"Y")+COUNTIF(Y58:AF58,"N")),0))</f>
        <v/>
      </c>
      <c r="AL58" s="36">
        <f>IF(OR(A58="",X58=""),"",MAX(0,IF(V58&lt;&gt;"",V58,TODAY())-X58))</f>
        <v/>
      </c>
      <c r="AM58" s="32" t="n"/>
      <c r="AN58" s="33">
        <f>IF(A58="","",LOWER(AI58)&amp;"|"&amp;AH58&amp;"|"&amp;AJ58&amp;"|"&amp;AK58)</f>
        <v/>
      </c>
      <c r="AO58" s="33">
        <f>IF(OR(A58="",T58=""),"",T58-TODAY())</f>
        <v/>
      </c>
      <c r="AP58" s="33">
        <f>IF(OR(A58="",V58&lt;&gt;""),"",(TODAY()-B58)+ROW()/1000000)</f>
        <v/>
      </c>
    </row>
    <row r="59" ht="27" customHeight="1">
      <c r="A59" s="30" t="n"/>
      <c r="B59" s="31" t="n"/>
      <c r="C59" s="32" t="n"/>
      <c r="D59" s="32" t="n"/>
      <c r="E59" s="32" t="n"/>
      <c r="F59" s="32" t="n"/>
      <c r="G59" s="33">
        <f>IF(A59="","",IFERROR(INDEX(OffCat,MATCH(F59,OffList,0)),"Unlisted"))</f>
        <v/>
      </c>
      <c r="H59" s="30" t="n"/>
      <c r="I59" s="31" t="n"/>
      <c r="J59" s="34" t="n"/>
      <c r="K59" s="34" t="n"/>
      <c r="L59" s="34" t="n"/>
      <c r="M59" s="30" t="n"/>
      <c r="N59" s="30" t="n"/>
      <c r="O59" s="30" t="n"/>
      <c r="P59" s="30" t="n"/>
      <c r="Q59" s="31" t="n"/>
      <c r="R59" s="31" t="n"/>
      <c r="S59" s="31" t="n"/>
      <c r="T59" s="31" t="n"/>
      <c r="U59" s="31" t="n"/>
      <c r="V59" s="31" t="n"/>
      <c r="W59" s="30" t="n"/>
      <c r="X59" s="31" t="n"/>
      <c r="Y59" s="35" t="n"/>
      <c r="Z59" s="35" t="n"/>
      <c r="AA59" s="35" t="n"/>
      <c r="AB59" s="35" t="n"/>
      <c r="AC59" s="35" t="n"/>
      <c r="AD59" s="35" t="n"/>
      <c r="AE59" s="35" t="n"/>
      <c r="AF59" s="35" t="n"/>
      <c r="AG59" s="36">
        <f>IF(A59="","",IF(V59&lt;&gt;"",V59-B59,TODAY()-B59))</f>
        <v/>
      </c>
      <c r="AH59" s="36">
        <f>IF(OR(A59="",I59=""),"",MAX(0,IF(V59&lt;&gt;"",V59-I59,TODAY()-I59)))</f>
        <v/>
      </c>
      <c r="AI59" s="37">
        <f>IF(A59="","",IF(OR(K59="Closed",V59&lt;&gt;""),"Closed",IF(AH59&gt;=AgeCrit,"Critical",IF(AH59&gt;=AgeFu,"For Follow-up",IF(AH59&gt;=AgeMonitor,"Monitor","Within Standard")))))</f>
        <v/>
      </c>
      <c r="AJ59" s="38">
        <f>IF(A59="","",IFERROR(INDEX(StgPct,MATCH(H59,StgList,0)),0))</f>
        <v/>
      </c>
      <c r="AK59" s="38">
        <f>IF(A59="","",IFERROR(COUNTIF(Y59:AF59,"Y")/(COUNTIF(Y59:AF59,"Y")+COUNTIF(Y59:AF59,"N")),0))</f>
        <v/>
      </c>
      <c r="AL59" s="36">
        <f>IF(OR(A59="",X59=""),"",MAX(0,IF(V59&lt;&gt;"",V59,TODAY())-X59))</f>
        <v/>
      </c>
      <c r="AM59" s="32" t="n"/>
      <c r="AN59" s="33">
        <f>IF(A59="","",LOWER(AI59)&amp;"|"&amp;AH59&amp;"|"&amp;AJ59&amp;"|"&amp;AK59)</f>
        <v/>
      </c>
      <c r="AO59" s="33">
        <f>IF(OR(A59="",T59=""),"",T59-TODAY())</f>
        <v/>
      </c>
      <c r="AP59" s="33">
        <f>IF(OR(A59="",V59&lt;&gt;""),"",(TODAY()-B59)+ROW()/1000000)</f>
        <v/>
      </c>
    </row>
    <row r="60" ht="27" customHeight="1">
      <c r="A60" s="30" t="n"/>
      <c r="B60" s="31" t="n"/>
      <c r="C60" s="32" t="n"/>
      <c r="D60" s="32" t="n"/>
      <c r="E60" s="32" t="n"/>
      <c r="F60" s="32" t="n"/>
      <c r="G60" s="33">
        <f>IF(A60="","",IFERROR(INDEX(OffCat,MATCH(F60,OffList,0)),"Unlisted"))</f>
        <v/>
      </c>
      <c r="H60" s="30" t="n"/>
      <c r="I60" s="31" t="n"/>
      <c r="J60" s="34" t="n"/>
      <c r="K60" s="34" t="n"/>
      <c r="L60" s="34" t="n"/>
      <c r="M60" s="30" t="n"/>
      <c r="N60" s="30" t="n"/>
      <c r="O60" s="30" t="n"/>
      <c r="P60" s="30" t="n"/>
      <c r="Q60" s="31" t="n"/>
      <c r="R60" s="31" t="n"/>
      <c r="S60" s="31" t="n"/>
      <c r="T60" s="31" t="n"/>
      <c r="U60" s="31" t="n"/>
      <c r="V60" s="31" t="n"/>
      <c r="W60" s="30" t="n"/>
      <c r="X60" s="31" t="n"/>
      <c r="Y60" s="35" t="n"/>
      <c r="Z60" s="35" t="n"/>
      <c r="AA60" s="35" t="n"/>
      <c r="AB60" s="35" t="n"/>
      <c r="AC60" s="35" t="n"/>
      <c r="AD60" s="35" t="n"/>
      <c r="AE60" s="35" t="n"/>
      <c r="AF60" s="35" t="n"/>
      <c r="AG60" s="36">
        <f>IF(A60="","",IF(V60&lt;&gt;"",V60-B60,TODAY()-B60))</f>
        <v/>
      </c>
      <c r="AH60" s="36">
        <f>IF(OR(A60="",I60=""),"",MAX(0,IF(V60&lt;&gt;"",V60-I60,TODAY()-I60)))</f>
        <v/>
      </c>
      <c r="AI60" s="37">
        <f>IF(A60="","",IF(OR(K60="Closed",V60&lt;&gt;""),"Closed",IF(AH60&gt;=AgeCrit,"Critical",IF(AH60&gt;=AgeFu,"For Follow-up",IF(AH60&gt;=AgeMonitor,"Monitor","Within Standard")))))</f>
        <v/>
      </c>
      <c r="AJ60" s="38">
        <f>IF(A60="","",IFERROR(INDEX(StgPct,MATCH(H60,StgList,0)),0))</f>
        <v/>
      </c>
      <c r="AK60" s="38">
        <f>IF(A60="","",IFERROR(COUNTIF(Y60:AF60,"Y")/(COUNTIF(Y60:AF60,"Y")+COUNTIF(Y60:AF60,"N")),0))</f>
        <v/>
      </c>
      <c r="AL60" s="36">
        <f>IF(OR(A60="",X60=""),"",MAX(0,IF(V60&lt;&gt;"",V60,TODAY())-X60))</f>
        <v/>
      </c>
      <c r="AM60" s="32" t="n"/>
      <c r="AN60" s="33">
        <f>IF(A60="","",LOWER(AI60)&amp;"|"&amp;AH60&amp;"|"&amp;AJ60&amp;"|"&amp;AK60)</f>
        <v/>
      </c>
      <c r="AO60" s="33">
        <f>IF(OR(A60="",T60=""),"",T60-TODAY())</f>
        <v/>
      </c>
      <c r="AP60" s="33">
        <f>IF(OR(A60="",V60&lt;&gt;""),"",(TODAY()-B60)+ROW()/1000000)</f>
        <v/>
      </c>
    </row>
    <row r="61" ht="27" customHeight="1">
      <c r="A61" s="30" t="n"/>
      <c r="B61" s="31" t="n"/>
      <c r="C61" s="32" t="n"/>
      <c r="D61" s="32" t="n"/>
      <c r="E61" s="32" t="n"/>
      <c r="F61" s="32" t="n"/>
      <c r="G61" s="33">
        <f>IF(A61="","",IFERROR(INDEX(OffCat,MATCH(F61,OffList,0)),"Unlisted"))</f>
        <v/>
      </c>
      <c r="H61" s="30" t="n"/>
      <c r="I61" s="31" t="n"/>
      <c r="J61" s="34" t="n"/>
      <c r="K61" s="34" t="n"/>
      <c r="L61" s="34" t="n"/>
      <c r="M61" s="30" t="n"/>
      <c r="N61" s="30" t="n"/>
      <c r="O61" s="30" t="n"/>
      <c r="P61" s="30" t="n"/>
      <c r="Q61" s="31" t="n"/>
      <c r="R61" s="31" t="n"/>
      <c r="S61" s="31" t="n"/>
      <c r="T61" s="31" t="n"/>
      <c r="U61" s="31" t="n"/>
      <c r="V61" s="31" t="n"/>
      <c r="W61" s="30" t="n"/>
      <c r="X61" s="31" t="n"/>
      <c r="Y61" s="35" t="n"/>
      <c r="Z61" s="35" t="n"/>
      <c r="AA61" s="35" t="n"/>
      <c r="AB61" s="35" t="n"/>
      <c r="AC61" s="35" t="n"/>
      <c r="AD61" s="35" t="n"/>
      <c r="AE61" s="35" t="n"/>
      <c r="AF61" s="35" t="n"/>
      <c r="AG61" s="36">
        <f>IF(A61="","",IF(V61&lt;&gt;"",V61-B61,TODAY()-B61))</f>
        <v/>
      </c>
      <c r="AH61" s="36">
        <f>IF(OR(A61="",I61=""),"",MAX(0,IF(V61&lt;&gt;"",V61-I61,TODAY()-I61)))</f>
        <v/>
      </c>
      <c r="AI61" s="37">
        <f>IF(A61="","",IF(OR(K61="Closed",V61&lt;&gt;""),"Closed",IF(AH61&gt;=AgeCrit,"Critical",IF(AH61&gt;=AgeFu,"For Follow-up",IF(AH61&gt;=AgeMonitor,"Monitor","Within Standard")))))</f>
        <v/>
      </c>
      <c r="AJ61" s="38">
        <f>IF(A61="","",IFERROR(INDEX(StgPct,MATCH(H61,StgList,0)),0))</f>
        <v/>
      </c>
      <c r="AK61" s="38">
        <f>IF(A61="","",IFERROR(COUNTIF(Y61:AF61,"Y")/(COUNTIF(Y61:AF61,"Y")+COUNTIF(Y61:AF61,"N")),0))</f>
        <v/>
      </c>
      <c r="AL61" s="36">
        <f>IF(OR(A61="",X61=""),"",MAX(0,IF(V61&lt;&gt;"",V61,TODAY())-X61))</f>
        <v/>
      </c>
      <c r="AM61" s="32" t="n"/>
      <c r="AN61" s="33">
        <f>IF(A61="","",LOWER(AI61)&amp;"|"&amp;AH61&amp;"|"&amp;AJ61&amp;"|"&amp;AK61)</f>
        <v/>
      </c>
      <c r="AO61" s="33">
        <f>IF(OR(A61="",T61=""),"",T61-TODAY())</f>
        <v/>
      </c>
      <c r="AP61" s="33">
        <f>IF(OR(A61="",V61&lt;&gt;""),"",(TODAY()-B61)+ROW()/1000000)</f>
        <v/>
      </c>
    </row>
    <row r="62" ht="27" customHeight="1">
      <c r="A62" s="30" t="n"/>
      <c r="B62" s="31" t="n"/>
      <c r="C62" s="32" t="n"/>
      <c r="D62" s="32" t="n"/>
      <c r="E62" s="32" t="n"/>
      <c r="F62" s="32" t="n"/>
      <c r="G62" s="33">
        <f>IF(A62="","",IFERROR(INDEX(OffCat,MATCH(F62,OffList,0)),"Unlisted"))</f>
        <v/>
      </c>
      <c r="H62" s="30" t="n"/>
      <c r="I62" s="31" t="n"/>
      <c r="J62" s="34" t="n"/>
      <c r="K62" s="34" t="n"/>
      <c r="L62" s="34" t="n"/>
      <c r="M62" s="30" t="n"/>
      <c r="N62" s="30" t="n"/>
      <c r="O62" s="30" t="n"/>
      <c r="P62" s="30" t="n"/>
      <c r="Q62" s="31" t="n"/>
      <c r="R62" s="31" t="n"/>
      <c r="S62" s="31" t="n"/>
      <c r="T62" s="31" t="n"/>
      <c r="U62" s="31" t="n"/>
      <c r="V62" s="31" t="n"/>
      <c r="W62" s="30" t="n"/>
      <c r="X62" s="31" t="n"/>
      <c r="Y62" s="35" t="n"/>
      <c r="Z62" s="35" t="n"/>
      <c r="AA62" s="35" t="n"/>
      <c r="AB62" s="35" t="n"/>
      <c r="AC62" s="35" t="n"/>
      <c r="AD62" s="35" t="n"/>
      <c r="AE62" s="35" t="n"/>
      <c r="AF62" s="35" t="n"/>
      <c r="AG62" s="36">
        <f>IF(A62="","",IF(V62&lt;&gt;"",V62-B62,TODAY()-B62))</f>
        <v/>
      </c>
      <c r="AH62" s="36">
        <f>IF(OR(A62="",I62=""),"",MAX(0,IF(V62&lt;&gt;"",V62-I62,TODAY()-I62)))</f>
        <v/>
      </c>
      <c r="AI62" s="37">
        <f>IF(A62="","",IF(OR(K62="Closed",V62&lt;&gt;""),"Closed",IF(AH62&gt;=AgeCrit,"Critical",IF(AH62&gt;=AgeFu,"For Follow-up",IF(AH62&gt;=AgeMonitor,"Monitor","Within Standard")))))</f>
        <v/>
      </c>
      <c r="AJ62" s="38">
        <f>IF(A62="","",IFERROR(INDEX(StgPct,MATCH(H62,StgList,0)),0))</f>
        <v/>
      </c>
      <c r="AK62" s="38">
        <f>IF(A62="","",IFERROR(COUNTIF(Y62:AF62,"Y")/(COUNTIF(Y62:AF62,"Y")+COUNTIF(Y62:AF62,"N")),0))</f>
        <v/>
      </c>
      <c r="AL62" s="36">
        <f>IF(OR(A62="",X62=""),"",MAX(0,IF(V62&lt;&gt;"",V62,TODAY())-X62))</f>
        <v/>
      </c>
      <c r="AM62" s="32" t="n"/>
      <c r="AN62" s="33">
        <f>IF(A62="","",LOWER(AI62)&amp;"|"&amp;AH62&amp;"|"&amp;AJ62&amp;"|"&amp;AK62)</f>
        <v/>
      </c>
      <c r="AO62" s="33">
        <f>IF(OR(A62="",T62=""),"",T62-TODAY())</f>
        <v/>
      </c>
      <c r="AP62" s="33">
        <f>IF(OR(A62="",V62&lt;&gt;""),"",(TODAY()-B62)+ROW()/1000000)</f>
        <v/>
      </c>
    </row>
    <row r="63" ht="27" customHeight="1">
      <c r="A63" s="30" t="n"/>
      <c r="B63" s="31" t="n"/>
      <c r="C63" s="32" t="n"/>
      <c r="D63" s="32" t="n"/>
      <c r="E63" s="32" t="n"/>
      <c r="F63" s="32" t="n"/>
      <c r="G63" s="33">
        <f>IF(A63="","",IFERROR(INDEX(OffCat,MATCH(F63,OffList,0)),"Unlisted"))</f>
        <v/>
      </c>
      <c r="H63" s="30" t="n"/>
      <c r="I63" s="31" t="n"/>
      <c r="J63" s="34" t="n"/>
      <c r="K63" s="34" t="n"/>
      <c r="L63" s="34" t="n"/>
      <c r="M63" s="30" t="n"/>
      <c r="N63" s="30" t="n"/>
      <c r="O63" s="30" t="n"/>
      <c r="P63" s="30" t="n"/>
      <c r="Q63" s="31" t="n"/>
      <c r="R63" s="31" t="n"/>
      <c r="S63" s="31" t="n"/>
      <c r="T63" s="31" t="n"/>
      <c r="U63" s="31" t="n"/>
      <c r="V63" s="31" t="n"/>
      <c r="W63" s="30" t="n"/>
      <c r="X63" s="31" t="n"/>
      <c r="Y63" s="35" t="n"/>
      <c r="Z63" s="35" t="n"/>
      <c r="AA63" s="35" t="n"/>
      <c r="AB63" s="35" t="n"/>
      <c r="AC63" s="35" t="n"/>
      <c r="AD63" s="35" t="n"/>
      <c r="AE63" s="35" t="n"/>
      <c r="AF63" s="35" t="n"/>
      <c r="AG63" s="36">
        <f>IF(A63="","",IF(V63&lt;&gt;"",V63-B63,TODAY()-B63))</f>
        <v/>
      </c>
      <c r="AH63" s="36">
        <f>IF(OR(A63="",I63=""),"",MAX(0,IF(V63&lt;&gt;"",V63-I63,TODAY()-I63)))</f>
        <v/>
      </c>
      <c r="AI63" s="37">
        <f>IF(A63="","",IF(OR(K63="Closed",V63&lt;&gt;""),"Closed",IF(AH63&gt;=AgeCrit,"Critical",IF(AH63&gt;=AgeFu,"For Follow-up",IF(AH63&gt;=AgeMonitor,"Monitor","Within Standard")))))</f>
        <v/>
      </c>
      <c r="AJ63" s="38">
        <f>IF(A63="","",IFERROR(INDEX(StgPct,MATCH(H63,StgList,0)),0))</f>
        <v/>
      </c>
      <c r="AK63" s="38">
        <f>IF(A63="","",IFERROR(COUNTIF(Y63:AF63,"Y")/(COUNTIF(Y63:AF63,"Y")+COUNTIF(Y63:AF63,"N")),0))</f>
        <v/>
      </c>
      <c r="AL63" s="36">
        <f>IF(OR(A63="",X63=""),"",MAX(0,IF(V63&lt;&gt;"",V63,TODAY())-X63))</f>
        <v/>
      </c>
      <c r="AM63" s="32" t="n"/>
      <c r="AN63" s="33">
        <f>IF(A63="","",LOWER(AI63)&amp;"|"&amp;AH63&amp;"|"&amp;AJ63&amp;"|"&amp;AK63)</f>
        <v/>
      </c>
      <c r="AO63" s="33">
        <f>IF(OR(A63="",T63=""),"",T63-TODAY())</f>
        <v/>
      </c>
      <c r="AP63" s="33">
        <f>IF(OR(A63="",V63&lt;&gt;""),"",(TODAY()-B63)+ROW()/1000000)</f>
        <v/>
      </c>
    </row>
    <row r="64" ht="27" customHeight="1">
      <c r="A64" s="30" t="n"/>
      <c r="B64" s="31" t="n"/>
      <c r="C64" s="32" t="n"/>
      <c r="D64" s="32" t="n"/>
      <c r="E64" s="32" t="n"/>
      <c r="F64" s="32" t="n"/>
      <c r="G64" s="33">
        <f>IF(A64="","",IFERROR(INDEX(OffCat,MATCH(F64,OffList,0)),"Unlisted"))</f>
        <v/>
      </c>
      <c r="H64" s="30" t="n"/>
      <c r="I64" s="31" t="n"/>
      <c r="J64" s="34" t="n"/>
      <c r="K64" s="34" t="n"/>
      <c r="L64" s="34" t="n"/>
      <c r="M64" s="30" t="n"/>
      <c r="N64" s="30" t="n"/>
      <c r="O64" s="30" t="n"/>
      <c r="P64" s="30" t="n"/>
      <c r="Q64" s="31" t="n"/>
      <c r="R64" s="31" t="n"/>
      <c r="S64" s="31" t="n"/>
      <c r="T64" s="31" t="n"/>
      <c r="U64" s="31" t="n"/>
      <c r="V64" s="31" t="n"/>
      <c r="W64" s="30" t="n"/>
      <c r="X64" s="31" t="n"/>
      <c r="Y64" s="35" t="n"/>
      <c r="Z64" s="35" t="n"/>
      <c r="AA64" s="35" t="n"/>
      <c r="AB64" s="35" t="n"/>
      <c r="AC64" s="35" t="n"/>
      <c r="AD64" s="35" t="n"/>
      <c r="AE64" s="35" t="n"/>
      <c r="AF64" s="35" t="n"/>
      <c r="AG64" s="36">
        <f>IF(A64="","",IF(V64&lt;&gt;"",V64-B64,TODAY()-B64))</f>
        <v/>
      </c>
      <c r="AH64" s="36">
        <f>IF(OR(A64="",I64=""),"",MAX(0,IF(V64&lt;&gt;"",V64-I64,TODAY()-I64)))</f>
        <v/>
      </c>
      <c r="AI64" s="37">
        <f>IF(A64="","",IF(OR(K64="Closed",V64&lt;&gt;""),"Closed",IF(AH64&gt;=AgeCrit,"Critical",IF(AH64&gt;=AgeFu,"For Follow-up",IF(AH64&gt;=AgeMonitor,"Monitor","Within Standard")))))</f>
        <v/>
      </c>
      <c r="AJ64" s="38">
        <f>IF(A64="","",IFERROR(INDEX(StgPct,MATCH(H64,StgList,0)),0))</f>
        <v/>
      </c>
      <c r="AK64" s="38">
        <f>IF(A64="","",IFERROR(COUNTIF(Y64:AF64,"Y")/(COUNTIF(Y64:AF64,"Y")+COUNTIF(Y64:AF64,"N")),0))</f>
        <v/>
      </c>
      <c r="AL64" s="36">
        <f>IF(OR(A64="",X64=""),"",MAX(0,IF(V64&lt;&gt;"",V64,TODAY())-X64))</f>
        <v/>
      </c>
      <c r="AM64" s="32" t="n"/>
      <c r="AN64" s="33">
        <f>IF(A64="","",LOWER(AI64)&amp;"|"&amp;AH64&amp;"|"&amp;AJ64&amp;"|"&amp;AK64)</f>
        <v/>
      </c>
      <c r="AO64" s="33">
        <f>IF(OR(A64="",T64=""),"",T64-TODAY())</f>
        <v/>
      </c>
      <c r="AP64" s="33">
        <f>IF(OR(A64="",V64&lt;&gt;""),"",(TODAY()-B64)+ROW()/1000000)</f>
        <v/>
      </c>
    </row>
    <row r="65" ht="27" customHeight="1">
      <c r="A65" s="30" t="n"/>
      <c r="B65" s="31" t="n"/>
      <c r="C65" s="32" t="n"/>
      <c r="D65" s="32" t="n"/>
      <c r="E65" s="32" t="n"/>
      <c r="F65" s="32" t="n"/>
      <c r="G65" s="33">
        <f>IF(A65="","",IFERROR(INDEX(OffCat,MATCH(F65,OffList,0)),"Unlisted"))</f>
        <v/>
      </c>
      <c r="H65" s="30" t="n"/>
      <c r="I65" s="31" t="n"/>
      <c r="J65" s="34" t="n"/>
      <c r="K65" s="34" t="n"/>
      <c r="L65" s="34" t="n"/>
      <c r="M65" s="30" t="n"/>
      <c r="N65" s="30" t="n"/>
      <c r="O65" s="30" t="n"/>
      <c r="P65" s="30" t="n"/>
      <c r="Q65" s="31" t="n"/>
      <c r="R65" s="31" t="n"/>
      <c r="S65" s="31" t="n"/>
      <c r="T65" s="31" t="n"/>
      <c r="U65" s="31" t="n"/>
      <c r="V65" s="31" t="n"/>
      <c r="W65" s="30" t="n"/>
      <c r="X65" s="31" t="n"/>
      <c r="Y65" s="35" t="n"/>
      <c r="Z65" s="35" t="n"/>
      <c r="AA65" s="35" t="n"/>
      <c r="AB65" s="35" t="n"/>
      <c r="AC65" s="35" t="n"/>
      <c r="AD65" s="35" t="n"/>
      <c r="AE65" s="35" t="n"/>
      <c r="AF65" s="35" t="n"/>
      <c r="AG65" s="36">
        <f>IF(A65="","",IF(V65&lt;&gt;"",V65-B65,TODAY()-B65))</f>
        <v/>
      </c>
      <c r="AH65" s="36">
        <f>IF(OR(A65="",I65=""),"",MAX(0,IF(V65&lt;&gt;"",V65-I65,TODAY()-I65)))</f>
        <v/>
      </c>
      <c r="AI65" s="37">
        <f>IF(A65="","",IF(OR(K65="Closed",V65&lt;&gt;""),"Closed",IF(AH65&gt;=AgeCrit,"Critical",IF(AH65&gt;=AgeFu,"For Follow-up",IF(AH65&gt;=AgeMonitor,"Monitor","Within Standard")))))</f>
        <v/>
      </c>
      <c r="AJ65" s="38">
        <f>IF(A65="","",IFERROR(INDEX(StgPct,MATCH(H65,StgList,0)),0))</f>
        <v/>
      </c>
      <c r="AK65" s="38">
        <f>IF(A65="","",IFERROR(COUNTIF(Y65:AF65,"Y")/(COUNTIF(Y65:AF65,"Y")+COUNTIF(Y65:AF65,"N")),0))</f>
        <v/>
      </c>
      <c r="AL65" s="36">
        <f>IF(OR(A65="",X65=""),"",MAX(0,IF(V65&lt;&gt;"",V65,TODAY())-X65))</f>
        <v/>
      </c>
      <c r="AM65" s="32" t="n"/>
      <c r="AN65" s="33">
        <f>IF(A65="","",LOWER(AI65)&amp;"|"&amp;AH65&amp;"|"&amp;AJ65&amp;"|"&amp;AK65)</f>
        <v/>
      </c>
      <c r="AO65" s="33">
        <f>IF(OR(A65="",T65=""),"",T65-TODAY())</f>
        <v/>
      </c>
      <c r="AP65" s="33">
        <f>IF(OR(A65="",V65&lt;&gt;""),"",(TODAY()-B65)+ROW()/1000000)</f>
        <v/>
      </c>
    </row>
    <row r="66" ht="27" customHeight="1">
      <c r="A66" s="30" t="n"/>
      <c r="B66" s="31" t="n"/>
      <c r="C66" s="32" t="n"/>
      <c r="D66" s="32" t="n"/>
      <c r="E66" s="32" t="n"/>
      <c r="F66" s="32" t="n"/>
      <c r="G66" s="33">
        <f>IF(A66="","",IFERROR(INDEX(OffCat,MATCH(F66,OffList,0)),"Unlisted"))</f>
        <v/>
      </c>
      <c r="H66" s="30" t="n"/>
      <c r="I66" s="31" t="n"/>
      <c r="J66" s="34" t="n"/>
      <c r="K66" s="34" t="n"/>
      <c r="L66" s="34" t="n"/>
      <c r="M66" s="30" t="n"/>
      <c r="N66" s="30" t="n"/>
      <c r="O66" s="30" t="n"/>
      <c r="P66" s="30" t="n"/>
      <c r="Q66" s="31" t="n"/>
      <c r="R66" s="31" t="n"/>
      <c r="S66" s="31" t="n"/>
      <c r="T66" s="31" t="n"/>
      <c r="U66" s="31" t="n"/>
      <c r="V66" s="31" t="n"/>
      <c r="W66" s="30" t="n"/>
      <c r="X66" s="31" t="n"/>
      <c r="Y66" s="35" t="n"/>
      <c r="Z66" s="35" t="n"/>
      <c r="AA66" s="35" t="n"/>
      <c r="AB66" s="35" t="n"/>
      <c r="AC66" s="35" t="n"/>
      <c r="AD66" s="35" t="n"/>
      <c r="AE66" s="35" t="n"/>
      <c r="AF66" s="35" t="n"/>
      <c r="AG66" s="36">
        <f>IF(A66="","",IF(V66&lt;&gt;"",V66-B66,TODAY()-B66))</f>
        <v/>
      </c>
      <c r="AH66" s="36">
        <f>IF(OR(A66="",I66=""),"",MAX(0,IF(V66&lt;&gt;"",V66-I66,TODAY()-I66)))</f>
        <v/>
      </c>
      <c r="AI66" s="37">
        <f>IF(A66="","",IF(OR(K66="Closed",V66&lt;&gt;""),"Closed",IF(AH66&gt;=AgeCrit,"Critical",IF(AH66&gt;=AgeFu,"For Follow-up",IF(AH66&gt;=AgeMonitor,"Monitor","Within Standard")))))</f>
        <v/>
      </c>
      <c r="AJ66" s="38">
        <f>IF(A66="","",IFERROR(INDEX(StgPct,MATCH(H66,StgList,0)),0))</f>
        <v/>
      </c>
      <c r="AK66" s="38">
        <f>IF(A66="","",IFERROR(COUNTIF(Y66:AF66,"Y")/(COUNTIF(Y66:AF66,"Y")+COUNTIF(Y66:AF66,"N")),0))</f>
        <v/>
      </c>
      <c r="AL66" s="36">
        <f>IF(OR(A66="",X66=""),"",MAX(0,IF(V66&lt;&gt;"",V66,TODAY())-X66))</f>
        <v/>
      </c>
      <c r="AM66" s="32" t="n"/>
      <c r="AN66" s="33">
        <f>IF(A66="","",LOWER(AI66)&amp;"|"&amp;AH66&amp;"|"&amp;AJ66&amp;"|"&amp;AK66)</f>
        <v/>
      </c>
      <c r="AO66" s="33">
        <f>IF(OR(A66="",T66=""),"",T66-TODAY())</f>
        <v/>
      </c>
      <c r="AP66" s="33">
        <f>IF(OR(A66="",V66&lt;&gt;""),"",(TODAY()-B66)+ROW()/1000000)</f>
        <v/>
      </c>
    </row>
    <row r="67" ht="27" customHeight="1">
      <c r="A67" s="30" t="n"/>
      <c r="B67" s="31" t="n"/>
      <c r="C67" s="32" t="n"/>
      <c r="D67" s="32" t="n"/>
      <c r="E67" s="32" t="n"/>
      <c r="F67" s="32" t="n"/>
      <c r="G67" s="33">
        <f>IF(A67="","",IFERROR(INDEX(OffCat,MATCH(F67,OffList,0)),"Unlisted"))</f>
        <v/>
      </c>
      <c r="H67" s="30" t="n"/>
      <c r="I67" s="31" t="n"/>
      <c r="J67" s="34" t="n"/>
      <c r="K67" s="34" t="n"/>
      <c r="L67" s="34" t="n"/>
      <c r="M67" s="30" t="n"/>
      <c r="N67" s="30" t="n"/>
      <c r="O67" s="30" t="n"/>
      <c r="P67" s="30" t="n"/>
      <c r="Q67" s="31" t="n"/>
      <c r="R67" s="31" t="n"/>
      <c r="S67" s="31" t="n"/>
      <c r="T67" s="31" t="n"/>
      <c r="U67" s="31" t="n"/>
      <c r="V67" s="31" t="n"/>
      <c r="W67" s="30" t="n"/>
      <c r="X67" s="31" t="n"/>
      <c r="Y67" s="35" t="n"/>
      <c r="Z67" s="35" t="n"/>
      <c r="AA67" s="35" t="n"/>
      <c r="AB67" s="35" t="n"/>
      <c r="AC67" s="35" t="n"/>
      <c r="AD67" s="35" t="n"/>
      <c r="AE67" s="35" t="n"/>
      <c r="AF67" s="35" t="n"/>
      <c r="AG67" s="36">
        <f>IF(A67="","",IF(V67&lt;&gt;"",V67-B67,TODAY()-B67))</f>
        <v/>
      </c>
      <c r="AH67" s="36">
        <f>IF(OR(A67="",I67=""),"",MAX(0,IF(V67&lt;&gt;"",V67-I67,TODAY()-I67)))</f>
        <v/>
      </c>
      <c r="AI67" s="37">
        <f>IF(A67="","",IF(OR(K67="Closed",V67&lt;&gt;""),"Closed",IF(AH67&gt;=AgeCrit,"Critical",IF(AH67&gt;=AgeFu,"For Follow-up",IF(AH67&gt;=AgeMonitor,"Monitor","Within Standard")))))</f>
        <v/>
      </c>
      <c r="AJ67" s="38">
        <f>IF(A67="","",IFERROR(INDEX(StgPct,MATCH(H67,StgList,0)),0))</f>
        <v/>
      </c>
      <c r="AK67" s="38">
        <f>IF(A67="","",IFERROR(COUNTIF(Y67:AF67,"Y")/(COUNTIF(Y67:AF67,"Y")+COUNTIF(Y67:AF67,"N")),0))</f>
        <v/>
      </c>
      <c r="AL67" s="36">
        <f>IF(OR(A67="",X67=""),"",MAX(0,IF(V67&lt;&gt;"",V67,TODAY())-X67))</f>
        <v/>
      </c>
      <c r="AM67" s="32" t="n"/>
      <c r="AN67" s="33">
        <f>IF(A67="","",LOWER(AI67)&amp;"|"&amp;AH67&amp;"|"&amp;AJ67&amp;"|"&amp;AK67)</f>
        <v/>
      </c>
      <c r="AO67" s="33">
        <f>IF(OR(A67="",T67=""),"",T67-TODAY())</f>
        <v/>
      </c>
      <c r="AP67" s="33">
        <f>IF(OR(A67="",V67&lt;&gt;""),"",(TODAY()-B67)+ROW()/1000000)</f>
        <v/>
      </c>
    </row>
    <row r="68" ht="27" customHeight="1">
      <c r="A68" s="30" t="n"/>
      <c r="B68" s="31" t="n"/>
      <c r="C68" s="32" t="n"/>
      <c r="D68" s="32" t="n"/>
      <c r="E68" s="32" t="n"/>
      <c r="F68" s="32" t="n"/>
      <c r="G68" s="33">
        <f>IF(A68="","",IFERROR(INDEX(OffCat,MATCH(F68,OffList,0)),"Unlisted"))</f>
        <v/>
      </c>
      <c r="H68" s="30" t="n"/>
      <c r="I68" s="31" t="n"/>
      <c r="J68" s="34" t="n"/>
      <c r="K68" s="34" t="n"/>
      <c r="L68" s="34" t="n"/>
      <c r="M68" s="30" t="n"/>
      <c r="N68" s="30" t="n"/>
      <c r="O68" s="30" t="n"/>
      <c r="P68" s="30" t="n"/>
      <c r="Q68" s="31" t="n"/>
      <c r="R68" s="31" t="n"/>
      <c r="S68" s="31" t="n"/>
      <c r="T68" s="31" t="n"/>
      <c r="U68" s="31" t="n"/>
      <c r="V68" s="31" t="n"/>
      <c r="W68" s="30" t="n"/>
      <c r="X68" s="31" t="n"/>
      <c r="Y68" s="35" t="n"/>
      <c r="Z68" s="35" t="n"/>
      <c r="AA68" s="35" t="n"/>
      <c r="AB68" s="35" t="n"/>
      <c r="AC68" s="35" t="n"/>
      <c r="AD68" s="35" t="n"/>
      <c r="AE68" s="35" t="n"/>
      <c r="AF68" s="35" t="n"/>
      <c r="AG68" s="36">
        <f>IF(A68="","",IF(V68&lt;&gt;"",V68-B68,TODAY()-B68))</f>
        <v/>
      </c>
      <c r="AH68" s="36">
        <f>IF(OR(A68="",I68=""),"",MAX(0,IF(V68&lt;&gt;"",V68-I68,TODAY()-I68)))</f>
        <v/>
      </c>
      <c r="AI68" s="37">
        <f>IF(A68="","",IF(OR(K68="Closed",V68&lt;&gt;""),"Closed",IF(AH68&gt;=AgeCrit,"Critical",IF(AH68&gt;=AgeFu,"For Follow-up",IF(AH68&gt;=AgeMonitor,"Monitor","Within Standard")))))</f>
        <v/>
      </c>
      <c r="AJ68" s="38">
        <f>IF(A68="","",IFERROR(INDEX(StgPct,MATCH(H68,StgList,0)),0))</f>
        <v/>
      </c>
      <c r="AK68" s="38">
        <f>IF(A68="","",IFERROR(COUNTIF(Y68:AF68,"Y")/(COUNTIF(Y68:AF68,"Y")+COUNTIF(Y68:AF68,"N")),0))</f>
        <v/>
      </c>
      <c r="AL68" s="36">
        <f>IF(OR(A68="",X68=""),"",MAX(0,IF(V68&lt;&gt;"",V68,TODAY())-X68))</f>
        <v/>
      </c>
      <c r="AM68" s="32" t="n"/>
      <c r="AN68" s="33">
        <f>IF(A68="","",LOWER(AI68)&amp;"|"&amp;AH68&amp;"|"&amp;AJ68&amp;"|"&amp;AK68)</f>
        <v/>
      </c>
      <c r="AO68" s="33">
        <f>IF(OR(A68="",T68=""),"",T68-TODAY())</f>
        <v/>
      </c>
      <c r="AP68" s="33">
        <f>IF(OR(A68="",V68&lt;&gt;""),"",(TODAY()-B68)+ROW()/1000000)</f>
        <v/>
      </c>
    </row>
    <row r="69" ht="27" customHeight="1">
      <c r="A69" s="30" t="n"/>
      <c r="B69" s="31" t="n"/>
      <c r="C69" s="32" t="n"/>
      <c r="D69" s="32" t="n"/>
      <c r="E69" s="32" t="n"/>
      <c r="F69" s="32" t="n"/>
      <c r="G69" s="33">
        <f>IF(A69="","",IFERROR(INDEX(OffCat,MATCH(F69,OffList,0)),"Unlisted"))</f>
        <v/>
      </c>
      <c r="H69" s="30" t="n"/>
      <c r="I69" s="31" t="n"/>
      <c r="J69" s="34" t="n"/>
      <c r="K69" s="34" t="n"/>
      <c r="L69" s="34" t="n"/>
      <c r="M69" s="30" t="n"/>
      <c r="N69" s="30" t="n"/>
      <c r="O69" s="30" t="n"/>
      <c r="P69" s="30" t="n"/>
      <c r="Q69" s="31" t="n"/>
      <c r="R69" s="31" t="n"/>
      <c r="S69" s="31" t="n"/>
      <c r="T69" s="31" t="n"/>
      <c r="U69" s="31" t="n"/>
      <c r="V69" s="31" t="n"/>
      <c r="W69" s="30" t="n"/>
      <c r="X69" s="31" t="n"/>
      <c r="Y69" s="35" t="n"/>
      <c r="Z69" s="35" t="n"/>
      <c r="AA69" s="35" t="n"/>
      <c r="AB69" s="35" t="n"/>
      <c r="AC69" s="35" t="n"/>
      <c r="AD69" s="35" t="n"/>
      <c r="AE69" s="35" t="n"/>
      <c r="AF69" s="35" t="n"/>
      <c r="AG69" s="36">
        <f>IF(A69="","",IF(V69&lt;&gt;"",V69-B69,TODAY()-B69))</f>
        <v/>
      </c>
      <c r="AH69" s="36">
        <f>IF(OR(A69="",I69=""),"",MAX(0,IF(V69&lt;&gt;"",V69-I69,TODAY()-I69)))</f>
        <v/>
      </c>
      <c r="AI69" s="37">
        <f>IF(A69="","",IF(OR(K69="Closed",V69&lt;&gt;""),"Closed",IF(AH69&gt;=AgeCrit,"Critical",IF(AH69&gt;=AgeFu,"For Follow-up",IF(AH69&gt;=AgeMonitor,"Monitor","Within Standard")))))</f>
        <v/>
      </c>
      <c r="AJ69" s="38">
        <f>IF(A69="","",IFERROR(INDEX(StgPct,MATCH(H69,StgList,0)),0))</f>
        <v/>
      </c>
      <c r="AK69" s="38">
        <f>IF(A69="","",IFERROR(COUNTIF(Y69:AF69,"Y")/(COUNTIF(Y69:AF69,"Y")+COUNTIF(Y69:AF69,"N")),0))</f>
        <v/>
      </c>
      <c r="AL69" s="36">
        <f>IF(OR(A69="",X69=""),"",MAX(0,IF(V69&lt;&gt;"",V69,TODAY())-X69))</f>
        <v/>
      </c>
      <c r="AM69" s="32" t="n"/>
      <c r="AN69" s="33">
        <f>IF(A69="","",LOWER(AI69)&amp;"|"&amp;AH69&amp;"|"&amp;AJ69&amp;"|"&amp;AK69)</f>
        <v/>
      </c>
      <c r="AO69" s="33">
        <f>IF(OR(A69="",T69=""),"",T69-TODAY())</f>
        <v/>
      </c>
      <c r="AP69" s="33">
        <f>IF(OR(A69="",V69&lt;&gt;""),"",(TODAY()-B69)+ROW()/1000000)</f>
        <v/>
      </c>
    </row>
    <row r="70" ht="27" customHeight="1">
      <c r="A70" s="30" t="n"/>
      <c r="B70" s="31" t="n"/>
      <c r="C70" s="32" t="n"/>
      <c r="D70" s="32" t="n"/>
      <c r="E70" s="32" t="n"/>
      <c r="F70" s="32" t="n"/>
      <c r="G70" s="33">
        <f>IF(A70="","",IFERROR(INDEX(OffCat,MATCH(F70,OffList,0)),"Unlisted"))</f>
        <v/>
      </c>
      <c r="H70" s="30" t="n"/>
      <c r="I70" s="31" t="n"/>
      <c r="J70" s="34" t="n"/>
      <c r="K70" s="34" t="n"/>
      <c r="L70" s="34" t="n"/>
      <c r="M70" s="30" t="n"/>
      <c r="N70" s="30" t="n"/>
      <c r="O70" s="30" t="n"/>
      <c r="P70" s="30" t="n"/>
      <c r="Q70" s="31" t="n"/>
      <c r="R70" s="31" t="n"/>
      <c r="S70" s="31" t="n"/>
      <c r="T70" s="31" t="n"/>
      <c r="U70" s="31" t="n"/>
      <c r="V70" s="31" t="n"/>
      <c r="W70" s="30" t="n"/>
      <c r="X70" s="31" t="n"/>
      <c r="Y70" s="35" t="n"/>
      <c r="Z70" s="35" t="n"/>
      <c r="AA70" s="35" t="n"/>
      <c r="AB70" s="35" t="n"/>
      <c r="AC70" s="35" t="n"/>
      <c r="AD70" s="35" t="n"/>
      <c r="AE70" s="35" t="n"/>
      <c r="AF70" s="35" t="n"/>
      <c r="AG70" s="36">
        <f>IF(A70="","",IF(V70&lt;&gt;"",V70-B70,TODAY()-B70))</f>
        <v/>
      </c>
      <c r="AH70" s="36">
        <f>IF(OR(A70="",I70=""),"",MAX(0,IF(V70&lt;&gt;"",V70-I70,TODAY()-I70)))</f>
        <v/>
      </c>
      <c r="AI70" s="37">
        <f>IF(A70="","",IF(OR(K70="Closed",V70&lt;&gt;""),"Closed",IF(AH70&gt;=AgeCrit,"Critical",IF(AH70&gt;=AgeFu,"For Follow-up",IF(AH70&gt;=AgeMonitor,"Monitor","Within Standard")))))</f>
        <v/>
      </c>
      <c r="AJ70" s="38">
        <f>IF(A70="","",IFERROR(INDEX(StgPct,MATCH(H70,StgList,0)),0))</f>
        <v/>
      </c>
      <c r="AK70" s="38">
        <f>IF(A70="","",IFERROR(COUNTIF(Y70:AF70,"Y")/(COUNTIF(Y70:AF70,"Y")+COUNTIF(Y70:AF70,"N")),0))</f>
        <v/>
      </c>
      <c r="AL70" s="36">
        <f>IF(OR(A70="",X70=""),"",MAX(0,IF(V70&lt;&gt;"",V70,TODAY())-X70))</f>
        <v/>
      </c>
      <c r="AM70" s="32" t="n"/>
      <c r="AN70" s="33">
        <f>IF(A70="","",LOWER(AI70)&amp;"|"&amp;AH70&amp;"|"&amp;AJ70&amp;"|"&amp;AK70)</f>
        <v/>
      </c>
      <c r="AO70" s="33">
        <f>IF(OR(A70="",T70=""),"",T70-TODAY())</f>
        <v/>
      </c>
      <c r="AP70" s="33">
        <f>IF(OR(A70="",V70&lt;&gt;""),"",(TODAY()-B70)+ROW()/1000000)</f>
        <v/>
      </c>
    </row>
    <row r="71" ht="27" customHeight="1">
      <c r="A71" s="30" t="n"/>
      <c r="B71" s="31" t="n"/>
      <c r="C71" s="32" t="n"/>
      <c r="D71" s="32" t="n"/>
      <c r="E71" s="32" t="n"/>
      <c r="F71" s="32" t="n"/>
      <c r="G71" s="33">
        <f>IF(A71="","",IFERROR(INDEX(OffCat,MATCH(F71,OffList,0)),"Unlisted"))</f>
        <v/>
      </c>
      <c r="H71" s="30" t="n"/>
      <c r="I71" s="31" t="n"/>
      <c r="J71" s="34" t="n"/>
      <c r="K71" s="34" t="n"/>
      <c r="L71" s="34" t="n"/>
      <c r="M71" s="30" t="n"/>
      <c r="N71" s="30" t="n"/>
      <c r="O71" s="30" t="n"/>
      <c r="P71" s="30" t="n"/>
      <c r="Q71" s="31" t="n"/>
      <c r="R71" s="31" t="n"/>
      <c r="S71" s="31" t="n"/>
      <c r="T71" s="31" t="n"/>
      <c r="U71" s="31" t="n"/>
      <c r="V71" s="31" t="n"/>
      <c r="W71" s="30" t="n"/>
      <c r="X71" s="31" t="n"/>
      <c r="Y71" s="35" t="n"/>
      <c r="Z71" s="35" t="n"/>
      <c r="AA71" s="35" t="n"/>
      <c r="AB71" s="35" t="n"/>
      <c r="AC71" s="35" t="n"/>
      <c r="AD71" s="35" t="n"/>
      <c r="AE71" s="35" t="n"/>
      <c r="AF71" s="35" t="n"/>
      <c r="AG71" s="36">
        <f>IF(A71="","",IF(V71&lt;&gt;"",V71-B71,TODAY()-B71))</f>
        <v/>
      </c>
      <c r="AH71" s="36">
        <f>IF(OR(A71="",I71=""),"",MAX(0,IF(V71&lt;&gt;"",V71-I71,TODAY()-I71)))</f>
        <v/>
      </c>
      <c r="AI71" s="37">
        <f>IF(A71="","",IF(OR(K71="Closed",V71&lt;&gt;""),"Closed",IF(AH71&gt;=AgeCrit,"Critical",IF(AH71&gt;=AgeFu,"For Follow-up",IF(AH71&gt;=AgeMonitor,"Monitor","Within Standard")))))</f>
        <v/>
      </c>
      <c r="AJ71" s="38">
        <f>IF(A71="","",IFERROR(INDEX(StgPct,MATCH(H71,StgList,0)),0))</f>
        <v/>
      </c>
      <c r="AK71" s="38">
        <f>IF(A71="","",IFERROR(COUNTIF(Y71:AF71,"Y")/(COUNTIF(Y71:AF71,"Y")+COUNTIF(Y71:AF71,"N")),0))</f>
        <v/>
      </c>
      <c r="AL71" s="36">
        <f>IF(OR(A71="",X71=""),"",MAX(0,IF(V71&lt;&gt;"",V71,TODAY())-X71))</f>
        <v/>
      </c>
      <c r="AM71" s="32" t="n"/>
      <c r="AN71" s="33">
        <f>IF(A71="","",LOWER(AI71)&amp;"|"&amp;AH71&amp;"|"&amp;AJ71&amp;"|"&amp;AK71)</f>
        <v/>
      </c>
      <c r="AO71" s="33">
        <f>IF(OR(A71="",T71=""),"",T71-TODAY())</f>
        <v/>
      </c>
      <c r="AP71" s="33">
        <f>IF(OR(A71="",V71&lt;&gt;""),"",(TODAY()-B71)+ROW()/1000000)</f>
        <v/>
      </c>
    </row>
    <row r="72" ht="27" customHeight="1">
      <c r="A72" s="30" t="n"/>
      <c r="B72" s="31" t="n"/>
      <c r="C72" s="32" t="n"/>
      <c r="D72" s="32" t="n"/>
      <c r="E72" s="32" t="n"/>
      <c r="F72" s="32" t="n"/>
      <c r="G72" s="33">
        <f>IF(A72="","",IFERROR(INDEX(OffCat,MATCH(F72,OffList,0)),"Unlisted"))</f>
        <v/>
      </c>
      <c r="H72" s="30" t="n"/>
      <c r="I72" s="31" t="n"/>
      <c r="J72" s="34" t="n"/>
      <c r="K72" s="34" t="n"/>
      <c r="L72" s="34" t="n"/>
      <c r="M72" s="30" t="n"/>
      <c r="N72" s="30" t="n"/>
      <c r="O72" s="30" t="n"/>
      <c r="P72" s="30" t="n"/>
      <c r="Q72" s="31" t="n"/>
      <c r="R72" s="31" t="n"/>
      <c r="S72" s="31" t="n"/>
      <c r="T72" s="31" t="n"/>
      <c r="U72" s="31" t="n"/>
      <c r="V72" s="31" t="n"/>
      <c r="W72" s="30" t="n"/>
      <c r="X72" s="31" t="n"/>
      <c r="Y72" s="35" t="n"/>
      <c r="Z72" s="35" t="n"/>
      <c r="AA72" s="35" t="n"/>
      <c r="AB72" s="35" t="n"/>
      <c r="AC72" s="35" t="n"/>
      <c r="AD72" s="35" t="n"/>
      <c r="AE72" s="35" t="n"/>
      <c r="AF72" s="35" t="n"/>
      <c r="AG72" s="36">
        <f>IF(A72="","",IF(V72&lt;&gt;"",V72-B72,TODAY()-B72))</f>
        <v/>
      </c>
      <c r="AH72" s="36">
        <f>IF(OR(A72="",I72=""),"",MAX(0,IF(V72&lt;&gt;"",V72-I72,TODAY()-I72)))</f>
        <v/>
      </c>
      <c r="AI72" s="37">
        <f>IF(A72="","",IF(OR(K72="Closed",V72&lt;&gt;""),"Closed",IF(AH72&gt;=AgeCrit,"Critical",IF(AH72&gt;=AgeFu,"For Follow-up",IF(AH72&gt;=AgeMonitor,"Monitor","Within Standard")))))</f>
        <v/>
      </c>
      <c r="AJ72" s="38">
        <f>IF(A72="","",IFERROR(INDEX(StgPct,MATCH(H72,StgList,0)),0))</f>
        <v/>
      </c>
      <c r="AK72" s="38">
        <f>IF(A72="","",IFERROR(COUNTIF(Y72:AF72,"Y")/(COUNTIF(Y72:AF72,"Y")+COUNTIF(Y72:AF72,"N")),0))</f>
        <v/>
      </c>
      <c r="AL72" s="36">
        <f>IF(OR(A72="",X72=""),"",MAX(0,IF(V72&lt;&gt;"",V72,TODAY())-X72))</f>
        <v/>
      </c>
      <c r="AM72" s="32" t="n"/>
      <c r="AN72" s="33">
        <f>IF(A72="","",LOWER(AI72)&amp;"|"&amp;AH72&amp;"|"&amp;AJ72&amp;"|"&amp;AK72)</f>
        <v/>
      </c>
      <c r="AO72" s="33">
        <f>IF(OR(A72="",T72=""),"",T72-TODAY())</f>
        <v/>
      </c>
      <c r="AP72" s="33">
        <f>IF(OR(A72="",V72&lt;&gt;""),"",(TODAY()-B72)+ROW()/1000000)</f>
        <v/>
      </c>
    </row>
    <row r="73" ht="27" customHeight="1">
      <c r="A73" s="30" t="n"/>
      <c r="B73" s="31" t="n"/>
      <c r="C73" s="32" t="n"/>
      <c r="D73" s="32" t="n"/>
      <c r="E73" s="32" t="n"/>
      <c r="F73" s="32" t="n"/>
      <c r="G73" s="33">
        <f>IF(A73="","",IFERROR(INDEX(OffCat,MATCH(F73,OffList,0)),"Unlisted"))</f>
        <v/>
      </c>
      <c r="H73" s="30" t="n"/>
      <c r="I73" s="31" t="n"/>
      <c r="J73" s="34" t="n"/>
      <c r="K73" s="34" t="n"/>
      <c r="L73" s="34" t="n"/>
      <c r="M73" s="30" t="n"/>
      <c r="N73" s="30" t="n"/>
      <c r="O73" s="30" t="n"/>
      <c r="P73" s="30" t="n"/>
      <c r="Q73" s="31" t="n"/>
      <c r="R73" s="31" t="n"/>
      <c r="S73" s="31" t="n"/>
      <c r="T73" s="31" t="n"/>
      <c r="U73" s="31" t="n"/>
      <c r="V73" s="31" t="n"/>
      <c r="W73" s="30" t="n"/>
      <c r="X73" s="31" t="n"/>
      <c r="Y73" s="35" t="n"/>
      <c r="Z73" s="35" t="n"/>
      <c r="AA73" s="35" t="n"/>
      <c r="AB73" s="35" t="n"/>
      <c r="AC73" s="35" t="n"/>
      <c r="AD73" s="35" t="n"/>
      <c r="AE73" s="35" t="n"/>
      <c r="AF73" s="35" t="n"/>
      <c r="AG73" s="36">
        <f>IF(A73="","",IF(V73&lt;&gt;"",V73-B73,TODAY()-B73))</f>
        <v/>
      </c>
      <c r="AH73" s="36">
        <f>IF(OR(A73="",I73=""),"",MAX(0,IF(V73&lt;&gt;"",V73-I73,TODAY()-I73)))</f>
        <v/>
      </c>
      <c r="AI73" s="37">
        <f>IF(A73="","",IF(OR(K73="Closed",V73&lt;&gt;""),"Closed",IF(AH73&gt;=AgeCrit,"Critical",IF(AH73&gt;=AgeFu,"For Follow-up",IF(AH73&gt;=AgeMonitor,"Monitor","Within Standard")))))</f>
        <v/>
      </c>
      <c r="AJ73" s="38">
        <f>IF(A73="","",IFERROR(INDEX(StgPct,MATCH(H73,StgList,0)),0))</f>
        <v/>
      </c>
      <c r="AK73" s="38">
        <f>IF(A73="","",IFERROR(COUNTIF(Y73:AF73,"Y")/(COUNTIF(Y73:AF73,"Y")+COUNTIF(Y73:AF73,"N")),0))</f>
        <v/>
      </c>
      <c r="AL73" s="36">
        <f>IF(OR(A73="",X73=""),"",MAX(0,IF(V73&lt;&gt;"",V73,TODAY())-X73))</f>
        <v/>
      </c>
      <c r="AM73" s="32" t="n"/>
      <c r="AN73" s="33">
        <f>IF(A73="","",LOWER(AI73)&amp;"|"&amp;AH73&amp;"|"&amp;AJ73&amp;"|"&amp;AK73)</f>
        <v/>
      </c>
      <c r="AO73" s="33">
        <f>IF(OR(A73="",T73=""),"",T73-TODAY())</f>
        <v/>
      </c>
      <c r="AP73" s="33">
        <f>IF(OR(A73="",V73&lt;&gt;""),"",(TODAY()-B73)+ROW()/1000000)</f>
        <v/>
      </c>
    </row>
    <row r="74" ht="27" customHeight="1">
      <c r="A74" s="30" t="n"/>
      <c r="B74" s="31" t="n"/>
      <c r="C74" s="32" t="n"/>
      <c r="D74" s="32" t="n"/>
      <c r="E74" s="32" t="n"/>
      <c r="F74" s="32" t="n"/>
      <c r="G74" s="33">
        <f>IF(A74="","",IFERROR(INDEX(OffCat,MATCH(F74,OffList,0)),"Unlisted"))</f>
        <v/>
      </c>
      <c r="H74" s="30" t="n"/>
      <c r="I74" s="31" t="n"/>
      <c r="J74" s="34" t="n"/>
      <c r="K74" s="34" t="n"/>
      <c r="L74" s="34" t="n"/>
      <c r="M74" s="30" t="n"/>
      <c r="N74" s="30" t="n"/>
      <c r="O74" s="30" t="n"/>
      <c r="P74" s="30" t="n"/>
      <c r="Q74" s="31" t="n"/>
      <c r="R74" s="31" t="n"/>
      <c r="S74" s="31" t="n"/>
      <c r="T74" s="31" t="n"/>
      <c r="U74" s="31" t="n"/>
      <c r="V74" s="31" t="n"/>
      <c r="W74" s="30" t="n"/>
      <c r="X74" s="31" t="n"/>
      <c r="Y74" s="35" t="n"/>
      <c r="Z74" s="35" t="n"/>
      <c r="AA74" s="35" t="n"/>
      <c r="AB74" s="35" t="n"/>
      <c r="AC74" s="35" t="n"/>
      <c r="AD74" s="35" t="n"/>
      <c r="AE74" s="35" t="n"/>
      <c r="AF74" s="35" t="n"/>
      <c r="AG74" s="36">
        <f>IF(A74="","",IF(V74&lt;&gt;"",V74-B74,TODAY()-B74))</f>
        <v/>
      </c>
      <c r="AH74" s="36">
        <f>IF(OR(A74="",I74=""),"",MAX(0,IF(V74&lt;&gt;"",V74-I74,TODAY()-I74)))</f>
        <v/>
      </c>
      <c r="AI74" s="37">
        <f>IF(A74="","",IF(OR(K74="Closed",V74&lt;&gt;""),"Closed",IF(AH74&gt;=AgeCrit,"Critical",IF(AH74&gt;=AgeFu,"For Follow-up",IF(AH74&gt;=AgeMonitor,"Monitor","Within Standard")))))</f>
        <v/>
      </c>
      <c r="AJ74" s="38">
        <f>IF(A74="","",IFERROR(INDEX(StgPct,MATCH(H74,StgList,0)),0))</f>
        <v/>
      </c>
      <c r="AK74" s="38">
        <f>IF(A74="","",IFERROR(COUNTIF(Y74:AF74,"Y")/(COUNTIF(Y74:AF74,"Y")+COUNTIF(Y74:AF74,"N")),0))</f>
        <v/>
      </c>
      <c r="AL74" s="36">
        <f>IF(OR(A74="",X74=""),"",MAX(0,IF(V74&lt;&gt;"",V74,TODAY())-X74))</f>
        <v/>
      </c>
      <c r="AM74" s="32" t="n"/>
      <c r="AN74" s="33">
        <f>IF(A74="","",LOWER(AI74)&amp;"|"&amp;AH74&amp;"|"&amp;AJ74&amp;"|"&amp;AK74)</f>
        <v/>
      </c>
      <c r="AO74" s="33">
        <f>IF(OR(A74="",T74=""),"",T74-TODAY())</f>
        <v/>
      </c>
      <c r="AP74" s="33">
        <f>IF(OR(A74="",V74&lt;&gt;""),"",(TODAY()-B74)+ROW()/1000000)</f>
        <v/>
      </c>
    </row>
    <row r="75" ht="27" customHeight="1">
      <c r="A75" s="30" t="n"/>
      <c r="B75" s="31" t="n"/>
      <c r="C75" s="32" t="n"/>
      <c r="D75" s="32" t="n"/>
      <c r="E75" s="32" t="n"/>
      <c r="F75" s="32" t="n"/>
      <c r="G75" s="33">
        <f>IF(A75="","",IFERROR(INDEX(OffCat,MATCH(F75,OffList,0)),"Unlisted"))</f>
        <v/>
      </c>
      <c r="H75" s="30" t="n"/>
      <c r="I75" s="31" t="n"/>
      <c r="J75" s="34" t="n"/>
      <c r="K75" s="34" t="n"/>
      <c r="L75" s="34" t="n"/>
      <c r="M75" s="30" t="n"/>
      <c r="N75" s="30" t="n"/>
      <c r="O75" s="30" t="n"/>
      <c r="P75" s="30" t="n"/>
      <c r="Q75" s="31" t="n"/>
      <c r="R75" s="31" t="n"/>
      <c r="S75" s="31" t="n"/>
      <c r="T75" s="31" t="n"/>
      <c r="U75" s="31" t="n"/>
      <c r="V75" s="31" t="n"/>
      <c r="W75" s="30" t="n"/>
      <c r="X75" s="31" t="n"/>
      <c r="Y75" s="35" t="n"/>
      <c r="Z75" s="35" t="n"/>
      <c r="AA75" s="35" t="n"/>
      <c r="AB75" s="35" t="n"/>
      <c r="AC75" s="35" t="n"/>
      <c r="AD75" s="35" t="n"/>
      <c r="AE75" s="35" t="n"/>
      <c r="AF75" s="35" t="n"/>
      <c r="AG75" s="36">
        <f>IF(A75="","",IF(V75&lt;&gt;"",V75-B75,TODAY()-B75))</f>
        <v/>
      </c>
      <c r="AH75" s="36">
        <f>IF(OR(A75="",I75=""),"",MAX(0,IF(V75&lt;&gt;"",V75-I75,TODAY()-I75)))</f>
        <v/>
      </c>
      <c r="AI75" s="37">
        <f>IF(A75="","",IF(OR(K75="Closed",V75&lt;&gt;""),"Closed",IF(AH75&gt;=AgeCrit,"Critical",IF(AH75&gt;=AgeFu,"For Follow-up",IF(AH75&gt;=AgeMonitor,"Monitor","Within Standard")))))</f>
        <v/>
      </c>
      <c r="AJ75" s="38">
        <f>IF(A75="","",IFERROR(INDEX(StgPct,MATCH(H75,StgList,0)),0))</f>
        <v/>
      </c>
      <c r="AK75" s="38">
        <f>IF(A75="","",IFERROR(COUNTIF(Y75:AF75,"Y")/(COUNTIF(Y75:AF75,"Y")+COUNTIF(Y75:AF75,"N")),0))</f>
        <v/>
      </c>
      <c r="AL75" s="36">
        <f>IF(OR(A75="",X75=""),"",MAX(0,IF(V75&lt;&gt;"",V75,TODAY())-X75))</f>
        <v/>
      </c>
      <c r="AM75" s="32" t="n"/>
      <c r="AN75" s="33">
        <f>IF(A75="","",LOWER(AI75)&amp;"|"&amp;AH75&amp;"|"&amp;AJ75&amp;"|"&amp;AK75)</f>
        <v/>
      </c>
      <c r="AO75" s="33">
        <f>IF(OR(A75="",T75=""),"",T75-TODAY())</f>
        <v/>
      </c>
      <c r="AP75" s="33">
        <f>IF(OR(A75="",V75&lt;&gt;""),"",(TODAY()-B75)+ROW()/1000000)</f>
        <v/>
      </c>
    </row>
    <row r="76" ht="27" customHeight="1">
      <c r="A76" s="30" t="n"/>
      <c r="B76" s="31" t="n"/>
      <c r="C76" s="32" t="n"/>
      <c r="D76" s="32" t="n"/>
      <c r="E76" s="32" t="n"/>
      <c r="F76" s="32" t="n"/>
      <c r="G76" s="33">
        <f>IF(A76="","",IFERROR(INDEX(OffCat,MATCH(F76,OffList,0)),"Unlisted"))</f>
        <v/>
      </c>
      <c r="H76" s="30" t="n"/>
      <c r="I76" s="31" t="n"/>
      <c r="J76" s="34" t="n"/>
      <c r="K76" s="34" t="n"/>
      <c r="L76" s="34" t="n"/>
      <c r="M76" s="30" t="n"/>
      <c r="N76" s="30" t="n"/>
      <c r="O76" s="30" t="n"/>
      <c r="P76" s="30" t="n"/>
      <c r="Q76" s="31" t="n"/>
      <c r="R76" s="31" t="n"/>
      <c r="S76" s="31" t="n"/>
      <c r="T76" s="31" t="n"/>
      <c r="U76" s="31" t="n"/>
      <c r="V76" s="31" t="n"/>
      <c r="W76" s="30" t="n"/>
      <c r="X76" s="31" t="n"/>
      <c r="Y76" s="35" t="n"/>
      <c r="Z76" s="35" t="n"/>
      <c r="AA76" s="35" t="n"/>
      <c r="AB76" s="35" t="n"/>
      <c r="AC76" s="35" t="n"/>
      <c r="AD76" s="35" t="n"/>
      <c r="AE76" s="35" t="n"/>
      <c r="AF76" s="35" t="n"/>
      <c r="AG76" s="36">
        <f>IF(A76="","",IF(V76&lt;&gt;"",V76-B76,TODAY()-B76))</f>
        <v/>
      </c>
      <c r="AH76" s="36">
        <f>IF(OR(A76="",I76=""),"",MAX(0,IF(V76&lt;&gt;"",V76-I76,TODAY()-I76)))</f>
        <v/>
      </c>
      <c r="AI76" s="37">
        <f>IF(A76="","",IF(OR(K76="Closed",V76&lt;&gt;""),"Closed",IF(AH76&gt;=AgeCrit,"Critical",IF(AH76&gt;=AgeFu,"For Follow-up",IF(AH76&gt;=AgeMonitor,"Monitor","Within Standard")))))</f>
        <v/>
      </c>
      <c r="AJ76" s="38">
        <f>IF(A76="","",IFERROR(INDEX(StgPct,MATCH(H76,StgList,0)),0))</f>
        <v/>
      </c>
      <c r="AK76" s="38">
        <f>IF(A76="","",IFERROR(COUNTIF(Y76:AF76,"Y")/(COUNTIF(Y76:AF76,"Y")+COUNTIF(Y76:AF76,"N")),0))</f>
        <v/>
      </c>
      <c r="AL76" s="36">
        <f>IF(OR(A76="",X76=""),"",MAX(0,IF(V76&lt;&gt;"",V76,TODAY())-X76))</f>
        <v/>
      </c>
      <c r="AM76" s="32" t="n"/>
      <c r="AN76" s="33">
        <f>IF(A76="","",LOWER(AI76)&amp;"|"&amp;AH76&amp;"|"&amp;AJ76&amp;"|"&amp;AK76)</f>
        <v/>
      </c>
      <c r="AO76" s="33">
        <f>IF(OR(A76="",T76=""),"",T76-TODAY())</f>
        <v/>
      </c>
      <c r="AP76" s="33">
        <f>IF(OR(A76="",V76&lt;&gt;""),"",(TODAY()-B76)+ROW()/1000000)</f>
        <v/>
      </c>
    </row>
    <row r="77" ht="27" customHeight="1">
      <c r="A77" s="30" t="n"/>
      <c r="B77" s="31" t="n"/>
      <c r="C77" s="32" t="n"/>
      <c r="D77" s="32" t="n"/>
      <c r="E77" s="32" t="n"/>
      <c r="F77" s="32" t="n"/>
      <c r="G77" s="33">
        <f>IF(A77="","",IFERROR(INDEX(OffCat,MATCH(F77,OffList,0)),"Unlisted"))</f>
        <v/>
      </c>
      <c r="H77" s="30" t="n"/>
      <c r="I77" s="31" t="n"/>
      <c r="J77" s="34" t="n"/>
      <c r="K77" s="34" t="n"/>
      <c r="L77" s="34" t="n"/>
      <c r="M77" s="30" t="n"/>
      <c r="N77" s="30" t="n"/>
      <c r="O77" s="30" t="n"/>
      <c r="P77" s="30" t="n"/>
      <c r="Q77" s="31" t="n"/>
      <c r="R77" s="31" t="n"/>
      <c r="S77" s="31" t="n"/>
      <c r="T77" s="31" t="n"/>
      <c r="U77" s="31" t="n"/>
      <c r="V77" s="31" t="n"/>
      <c r="W77" s="30" t="n"/>
      <c r="X77" s="31" t="n"/>
      <c r="Y77" s="35" t="n"/>
      <c r="Z77" s="35" t="n"/>
      <c r="AA77" s="35" t="n"/>
      <c r="AB77" s="35" t="n"/>
      <c r="AC77" s="35" t="n"/>
      <c r="AD77" s="35" t="n"/>
      <c r="AE77" s="35" t="n"/>
      <c r="AF77" s="35" t="n"/>
      <c r="AG77" s="36">
        <f>IF(A77="","",IF(V77&lt;&gt;"",V77-B77,TODAY()-B77))</f>
        <v/>
      </c>
      <c r="AH77" s="36">
        <f>IF(OR(A77="",I77=""),"",MAX(0,IF(V77&lt;&gt;"",V77-I77,TODAY()-I77)))</f>
        <v/>
      </c>
      <c r="AI77" s="37">
        <f>IF(A77="","",IF(OR(K77="Closed",V77&lt;&gt;""),"Closed",IF(AH77&gt;=AgeCrit,"Critical",IF(AH77&gt;=AgeFu,"For Follow-up",IF(AH77&gt;=AgeMonitor,"Monitor","Within Standard")))))</f>
        <v/>
      </c>
      <c r="AJ77" s="38">
        <f>IF(A77="","",IFERROR(INDEX(StgPct,MATCH(H77,StgList,0)),0))</f>
        <v/>
      </c>
      <c r="AK77" s="38">
        <f>IF(A77="","",IFERROR(COUNTIF(Y77:AF77,"Y")/(COUNTIF(Y77:AF77,"Y")+COUNTIF(Y77:AF77,"N")),0))</f>
        <v/>
      </c>
      <c r="AL77" s="36">
        <f>IF(OR(A77="",X77=""),"",MAX(0,IF(V77&lt;&gt;"",V77,TODAY())-X77))</f>
        <v/>
      </c>
      <c r="AM77" s="32" t="n"/>
      <c r="AN77" s="33">
        <f>IF(A77="","",LOWER(AI77)&amp;"|"&amp;AH77&amp;"|"&amp;AJ77&amp;"|"&amp;AK77)</f>
        <v/>
      </c>
      <c r="AO77" s="33">
        <f>IF(OR(A77="",T77=""),"",T77-TODAY())</f>
        <v/>
      </c>
      <c r="AP77" s="33">
        <f>IF(OR(A77="",V77&lt;&gt;""),"",(TODAY()-B77)+ROW()/1000000)</f>
        <v/>
      </c>
    </row>
    <row r="78" ht="27" customHeight="1">
      <c r="A78" s="30" t="n"/>
      <c r="B78" s="31" t="n"/>
      <c r="C78" s="32" t="n"/>
      <c r="D78" s="32" t="n"/>
      <c r="E78" s="32" t="n"/>
      <c r="F78" s="32" t="n"/>
      <c r="G78" s="33">
        <f>IF(A78="","",IFERROR(INDEX(OffCat,MATCH(F78,OffList,0)),"Unlisted"))</f>
        <v/>
      </c>
      <c r="H78" s="30" t="n"/>
      <c r="I78" s="31" t="n"/>
      <c r="J78" s="34" t="n"/>
      <c r="K78" s="34" t="n"/>
      <c r="L78" s="34" t="n"/>
      <c r="M78" s="30" t="n"/>
      <c r="N78" s="30" t="n"/>
      <c r="O78" s="30" t="n"/>
      <c r="P78" s="30" t="n"/>
      <c r="Q78" s="31" t="n"/>
      <c r="R78" s="31" t="n"/>
      <c r="S78" s="31" t="n"/>
      <c r="T78" s="31" t="n"/>
      <c r="U78" s="31" t="n"/>
      <c r="V78" s="31" t="n"/>
      <c r="W78" s="30" t="n"/>
      <c r="X78" s="31" t="n"/>
      <c r="Y78" s="35" t="n"/>
      <c r="Z78" s="35" t="n"/>
      <c r="AA78" s="35" t="n"/>
      <c r="AB78" s="35" t="n"/>
      <c r="AC78" s="35" t="n"/>
      <c r="AD78" s="35" t="n"/>
      <c r="AE78" s="35" t="n"/>
      <c r="AF78" s="35" t="n"/>
      <c r="AG78" s="36">
        <f>IF(A78="","",IF(V78&lt;&gt;"",V78-B78,TODAY()-B78))</f>
        <v/>
      </c>
      <c r="AH78" s="36">
        <f>IF(OR(A78="",I78=""),"",MAX(0,IF(V78&lt;&gt;"",V78-I78,TODAY()-I78)))</f>
        <v/>
      </c>
      <c r="AI78" s="37">
        <f>IF(A78="","",IF(OR(K78="Closed",V78&lt;&gt;""),"Closed",IF(AH78&gt;=AgeCrit,"Critical",IF(AH78&gt;=AgeFu,"For Follow-up",IF(AH78&gt;=AgeMonitor,"Monitor","Within Standard")))))</f>
        <v/>
      </c>
      <c r="AJ78" s="38">
        <f>IF(A78="","",IFERROR(INDEX(StgPct,MATCH(H78,StgList,0)),0))</f>
        <v/>
      </c>
      <c r="AK78" s="38">
        <f>IF(A78="","",IFERROR(COUNTIF(Y78:AF78,"Y")/(COUNTIF(Y78:AF78,"Y")+COUNTIF(Y78:AF78,"N")),0))</f>
        <v/>
      </c>
      <c r="AL78" s="36">
        <f>IF(OR(A78="",X78=""),"",MAX(0,IF(V78&lt;&gt;"",V78,TODAY())-X78))</f>
        <v/>
      </c>
      <c r="AM78" s="32" t="n"/>
      <c r="AN78" s="33">
        <f>IF(A78="","",LOWER(AI78)&amp;"|"&amp;AH78&amp;"|"&amp;AJ78&amp;"|"&amp;AK78)</f>
        <v/>
      </c>
      <c r="AO78" s="33">
        <f>IF(OR(A78="",T78=""),"",T78-TODAY())</f>
        <v/>
      </c>
      <c r="AP78" s="33">
        <f>IF(OR(A78="",V78&lt;&gt;""),"",(TODAY()-B78)+ROW()/1000000)</f>
        <v/>
      </c>
    </row>
    <row r="79" ht="27" customHeight="1">
      <c r="A79" s="30" t="n"/>
      <c r="B79" s="31" t="n"/>
      <c r="C79" s="32" t="n"/>
      <c r="D79" s="32" t="n"/>
      <c r="E79" s="32" t="n"/>
      <c r="F79" s="32" t="n"/>
      <c r="G79" s="33">
        <f>IF(A79="","",IFERROR(INDEX(OffCat,MATCH(F79,OffList,0)),"Unlisted"))</f>
        <v/>
      </c>
      <c r="H79" s="30" t="n"/>
      <c r="I79" s="31" t="n"/>
      <c r="J79" s="34" t="n"/>
      <c r="K79" s="34" t="n"/>
      <c r="L79" s="34" t="n"/>
      <c r="M79" s="30" t="n"/>
      <c r="N79" s="30" t="n"/>
      <c r="O79" s="30" t="n"/>
      <c r="P79" s="30" t="n"/>
      <c r="Q79" s="31" t="n"/>
      <c r="R79" s="31" t="n"/>
      <c r="S79" s="31" t="n"/>
      <c r="T79" s="31" t="n"/>
      <c r="U79" s="31" t="n"/>
      <c r="V79" s="31" t="n"/>
      <c r="W79" s="30" t="n"/>
      <c r="X79" s="31" t="n"/>
      <c r="Y79" s="35" t="n"/>
      <c r="Z79" s="35" t="n"/>
      <c r="AA79" s="35" t="n"/>
      <c r="AB79" s="35" t="n"/>
      <c r="AC79" s="35" t="n"/>
      <c r="AD79" s="35" t="n"/>
      <c r="AE79" s="35" t="n"/>
      <c r="AF79" s="35" t="n"/>
      <c r="AG79" s="36">
        <f>IF(A79="","",IF(V79&lt;&gt;"",V79-B79,TODAY()-B79))</f>
        <v/>
      </c>
      <c r="AH79" s="36">
        <f>IF(OR(A79="",I79=""),"",MAX(0,IF(V79&lt;&gt;"",V79-I79,TODAY()-I79)))</f>
        <v/>
      </c>
      <c r="AI79" s="37">
        <f>IF(A79="","",IF(OR(K79="Closed",V79&lt;&gt;""),"Closed",IF(AH79&gt;=AgeCrit,"Critical",IF(AH79&gt;=AgeFu,"For Follow-up",IF(AH79&gt;=AgeMonitor,"Monitor","Within Standard")))))</f>
        <v/>
      </c>
      <c r="AJ79" s="38">
        <f>IF(A79="","",IFERROR(INDEX(StgPct,MATCH(H79,StgList,0)),0))</f>
        <v/>
      </c>
      <c r="AK79" s="38">
        <f>IF(A79="","",IFERROR(COUNTIF(Y79:AF79,"Y")/(COUNTIF(Y79:AF79,"Y")+COUNTIF(Y79:AF79,"N")),0))</f>
        <v/>
      </c>
      <c r="AL79" s="36">
        <f>IF(OR(A79="",X79=""),"",MAX(0,IF(V79&lt;&gt;"",V79,TODAY())-X79))</f>
        <v/>
      </c>
      <c r="AM79" s="32" t="n"/>
      <c r="AN79" s="33">
        <f>IF(A79="","",LOWER(AI79)&amp;"|"&amp;AH79&amp;"|"&amp;AJ79&amp;"|"&amp;AK79)</f>
        <v/>
      </c>
      <c r="AO79" s="33">
        <f>IF(OR(A79="",T79=""),"",T79-TODAY())</f>
        <v/>
      </c>
      <c r="AP79" s="33">
        <f>IF(OR(A79="",V79&lt;&gt;""),"",(TODAY()-B79)+ROW()/1000000)</f>
        <v/>
      </c>
    </row>
    <row r="80" ht="27" customHeight="1">
      <c r="A80" s="30" t="n"/>
      <c r="B80" s="31" t="n"/>
      <c r="C80" s="32" t="n"/>
      <c r="D80" s="32" t="n"/>
      <c r="E80" s="32" t="n"/>
      <c r="F80" s="32" t="n"/>
      <c r="G80" s="33">
        <f>IF(A80="","",IFERROR(INDEX(OffCat,MATCH(F80,OffList,0)),"Unlisted"))</f>
        <v/>
      </c>
      <c r="H80" s="30" t="n"/>
      <c r="I80" s="31" t="n"/>
      <c r="J80" s="34" t="n"/>
      <c r="K80" s="34" t="n"/>
      <c r="L80" s="34" t="n"/>
      <c r="M80" s="30" t="n"/>
      <c r="N80" s="30" t="n"/>
      <c r="O80" s="30" t="n"/>
      <c r="P80" s="30" t="n"/>
      <c r="Q80" s="31" t="n"/>
      <c r="R80" s="31" t="n"/>
      <c r="S80" s="31" t="n"/>
      <c r="T80" s="31" t="n"/>
      <c r="U80" s="31" t="n"/>
      <c r="V80" s="31" t="n"/>
      <c r="W80" s="30" t="n"/>
      <c r="X80" s="31" t="n"/>
      <c r="Y80" s="35" t="n"/>
      <c r="Z80" s="35" t="n"/>
      <c r="AA80" s="35" t="n"/>
      <c r="AB80" s="35" t="n"/>
      <c r="AC80" s="35" t="n"/>
      <c r="AD80" s="35" t="n"/>
      <c r="AE80" s="35" t="n"/>
      <c r="AF80" s="35" t="n"/>
      <c r="AG80" s="36">
        <f>IF(A80="","",IF(V80&lt;&gt;"",V80-B80,TODAY()-B80))</f>
        <v/>
      </c>
      <c r="AH80" s="36">
        <f>IF(OR(A80="",I80=""),"",MAX(0,IF(V80&lt;&gt;"",V80-I80,TODAY()-I80)))</f>
        <v/>
      </c>
      <c r="AI80" s="37">
        <f>IF(A80="","",IF(OR(K80="Closed",V80&lt;&gt;""),"Closed",IF(AH80&gt;=AgeCrit,"Critical",IF(AH80&gt;=AgeFu,"For Follow-up",IF(AH80&gt;=AgeMonitor,"Monitor","Within Standard")))))</f>
        <v/>
      </c>
      <c r="AJ80" s="38">
        <f>IF(A80="","",IFERROR(INDEX(StgPct,MATCH(H80,StgList,0)),0))</f>
        <v/>
      </c>
      <c r="AK80" s="38">
        <f>IF(A80="","",IFERROR(COUNTIF(Y80:AF80,"Y")/(COUNTIF(Y80:AF80,"Y")+COUNTIF(Y80:AF80,"N")),0))</f>
        <v/>
      </c>
      <c r="AL80" s="36">
        <f>IF(OR(A80="",X80=""),"",MAX(0,IF(V80&lt;&gt;"",V80,TODAY())-X80))</f>
        <v/>
      </c>
      <c r="AM80" s="32" t="n"/>
      <c r="AN80" s="33">
        <f>IF(A80="","",LOWER(AI80)&amp;"|"&amp;AH80&amp;"|"&amp;AJ80&amp;"|"&amp;AK80)</f>
        <v/>
      </c>
      <c r="AO80" s="33">
        <f>IF(OR(A80="",T80=""),"",T80-TODAY())</f>
        <v/>
      </c>
      <c r="AP80" s="33">
        <f>IF(OR(A80="",V80&lt;&gt;""),"",(TODAY()-B80)+ROW()/1000000)</f>
        <v/>
      </c>
    </row>
    <row r="81" ht="27" customHeight="1">
      <c r="A81" s="30" t="n"/>
      <c r="B81" s="31" t="n"/>
      <c r="C81" s="32" t="n"/>
      <c r="D81" s="32" t="n"/>
      <c r="E81" s="32" t="n"/>
      <c r="F81" s="32" t="n"/>
      <c r="G81" s="33">
        <f>IF(A81="","",IFERROR(INDEX(OffCat,MATCH(F81,OffList,0)),"Unlisted"))</f>
        <v/>
      </c>
      <c r="H81" s="30" t="n"/>
      <c r="I81" s="31" t="n"/>
      <c r="J81" s="34" t="n"/>
      <c r="K81" s="34" t="n"/>
      <c r="L81" s="34" t="n"/>
      <c r="M81" s="30" t="n"/>
      <c r="N81" s="30" t="n"/>
      <c r="O81" s="30" t="n"/>
      <c r="P81" s="30" t="n"/>
      <c r="Q81" s="31" t="n"/>
      <c r="R81" s="31" t="n"/>
      <c r="S81" s="31" t="n"/>
      <c r="T81" s="31" t="n"/>
      <c r="U81" s="31" t="n"/>
      <c r="V81" s="31" t="n"/>
      <c r="W81" s="30" t="n"/>
      <c r="X81" s="31" t="n"/>
      <c r="Y81" s="35" t="n"/>
      <c r="Z81" s="35" t="n"/>
      <c r="AA81" s="35" t="n"/>
      <c r="AB81" s="35" t="n"/>
      <c r="AC81" s="35" t="n"/>
      <c r="AD81" s="35" t="n"/>
      <c r="AE81" s="35" t="n"/>
      <c r="AF81" s="35" t="n"/>
      <c r="AG81" s="36">
        <f>IF(A81="","",IF(V81&lt;&gt;"",V81-B81,TODAY()-B81))</f>
        <v/>
      </c>
      <c r="AH81" s="36">
        <f>IF(OR(A81="",I81=""),"",MAX(0,IF(V81&lt;&gt;"",V81-I81,TODAY()-I81)))</f>
        <v/>
      </c>
      <c r="AI81" s="37">
        <f>IF(A81="","",IF(OR(K81="Closed",V81&lt;&gt;""),"Closed",IF(AH81&gt;=AgeCrit,"Critical",IF(AH81&gt;=AgeFu,"For Follow-up",IF(AH81&gt;=AgeMonitor,"Monitor","Within Standard")))))</f>
        <v/>
      </c>
      <c r="AJ81" s="38">
        <f>IF(A81="","",IFERROR(INDEX(StgPct,MATCH(H81,StgList,0)),0))</f>
        <v/>
      </c>
      <c r="AK81" s="38">
        <f>IF(A81="","",IFERROR(COUNTIF(Y81:AF81,"Y")/(COUNTIF(Y81:AF81,"Y")+COUNTIF(Y81:AF81,"N")),0))</f>
        <v/>
      </c>
      <c r="AL81" s="36">
        <f>IF(OR(A81="",X81=""),"",MAX(0,IF(V81&lt;&gt;"",V81,TODAY())-X81))</f>
        <v/>
      </c>
      <c r="AM81" s="32" t="n"/>
      <c r="AN81" s="33">
        <f>IF(A81="","",LOWER(AI81)&amp;"|"&amp;AH81&amp;"|"&amp;AJ81&amp;"|"&amp;AK81)</f>
        <v/>
      </c>
      <c r="AO81" s="33">
        <f>IF(OR(A81="",T81=""),"",T81-TODAY())</f>
        <v/>
      </c>
      <c r="AP81" s="33">
        <f>IF(OR(A81="",V81&lt;&gt;""),"",(TODAY()-B81)+ROW()/1000000)</f>
        <v/>
      </c>
    </row>
    <row r="82" ht="27" customHeight="1">
      <c r="A82" s="30" t="n"/>
      <c r="B82" s="31" t="n"/>
      <c r="C82" s="32" t="n"/>
      <c r="D82" s="32" t="n"/>
      <c r="E82" s="32" t="n"/>
      <c r="F82" s="32" t="n"/>
      <c r="G82" s="33">
        <f>IF(A82="","",IFERROR(INDEX(OffCat,MATCH(F82,OffList,0)),"Unlisted"))</f>
        <v/>
      </c>
      <c r="H82" s="30" t="n"/>
      <c r="I82" s="31" t="n"/>
      <c r="J82" s="34" t="n"/>
      <c r="K82" s="34" t="n"/>
      <c r="L82" s="34" t="n"/>
      <c r="M82" s="30" t="n"/>
      <c r="N82" s="30" t="n"/>
      <c r="O82" s="30" t="n"/>
      <c r="P82" s="30" t="n"/>
      <c r="Q82" s="31" t="n"/>
      <c r="R82" s="31" t="n"/>
      <c r="S82" s="31" t="n"/>
      <c r="T82" s="31" t="n"/>
      <c r="U82" s="31" t="n"/>
      <c r="V82" s="31" t="n"/>
      <c r="W82" s="30" t="n"/>
      <c r="X82" s="31" t="n"/>
      <c r="Y82" s="35" t="n"/>
      <c r="Z82" s="35" t="n"/>
      <c r="AA82" s="35" t="n"/>
      <c r="AB82" s="35" t="n"/>
      <c r="AC82" s="35" t="n"/>
      <c r="AD82" s="35" t="n"/>
      <c r="AE82" s="35" t="n"/>
      <c r="AF82" s="35" t="n"/>
      <c r="AG82" s="36">
        <f>IF(A82="","",IF(V82&lt;&gt;"",V82-B82,TODAY()-B82))</f>
        <v/>
      </c>
      <c r="AH82" s="36">
        <f>IF(OR(A82="",I82=""),"",MAX(0,IF(V82&lt;&gt;"",V82-I82,TODAY()-I82)))</f>
        <v/>
      </c>
      <c r="AI82" s="37">
        <f>IF(A82="","",IF(OR(K82="Closed",V82&lt;&gt;""),"Closed",IF(AH82&gt;=AgeCrit,"Critical",IF(AH82&gt;=AgeFu,"For Follow-up",IF(AH82&gt;=AgeMonitor,"Monitor","Within Standard")))))</f>
        <v/>
      </c>
      <c r="AJ82" s="38">
        <f>IF(A82="","",IFERROR(INDEX(StgPct,MATCH(H82,StgList,0)),0))</f>
        <v/>
      </c>
      <c r="AK82" s="38">
        <f>IF(A82="","",IFERROR(COUNTIF(Y82:AF82,"Y")/(COUNTIF(Y82:AF82,"Y")+COUNTIF(Y82:AF82,"N")),0))</f>
        <v/>
      </c>
      <c r="AL82" s="36">
        <f>IF(OR(A82="",X82=""),"",MAX(0,IF(V82&lt;&gt;"",V82,TODAY())-X82))</f>
        <v/>
      </c>
      <c r="AM82" s="32" t="n"/>
      <c r="AN82" s="33">
        <f>IF(A82="","",LOWER(AI82)&amp;"|"&amp;AH82&amp;"|"&amp;AJ82&amp;"|"&amp;AK82)</f>
        <v/>
      </c>
      <c r="AO82" s="33">
        <f>IF(OR(A82="",T82=""),"",T82-TODAY())</f>
        <v/>
      </c>
      <c r="AP82" s="33">
        <f>IF(OR(A82="",V82&lt;&gt;""),"",(TODAY()-B82)+ROW()/1000000)</f>
        <v/>
      </c>
    </row>
    <row r="83" ht="27" customHeight="1">
      <c r="A83" s="30" t="n"/>
      <c r="B83" s="31" t="n"/>
      <c r="C83" s="32" t="n"/>
      <c r="D83" s="32" t="n"/>
      <c r="E83" s="32" t="n"/>
      <c r="F83" s="32" t="n"/>
      <c r="G83" s="33">
        <f>IF(A83="","",IFERROR(INDEX(OffCat,MATCH(F83,OffList,0)),"Unlisted"))</f>
        <v/>
      </c>
      <c r="H83" s="30" t="n"/>
      <c r="I83" s="31" t="n"/>
      <c r="J83" s="34" t="n"/>
      <c r="K83" s="34" t="n"/>
      <c r="L83" s="34" t="n"/>
      <c r="M83" s="30" t="n"/>
      <c r="N83" s="30" t="n"/>
      <c r="O83" s="30" t="n"/>
      <c r="P83" s="30" t="n"/>
      <c r="Q83" s="31" t="n"/>
      <c r="R83" s="31" t="n"/>
      <c r="S83" s="31" t="n"/>
      <c r="T83" s="31" t="n"/>
      <c r="U83" s="31" t="n"/>
      <c r="V83" s="31" t="n"/>
      <c r="W83" s="30" t="n"/>
      <c r="X83" s="31" t="n"/>
      <c r="Y83" s="35" t="n"/>
      <c r="Z83" s="35" t="n"/>
      <c r="AA83" s="35" t="n"/>
      <c r="AB83" s="35" t="n"/>
      <c r="AC83" s="35" t="n"/>
      <c r="AD83" s="35" t="n"/>
      <c r="AE83" s="35" t="n"/>
      <c r="AF83" s="35" t="n"/>
      <c r="AG83" s="36">
        <f>IF(A83="","",IF(V83&lt;&gt;"",V83-B83,TODAY()-B83))</f>
        <v/>
      </c>
      <c r="AH83" s="36">
        <f>IF(OR(A83="",I83=""),"",MAX(0,IF(V83&lt;&gt;"",V83-I83,TODAY()-I83)))</f>
        <v/>
      </c>
      <c r="AI83" s="37">
        <f>IF(A83="","",IF(OR(K83="Closed",V83&lt;&gt;""),"Closed",IF(AH83&gt;=AgeCrit,"Critical",IF(AH83&gt;=AgeFu,"For Follow-up",IF(AH83&gt;=AgeMonitor,"Monitor","Within Standard")))))</f>
        <v/>
      </c>
      <c r="AJ83" s="38">
        <f>IF(A83="","",IFERROR(INDEX(StgPct,MATCH(H83,StgList,0)),0))</f>
        <v/>
      </c>
      <c r="AK83" s="38">
        <f>IF(A83="","",IFERROR(COUNTIF(Y83:AF83,"Y")/(COUNTIF(Y83:AF83,"Y")+COUNTIF(Y83:AF83,"N")),0))</f>
        <v/>
      </c>
      <c r="AL83" s="36">
        <f>IF(OR(A83="",X83=""),"",MAX(0,IF(V83&lt;&gt;"",V83,TODAY())-X83))</f>
        <v/>
      </c>
      <c r="AM83" s="32" t="n"/>
      <c r="AN83" s="33">
        <f>IF(A83="","",LOWER(AI83)&amp;"|"&amp;AH83&amp;"|"&amp;AJ83&amp;"|"&amp;AK83)</f>
        <v/>
      </c>
      <c r="AO83" s="33">
        <f>IF(OR(A83="",T83=""),"",T83-TODAY())</f>
        <v/>
      </c>
      <c r="AP83" s="33">
        <f>IF(OR(A83="",V83&lt;&gt;""),"",(TODAY()-B83)+ROW()/1000000)</f>
        <v/>
      </c>
    </row>
    <row r="84" ht="27" customHeight="1">
      <c r="A84" s="30" t="n"/>
      <c r="B84" s="31" t="n"/>
      <c r="C84" s="32" t="n"/>
      <c r="D84" s="32" t="n"/>
      <c r="E84" s="32" t="n"/>
      <c r="F84" s="32" t="n"/>
      <c r="G84" s="33">
        <f>IF(A84="","",IFERROR(INDEX(OffCat,MATCH(F84,OffList,0)),"Unlisted"))</f>
        <v/>
      </c>
      <c r="H84" s="30" t="n"/>
      <c r="I84" s="31" t="n"/>
      <c r="J84" s="34" t="n"/>
      <c r="K84" s="34" t="n"/>
      <c r="L84" s="34" t="n"/>
      <c r="M84" s="30" t="n"/>
      <c r="N84" s="30" t="n"/>
      <c r="O84" s="30" t="n"/>
      <c r="P84" s="30" t="n"/>
      <c r="Q84" s="31" t="n"/>
      <c r="R84" s="31" t="n"/>
      <c r="S84" s="31" t="n"/>
      <c r="T84" s="31" t="n"/>
      <c r="U84" s="31" t="n"/>
      <c r="V84" s="31" t="n"/>
      <c r="W84" s="30" t="n"/>
      <c r="X84" s="31" t="n"/>
      <c r="Y84" s="35" t="n"/>
      <c r="Z84" s="35" t="n"/>
      <c r="AA84" s="35" t="n"/>
      <c r="AB84" s="35" t="n"/>
      <c r="AC84" s="35" t="n"/>
      <c r="AD84" s="35" t="n"/>
      <c r="AE84" s="35" t="n"/>
      <c r="AF84" s="35" t="n"/>
      <c r="AG84" s="36">
        <f>IF(A84="","",IF(V84&lt;&gt;"",V84-B84,TODAY()-B84))</f>
        <v/>
      </c>
      <c r="AH84" s="36">
        <f>IF(OR(A84="",I84=""),"",MAX(0,IF(V84&lt;&gt;"",V84-I84,TODAY()-I84)))</f>
        <v/>
      </c>
      <c r="AI84" s="37">
        <f>IF(A84="","",IF(OR(K84="Closed",V84&lt;&gt;""),"Closed",IF(AH84&gt;=AgeCrit,"Critical",IF(AH84&gt;=AgeFu,"For Follow-up",IF(AH84&gt;=AgeMonitor,"Monitor","Within Standard")))))</f>
        <v/>
      </c>
      <c r="AJ84" s="38">
        <f>IF(A84="","",IFERROR(INDEX(StgPct,MATCH(H84,StgList,0)),0))</f>
        <v/>
      </c>
      <c r="AK84" s="38">
        <f>IF(A84="","",IFERROR(COUNTIF(Y84:AF84,"Y")/(COUNTIF(Y84:AF84,"Y")+COUNTIF(Y84:AF84,"N")),0))</f>
        <v/>
      </c>
      <c r="AL84" s="36">
        <f>IF(OR(A84="",X84=""),"",MAX(0,IF(V84&lt;&gt;"",V84,TODAY())-X84))</f>
        <v/>
      </c>
      <c r="AM84" s="32" t="n"/>
      <c r="AN84" s="33">
        <f>IF(A84="","",LOWER(AI84)&amp;"|"&amp;AH84&amp;"|"&amp;AJ84&amp;"|"&amp;AK84)</f>
        <v/>
      </c>
      <c r="AO84" s="33">
        <f>IF(OR(A84="",T84=""),"",T84-TODAY())</f>
        <v/>
      </c>
      <c r="AP84" s="33">
        <f>IF(OR(A84="",V84&lt;&gt;""),"",(TODAY()-B84)+ROW()/1000000)</f>
        <v/>
      </c>
    </row>
    <row r="85" ht="27" customHeight="1">
      <c r="A85" s="30" t="n"/>
      <c r="B85" s="31" t="n"/>
      <c r="C85" s="32" t="n"/>
      <c r="D85" s="32" t="n"/>
      <c r="E85" s="32" t="n"/>
      <c r="F85" s="32" t="n"/>
      <c r="G85" s="33">
        <f>IF(A85="","",IFERROR(INDEX(OffCat,MATCH(F85,OffList,0)),"Unlisted"))</f>
        <v/>
      </c>
      <c r="H85" s="30" t="n"/>
      <c r="I85" s="31" t="n"/>
      <c r="J85" s="34" t="n"/>
      <c r="K85" s="34" t="n"/>
      <c r="L85" s="34" t="n"/>
      <c r="M85" s="30" t="n"/>
      <c r="N85" s="30" t="n"/>
      <c r="O85" s="30" t="n"/>
      <c r="P85" s="30" t="n"/>
      <c r="Q85" s="31" t="n"/>
      <c r="R85" s="31" t="n"/>
      <c r="S85" s="31" t="n"/>
      <c r="T85" s="31" t="n"/>
      <c r="U85" s="31" t="n"/>
      <c r="V85" s="31" t="n"/>
      <c r="W85" s="30" t="n"/>
      <c r="X85" s="31" t="n"/>
      <c r="Y85" s="35" t="n"/>
      <c r="Z85" s="35" t="n"/>
      <c r="AA85" s="35" t="n"/>
      <c r="AB85" s="35" t="n"/>
      <c r="AC85" s="35" t="n"/>
      <c r="AD85" s="35" t="n"/>
      <c r="AE85" s="35" t="n"/>
      <c r="AF85" s="35" t="n"/>
      <c r="AG85" s="36">
        <f>IF(A85="","",IF(V85&lt;&gt;"",V85-B85,TODAY()-B85))</f>
        <v/>
      </c>
      <c r="AH85" s="36">
        <f>IF(OR(A85="",I85=""),"",MAX(0,IF(V85&lt;&gt;"",V85-I85,TODAY()-I85)))</f>
        <v/>
      </c>
      <c r="AI85" s="37">
        <f>IF(A85="","",IF(OR(K85="Closed",V85&lt;&gt;""),"Closed",IF(AH85&gt;=AgeCrit,"Critical",IF(AH85&gt;=AgeFu,"For Follow-up",IF(AH85&gt;=AgeMonitor,"Monitor","Within Standard")))))</f>
        <v/>
      </c>
      <c r="AJ85" s="38">
        <f>IF(A85="","",IFERROR(INDEX(StgPct,MATCH(H85,StgList,0)),0))</f>
        <v/>
      </c>
      <c r="AK85" s="38">
        <f>IF(A85="","",IFERROR(COUNTIF(Y85:AF85,"Y")/(COUNTIF(Y85:AF85,"Y")+COUNTIF(Y85:AF85,"N")),0))</f>
        <v/>
      </c>
      <c r="AL85" s="36">
        <f>IF(OR(A85="",X85=""),"",MAX(0,IF(V85&lt;&gt;"",V85,TODAY())-X85))</f>
        <v/>
      </c>
      <c r="AM85" s="32" t="n"/>
      <c r="AN85" s="33">
        <f>IF(A85="","",LOWER(AI85)&amp;"|"&amp;AH85&amp;"|"&amp;AJ85&amp;"|"&amp;AK85)</f>
        <v/>
      </c>
      <c r="AO85" s="33">
        <f>IF(OR(A85="",T85=""),"",T85-TODAY())</f>
        <v/>
      </c>
      <c r="AP85" s="33">
        <f>IF(OR(A85="",V85&lt;&gt;""),"",(TODAY()-B85)+ROW()/1000000)</f>
        <v/>
      </c>
    </row>
    <row r="86" ht="27" customHeight="1">
      <c r="A86" s="30" t="n"/>
      <c r="B86" s="31" t="n"/>
      <c r="C86" s="32" t="n"/>
      <c r="D86" s="32" t="n"/>
      <c r="E86" s="32" t="n"/>
      <c r="F86" s="32" t="n"/>
      <c r="G86" s="33">
        <f>IF(A86="","",IFERROR(INDEX(OffCat,MATCH(F86,OffList,0)),"Unlisted"))</f>
        <v/>
      </c>
      <c r="H86" s="30" t="n"/>
      <c r="I86" s="31" t="n"/>
      <c r="J86" s="34" t="n"/>
      <c r="K86" s="34" t="n"/>
      <c r="L86" s="34" t="n"/>
      <c r="M86" s="30" t="n"/>
      <c r="N86" s="30" t="n"/>
      <c r="O86" s="30" t="n"/>
      <c r="P86" s="30" t="n"/>
      <c r="Q86" s="31" t="n"/>
      <c r="R86" s="31" t="n"/>
      <c r="S86" s="31" t="n"/>
      <c r="T86" s="31" t="n"/>
      <c r="U86" s="31" t="n"/>
      <c r="V86" s="31" t="n"/>
      <c r="W86" s="30" t="n"/>
      <c r="X86" s="31" t="n"/>
      <c r="Y86" s="35" t="n"/>
      <c r="Z86" s="35" t="n"/>
      <c r="AA86" s="35" t="n"/>
      <c r="AB86" s="35" t="n"/>
      <c r="AC86" s="35" t="n"/>
      <c r="AD86" s="35" t="n"/>
      <c r="AE86" s="35" t="n"/>
      <c r="AF86" s="35" t="n"/>
      <c r="AG86" s="36">
        <f>IF(A86="","",IF(V86&lt;&gt;"",V86-B86,TODAY()-B86))</f>
        <v/>
      </c>
      <c r="AH86" s="36">
        <f>IF(OR(A86="",I86=""),"",MAX(0,IF(V86&lt;&gt;"",V86-I86,TODAY()-I86)))</f>
        <v/>
      </c>
      <c r="AI86" s="37">
        <f>IF(A86="","",IF(OR(K86="Closed",V86&lt;&gt;""),"Closed",IF(AH86&gt;=AgeCrit,"Critical",IF(AH86&gt;=AgeFu,"For Follow-up",IF(AH86&gt;=AgeMonitor,"Monitor","Within Standard")))))</f>
        <v/>
      </c>
      <c r="AJ86" s="38">
        <f>IF(A86="","",IFERROR(INDEX(StgPct,MATCH(H86,StgList,0)),0))</f>
        <v/>
      </c>
      <c r="AK86" s="38">
        <f>IF(A86="","",IFERROR(COUNTIF(Y86:AF86,"Y")/(COUNTIF(Y86:AF86,"Y")+COUNTIF(Y86:AF86,"N")),0))</f>
        <v/>
      </c>
      <c r="AL86" s="36">
        <f>IF(OR(A86="",X86=""),"",MAX(0,IF(V86&lt;&gt;"",V86,TODAY())-X86))</f>
        <v/>
      </c>
      <c r="AM86" s="32" t="n"/>
      <c r="AN86" s="33">
        <f>IF(A86="","",LOWER(AI86)&amp;"|"&amp;AH86&amp;"|"&amp;AJ86&amp;"|"&amp;AK86)</f>
        <v/>
      </c>
      <c r="AO86" s="33">
        <f>IF(OR(A86="",T86=""),"",T86-TODAY())</f>
        <v/>
      </c>
      <c r="AP86" s="33">
        <f>IF(OR(A86="",V86&lt;&gt;""),"",(TODAY()-B86)+ROW()/1000000)</f>
        <v/>
      </c>
    </row>
    <row r="87" ht="27" customHeight="1">
      <c r="A87" s="30" t="n"/>
      <c r="B87" s="31" t="n"/>
      <c r="C87" s="32" t="n"/>
      <c r="D87" s="32" t="n"/>
      <c r="E87" s="32" t="n"/>
      <c r="F87" s="32" t="n"/>
      <c r="G87" s="33">
        <f>IF(A87="","",IFERROR(INDEX(OffCat,MATCH(F87,OffList,0)),"Unlisted"))</f>
        <v/>
      </c>
      <c r="H87" s="30" t="n"/>
      <c r="I87" s="31" t="n"/>
      <c r="J87" s="34" t="n"/>
      <c r="K87" s="34" t="n"/>
      <c r="L87" s="34" t="n"/>
      <c r="M87" s="30" t="n"/>
      <c r="N87" s="30" t="n"/>
      <c r="O87" s="30" t="n"/>
      <c r="P87" s="30" t="n"/>
      <c r="Q87" s="31" t="n"/>
      <c r="R87" s="31" t="n"/>
      <c r="S87" s="31" t="n"/>
      <c r="T87" s="31" t="n"/>
      <c r="U87" s="31" t="n"/>
      <c r="V87" s="31" t="n"/>
      <c r="W87" s="30" t="n"/>
      <c r="X87" s="31" t="n"/>
      <c r="Y87" s="35" t="n"/>
      <c r="Z87" s="35" t="n"/>
      <c r="AA87" s="35" t="n"/>
      <c r="AB87" s="35" t="n"/>
      <c r="AC87" s="35" t="n"/>
      <c r="AD87" s="35" t="n"/>
      <c r="AE87" s="35" t="n"/>
      <c r="AF87" s="35" t="n"/>
      <c r="AG87" s="36">
        <f>IF(A87="","",IF(V87&lt;&gt;"",V87-B87,TODAY()-B87))</f>
        <v/>
      </c>
      <c r="AH87" s="36">
        <f>IF(OR(A87="",I87=""),"",MAX(0,IF(V87&lt;&gt;"",V87-I87,TODAY()-I87)))</f>
        <v/>
      </c>
      <c r="AI87" s="37">
        <f>IF(A87="","",IF(OR(K87="Closed",V87&lt;&gt;""),"Closed",IF(AH87&gt;=AgeCrit,"Critical",IF(AH87&gt;=AgeFu,"For Follow-up",IF(AH87&gt;=AgeMonitor,"Monitor","Within Standard")))))</f>
        <v/>
      </c>
      <c r="AJ87" s="38">
        <f>IF(A87="","",IFERROR(INDEX(StgPct,MATCH(H87,StgList,0)),0))</f>
        <v/>
      </c>
      <c r="AK87" s="38">
        <f>IF(A87="","",IFERROR(COUNTIF(Y87:AF87,"Y")/(COUNTIF(Y87:AF87,"Y")+COUNTIF(Y87:AF87,"N")),0))</f>
        <v/>
      </c>
      <c r="AL87" s="36">
        <f>IF(OR(A87="",X87=""),"",MAX(0,IF(V87&lt;&gt;"",V87,TODAY())-X87))</f>
        <v/>
      </c>
      <c r="AM87" s="32" t="n"/>
      <c r="AN87" s="33">
        <f>IF(A87="","",LOWER(AI87)&amp;"|"&amp;AH87&amp;"|"&amp;AJ87&amp;"|"&amp;AK87)</f>
        <v/>
      </c>
      <c r="AO87" s="33">
        <f>IF(OR(A87="",T87=""),"",T87-TODAY())</f>
        <v/>
      </c>
      <c r="AP87" s="33">
        <f>IF(OR(A87="",V87&lt;&gt;""),"",(TODAY()-B87)+ROW()/1000000)</f>
        <v/>
      </c>
    </row>
    <row r="88" ht="27" customHeight="1">
      <c r="A88" s="30" t="n"/>
      <c r="B88" s="31" t="n"/>
      <c r="C88" s="32" t="n"/>
      <c r="D88" s="32" t="n"/>
      <c r="E88" s="32" t="n"/>
      <c r="F88" s="32" t="n"/>
      <c r="G88" s="33">
        <f>IF(A88="","",IFERROR(INDEX(OffCat,MATCH(F88,OffList,0)),"Unlisted"))</f>
        <v/>
      </c>
      <c r="H88" s="30" t="n"/>
      <c r="I88" s="31" t="n"/>
      <c r="J88" s="34" t="n"/>
      <c r="K88" s="34" t="n"/>
      <c r="L88" s="34" t="n"/>
      <c r="M88" s="30" t="n"/>
      <c r="N88" s="30" t="n"/>
      <c r="O88" s="30" t="n"/>
      <c r="P88" s="30" t="n"/>
      <c r="Q88" s="31" t="n"/>
      <c r="R88" s="31" t="n"/>
      <c r="S88" s="31" t="n"/>
      <c r="T88" s="31" t="n"/>
      <c r="U88" s="31" t="n"/>
      <c r="V88" s="31" t="n"/>
      <c r="W88" s="30" t="n"/>
      <c r="X88" s="31" t="n"/>
      <c r="Y88" s="35" t="n"/>
      <c r="Z88" s="35" t="n"/>
      <c r="AA88" s="35" t="n"/>
      <c r="AB88" s="35" t="n"/>
      <c r="AC88" s="35" t="n"/>
      <c r="AD88" s="35" t="n"/>
      <c r="AE88" s="35" t="n"/>
      <c r="AF88" s="35" t="n"/>
      <c r="AG88" s="36">
        <f>IF(A88="","",IF(V88&lt;&gt;"",V88-B88,TODAY()-B88))</f>
        <v/>
      </c>
      <c r="AH88" s="36">
        <f>IF(OR(A88="",I88=""),"",MAX(0,IF(V88&lt;&gt;"",V88-I88,TODAY()-I88)))</f>
        <v/>
      </c>
      <c r="AI88" s="37">
        <f>IF(A88="","",IF(OR(K88="Closed",V88&lt;&gt;""),"Closed",IF(AH88&gt;=AgeCrit,"Critical",IF(AH88&gt;=AgeFu,"For Follow-up",IF(AH88&gt;=AgeMonitor,"Monitor","Within Standard")))))</f>
        <v/>
      </c>
      <c r="AJ88" s="38">
        <f>IF(A88="","",IFERROR(INDEX(StgPct,MATCH(H88,StgList,0)),0))</f>
        <v/>
      </c>
      <c r="AK88" s="38">
        <f>IF(A88="","",IFERROR(COUNTIF(Y88:AF88,"Y")/(COUNTIF(Y88:AF88,"Y")+COUNTIF(Y88:AF88,"N")),0))</f>
        <v/>
      </c>
      <c r="AL88" s="36">
        <f>IF(OR(A88="",X88=""),"",MAX(0,IF(V88&lt;&gt;"",V88,TODAY())-X88))</f>
        <v/>
      </c>
      <c r="AM88" s="32" t="n"/>
      <c r="AN88" s="33">
        <f>IF(A88="","",LOWER(AI88)&amp;"|"&amp;AH88&amp;"|"&amp;AJ88&amp;"|"&amp;AK88)</f>
        <v/>
      </c>
      <c r="AO88" s="33">
        <f>IF(OR(A88="",T88=""),"",T88-TODAY())</f>
        <v/>
      </c>
      <c r="AP88" s="33">
        <f>IF(OR(A88="",V88&lt;&gt;""),"",(TODAY()-B88)+ROW()/1000000)</f>
        <v/>
      </c>
    </row>
    <row r="89" ht="27" customHeight="1">
      <c r="A89" s="30" t="n"/>
      <c r="B89" s="31" t="n"/>
      <c r="C89" s="32" t="n"/>
      <c r="D89" s="32" t="n"/>
      <c r="E89" s="32" t="n"/>
      <c r="F89" s="32" t="n"/>
      <c r="G89" s="33">
        <f>IF(A89="","",IFERROR(INDEX(OffCat,MATCH(F89,OffList,0)),"Unlisted"))</f>
        <v/>
      </c>
      <c r="H89" s="30" t="n"/>
      <c r="I89" s="31" t="n"/>
      <c r="J89" s="34" t="n"/>
      <c r="K89" s="34" t="n"/>
      <c r="L89" s="34" t="n"/>
      <c r="M89" s="30" t="n"/>
      <c r="N89" s="30" t="n"/>
      <c r="O89" s="30" t="n"/>
      <c r="P89" s="30" t="n"/>
      <c r="Q89" s="31" t="n"/>
      <c r="R89" s="31" t="n"/>
      <c r="S89" s="31" t="n"/>
      <c r="T89" s="31" t="n"/>
      <c r="U89" s="31" t="n"/>
      <c r="V89" s="31" t="n"/>
      <c r="W89" s="30" t="n"/>
      <c r="X89" s="31" t="n"/>
      <c r="Y89" s="35" t="n"/>
      <c r="Z89" s="35" t="n"/>
      <c r="AA89" s="35" t="n"/>
      <c r="AB89" s="35" t="n"/>
      <c r="AC89" s="35" t="n"/>
      <c r="AD89" s="35" t="n"/>
      <c r="AE89" s="35" t="n"/>
      <c r="AF89" s="35" t="n"/>
      <c r="AG89" s="36">
        <f>IF(A89="","",IF(V89&lt;&gt;"",V89-B89,TODAY()-B89))</f>
        <v/>
      </c>
      <c r="AH89" s="36">
        <f>IF(OR(A89="",I89=""),"",MAX(0,IF(V89&lt;&gt;"",V89-I89,TODAY()-I89)))</f>
        <v/>
      </c>
      <c r="AI89" s="37">
        <f>IF(A89="","",IF(OR(K89="Closed",V89&lt;&gt;""),"Closed",IF(AH89&gt;=AgeCrit,"Critical",IF(AH89&gt;=AgeFu,"For Follow-up",IF(AH89&gt;=AgeMonitor,"Monitor","Within Standard")))))</f>
        <v/>
      </c>
      <c r="AJ89" s="38">
        <f>IF(A89="","",IFERROR(INDEX(StgPct,MATCH(H89,StgList,0)),0))</f>
        <v/>
      </c>
      <c r="AK89" s="38">
        <f>IF(A89="","",IFERROR(COUNTIF(Y89:AF89,"Y")/(COUNTIF(Y89:AF89,"Y")+COUNTIF(Y89:AF89,"N")),0))</f>
        <v/>
      </c>
      <c r="AL89" s="36">
        <f>IF(OR(A89="",X89=""),"",MAX(0,IF(V89&lt;&gt;"",V89,TODAY())-X89))</f>
        <v/>
      </c>
      <c r="AM89" s="32" t="n"/>
      <c r="AN89" s="33">
        <f>IF(A89="","",LOWER(AI89)&amp;"|"&amp;AH89&amp;"|"&amp;AJ89&amp;"|"&amp;AK89)</f>
        <v/>
      </c>
      <c r="AO89" s="33">
        <f>IF(OR(A89="",T89=""),"",T89-TODAY())</f>
        <v/>
      </c>
      <c r="AP89" s="33">
        <f>IF(OR(A89="",V89&lt;&gt;""),"",(TODAY()-B89)+ROW()/1000000)</f>
        <v/>
      </c>
    </row>
    <row r="90" ht="27" customHeight="1">
      <c r="A90" s="30" t="n"/>
      <c r="B90" s="31" t="n"/>
      <c r="C90" s="32" t="n"/>
      <c r="D90" s="32" t="n"/>
      <c r="E90" s="32" t="n"/>
      <c r="F90" s="32" t="n"/>
      <c r="G90" s="33">
        <f>IF(A90="","",IFERROR(INDEX(OffCat,MATCH(F90,OffList,0)),"Unlisted"))</f>
        <v/>
      </c>
      <c r="H90" s="30" t="n"/>
      <c r="I90" s="31" t="n"/>
      <c r="J90" s="34" t="n"/>
      <c r="K90" s="34" t="n"/>
      <c r="L90" s="34" t="n"/>
      <c r="M90" s="30" t="n"/>
      <c r="N90" s="30" t="n"/>
      <c r="O90" s="30" t="n"/>
      <c r="P90" s="30" t="n"/>
      <c r="Q90" s="31" t="n"/>
      <c r="R90" s="31" t="n"/>
      <c r="S90" s="31" t="n"/>
      <c r="T90" s="31" t="n"/>
      <c r="U90" s="31" t="n"/>
      <c r="V90" s="31" t="n"/>
      <c r="W90" s="30" t="n"/>
      <c r="X90" s="31" t="n"/>
      <c r="Y90" s="35" t="n"/>
      <c r="Z90" s="35" t="n"/>
      <c r="AA90" s="35" t="n"/>
      <c r="AB90" s="35" t="n"/>
      <c r="AC90" s="35" t="n"/>
      <c r="AD90" s="35" t="n"/>
      <c r="AE90" s="35" t="n"/>
      <c r="AF90" s="35" t="n"/>
      <c r="AG90" s="36">
        <f>IF(A90="","",IF(V90&lt;&gt;"",V90-B90,TODAY()-B90))</f>
        <v/>
      </c>
      <c r="AH90" s="36">
        <f>IF(OR(A90="",I90=""),"",MAX(0,IF(V90&lt;&gt;"",V90-I90,TODAY()-I90)))</f>
        <v/>
      </c>
      <c r="AI90" s="37">
        <f>IF(A90="","",IF(OR(K90="Closed",V90&lt;&gt;""),"Closed",IF(AH90&gt;=AgeCrit,"Critical",IF(AH90&gt;=AgeFu,"For Follow-up",IF(AH90&gt;=AgeMonitor,"Monitor","Within Standard")))))</f>
        <v/>
      </c>
      <c r="AJ90" s="38">
        <f>IF(A90="","",IFERROR(INDEX(StgPct,MATCH(H90,StgList,0)),0))</f>
        <v/>
      </c>
      <c r="AK90" s="38">
        <f>IF(A90="","",IFERROR(COUNTIF(Y90:AF90,"Y")/(COUNTIF(Y90:AF90,"Y")+COUNTIF(Y90:AF90,"N")),0))</f>
        <v/>
      </c>
      <c r="AL90" s="36">
        <f>IF(OR(A90="",X90=""),"",MAX(0,IF(V90&lt;&gt;"",V90,TODAY())-X90))</f>
        <v/>
      </c>
      <c r="AM90" s="32" t="n"/>
      <c r="AN90" s="33">
        <f>IF(A90="","",LOWER(AI90)&amp;"|"&amp;AH90&amp;"|"&amp;AJ90&amp;"|"&amp;AK90)</f>
        <v/>
      </c>
      <c r="AO90" s="33">
        <f>IF(OR(A90="",T90=""),"",T90-TODAY())</f>
        <v/>
      </c>
      <c r="AP90" s="33">
        <f>IF(OR(A90="",V90&lt;&gt;""),"",(TODAY()-B90)+ROW()/1000000)</f>
        <v/>
      </c>
    </row>
    <row r="91" ht="27" customHeight="1">
      <c r="A91" s="30" t="n"/>
      <c r="B91" s="31" t="n"/>
      <c r="C91" s="32" t="n"/>
      <c r="D91" s="32" t="n"/>
      <c r="E91" s="32" t="n"/>
      <c r="F91" s="32" t="n"/>
      <c r="G91" s="33">
        <f>IF(A91="","",IFERROR(INDEX(OffCat,MATCH(F91,OffList,0)),"Unlisted"))</f>
        <v/>
      </c>
      <c r="H91" s="30" t="n"/>
      <c r="I91" s="31" t="n"/>
      <c r="J91" s="34" t="n"/>
      <c r="K91" s="34" t="n"/>
      <c r="L91" s="34" t="n"/>
      <c r="M91" s="30" t="n"/>
      <c r="N91" s="30" t="n"/>
      <c r="O91" s="30" t="n"/>
      <c r="P91" s="30" t="n"/>
      <c r="Q91" s="31" t="n"/>
      <c r="R91" s="31" t="n"/>
      <c r="S91" s="31" t="n"/>
      <c r="T91" s="31" t="n"/>
      <c r="U91" s="31" t="n"/>
      <c r="V91" s="31" t="n"/>
      <c r="W91" s="30" t="n"/>
      <c r="X91" s="31" t="n"/>
      <c r="Y91" s="35" t="n"/>
      <c r="Z91" s="35" t="n"/>
      <c r="AA91" s="35" t="n"/>
      <c r="AB91" s="35" t="n"/>
      <c r="AC91" s="35" t="n"/>
      <c r="AD91" s="35" t="n"/>
      <c r="AE91" s="35" t="n"/>
      <c r="AF91" s="35" t="n"/>
      <c r="AG91" s="36">
        <f>IF(A91="","",IF(V91&lt;&gt;"",V91-B91,TODAY()-B91))</f>
        <v/>
      </c>
      <c r="AH91" s="36">
        <f>IF(OR(A91="",I91=""),"",MAX(0,IF(V91&lt;&gt;"",V91-I91,TODAY()-I91)))</f>
        <v/>
      </c>
      <c r="AI91" s="37">
        <f>IF(A91="","",IF(OR(K91="Closed",V91&lt;&gt;""),"Closed",IF(AH91&gt;=AgeCrit,"Critical",IF(AH91&gt;=AgeFu,"For Follow-up",IF(AH91&gt;=AgeMonitor,"Monitor","Within Standard")))))</f>
        <v/>
      </c>
      <c r="AJ91" s="38">
        <f>IF(A91="","",IFERROR(INDEX(StgPct,MATCH(H91,StgList,0)),0))</f>
        <v/>
      </c>
      <c r="AK91" s="38">
        <f>IF(A91="","",IFERROR(COUNTIF(Y91:AF91,"Y")/(COUNTIF(Y91:AF91,"Y")+COUNTIF(Y91:AF91,"N")),0))</f>
        <v/>
      </c>
      <c r="AL91" s="36">
        <f>IF(OR(A91="",X91=""),"",MAX(0,IF(V91&lt;&gt;"",V91,TODAY())-X91))</f>
        <v/>
      </c>
      <c r="AM91" s="32" t="n"/>
      <c r="AN91" s="33">
        <f>IF(A91="","",LOWER(AI91)&amp;"|"&amp;AH91&amp;"|"&amp;AJ91&amp;"|"&amp;AK91)</f>
        <v/>
      </c>
      <c r="AO91" s="33">
        <f>IF(OR(A91="",T91=""),"",T91-TODAY())</f>
        <v/>
      </c>
      <c r="AP91" s="33">
        <f>IF(OR(A91="",V91&lt;&gt;""),"",(TODAY()-B91)+ROW()/1000000)</f>
        <v/>
      </c>
    </row>
    <row r="92" ht="27" customHeight="1">
      <c r="A92" s="30" t="n"/>
      <c r="B92" s="31" t="n"/>
      <c r="C92" s="32" t="n"/>
      <c r="D92" s="32" t="n"/>
      <c r="E92" s="32" t="n"/>
      <c r="F92" s="32" t="n"/>
      <c r="G92" s="33">
        <f>IF(A92="","",IFERROR(INDEX(OffCat,MATCH(F92,OffList,0)),"Unlisted"))</f>
        <v/>
      </c>
      <c r="H92" s="30" t="n"/>
      <c r="I92" s="31" t="n"/>
      <c r="J92" s="34" t="n"/>
      <c r="K92" s="34" t="n"/>
      <c r="L92" s="34" t="n"/>
      <c r="M92" s="30" t="n"/>
      <c r="N92" s="30" t="n"/>
      <c r="O92" s="30" t="n"/>
      <c r="P92" s="30" t="n"/>
      <c r="Q92" s="31" t="n"/>
      <c r="R92" s="31" t="n"/>
      <c r="S92" s="31" t="n"/>
      <c r="T92" s="31" t="n"/>
      <c r="U92" s="31" t="n"/>
      <c r="V92" s="31" t="n"/>
      <c r="W92" s="30" t="n"/>
      <c r="X92" s="31" t="n"/>
      <c r="Y92" s="35" t="n"/>
      <c r="Z92" s="35" t="n"/>
      <c r="AA92" s="35" t="n"/>
      <c r="AB92" s="35" t="n"/>
      <c r="AC92" s="35" t="n"/>
      <c r="AD92" s="35" t="n"/>
      <c r="AE92" s="35" t="n"/>
      <c r="AF92" s="35" t="n"/>
      <c r="AG92" s="36">
        <f>IF(A92="","",IF(V92&lt;&gt;"",V92-B92,TODAY()-B92))</f>
        <v/>
      </c>
      <c r="AH92" s="36">
        <f>IF(OR(A92="",I92=""),"",MAX(0,IF(V92&lt;&gt;"",V92-I92,TODAY()-I92)))</f>
        <v/>
      </c>
      <c r="AI92" s="37">
        <f>IF(A92="","",IF(OR(K92="Closed",V92&lt;&gt;""),"Closed",IF(AH92&gt;=AgeCrit,"Critical",IF(AH92&gt;=AgeFu,"For Follow-up",IF(AH92&gt;=AgeMonitor,"Monitor","Within Standard")))))</f>
        <v/>
      </c>
      <c r="AJ92" s="38">
        <f>IF(A92="","",IFERROR(INDEX(StgPct,MATCH(H92,StgList,0)),0))</f>
        <v/>
      </c>
      <c r="AK92" s="38">
        <f>IF(A92="","",IFERROR(COUNTIF(Y92:AF92,"Y")/(COUNTIF(Y92:AF92,"Y")+COUNTIF(Y92:AF92,"N")),0))</f>
        <v/>
      </c>
      <c r="AL92" s="36">
        <f>IF(OR(A92="",X92=""),"",MAX(0,IF(V92&lt;&gt;"",V92,TODAY())-X92))</f>
        <v/>
      </c>
      <c r="AM92" s="32" t="n"/>
      <c r="AN92" s="33">
        <f>IF(A92="","",LOWER(AI92)&amp;"|"&amp;AH92&amp;"|"&amp;AJ92&amp;"|"&amp;AK92)</f>
        <v/>
      </c>
      <c r="AO92" s="33">
        <f>IF(OR(A92="",T92=""),"",T92-TODAY())</f>
        <v/>
      </c>
      <c r="AP92" s="33">
        <f>IF(OR(A92="",V92&lt;&gt;""),"",(TODAY()-B92)+ROW()/1000000)</f>
        <v/>
      </c>
    </row>
    <row r="93" ht="27" customHeight="1">
      <c r="A93" s="30" t="n"/>
      <c r="B93" s="31" t="n"/>
      <c r="C93" s="32" t="n"/>
      <c r="D93" s="32" t="n"/>
      <c r="E93" s="32" t="n"/>
      <c r="F93" s="32" t="n"/>
      <c r="G93" s="33">
        <f>IF(A93="","",IFERROR(INDEX(OffCat,MATCH(F93,OffList,0)),"Unlisted"))</f>
        <v/>
      </c>
      <c r="H93" s="30" t="n"/>
      <c r="I93" s="31" t="n"/>
      <c r="J93" s="34" t="n"/>
      <c r="K93" s="34" t="n"/>
      <c r="L93" s="34" t="n"/>
      <c r="M93" s="30" t="n"/>
      <c r="N93" s="30" t="n"/>
      <c r="O93" s="30" t="n"/>
      <c r="P93" s="30" t="n"/>
      <c r="Q93" s="31" t="n"/>
      <c r="R93" s="31" t="n"/>
      <c r="S93" s="31" t="n"/>
      <c r="T93" s="31" t="n"/>
      <c r="U93" s="31" t="n"/>
      <c r="V93" s="31" t="n"/>
      <c r="W93" s="30" t="n"/>
      <c r="X93" s="31" t="n"/>
      <c r="Y93" s="35" t="n"/>
      <c r="Z93" s="35" t="n"/>
      <c r="AA93" s="35" t="n"/>
      <c r="AB93" s="35" t="n"/>
      <c r="AC93" s="35" t="n"/>
      <c r="AD93" s="35" t="n"/>
      <c r="AE93" s="35" t="n"/>
      <c r="AF93" s="35" t="n"/>
      <c r="AG93" s="36">
        <f>IF(A93="","",IF(V93&lt;&gt;"",V93-B93,TODAY()-B93))</f>
        <v/>
      </c>
      <c r="AH93" s="36">
        <f>IF(OR(A93="",I93=""),"",MAX(0,IF(V93&lt;&gt;"",V93-I93,TODAY()-I93)))</f>
        <v/>
      </c>
      <c r="AI93" s="37">
        <f>IF(A93="","",IF(OR(K93="Closed",V93&lt;&gt;""),"Closed",IF(AH93&gt;=AgeCrit,"Critical",IF(AH93&gt;=AgeFu,"For Follow-up",IF(AH93&gt;=AgeMonitor,"Monitor","Within Standard")))))</f>
        <v/>
      </c>
      <c r="AJ93" s="38">
        <f>IF(A93="","",IFERROR(INDEX(StgPct,MATCH(H93,StgList,0)),0))</f>
        <v/>
      </c>
      <c r="AK93" s="38">
        <f>IF(A93="","",IFERROR(COUNTIF(Y93:AF93,"Y")/(COUNTIF(Y93:AF93,"Y")+COUNTIF(Y93:AF93,"N")),0))</f>
        <v/>
      </c>
      <c r="AL93" s="36">
        <f>IF(OR(A93="",X93=""),"",MAX(0,IF(V93&lt;&gt;"",V93,TODAY())-X93))</f>
        <v/>
      </c>
      <c r="AM93" s="32" t="n"/>
      <c r="AN93" s="33">
        <f>IF(A93="","",LOWER(AI93)&amp;"|"&amp;AH93&amp;"|"&amp;AJ93&amp;"|"&amp;AK93)</f>
        <v/>
      </c>
      <c r="AO93" s="33">
        <f>IF(OR(A93="",T93=""),"",T93-TODAY())</f>
        <v/>
      </c>
      <c r="AP93" s="33">
        <f>IF(OR(A93="",V93&lt;&gt;""),"",(TODAY()-B93)+ROW()/1000000)</f>
        <v/>
      </c>
    </row>
    <row r="94" ht="27" customHeight="1">
      <c r="A94" s="30" t="n"/>
      <c r="B94" s="31" t="n"/>
      <c r="C94" s="32" t="n"/>
      <c r="D94" s="32" t="n"/>
      <c r="E94" s="32" t="n"/>
      <c r="F94" s="32" t="n"/>
      <c r="G94" s="33">
        <f>IF(A94="","",IFERROR(INDEX(OffCat,MATCH(F94,OffList,0)),"Unlisted"))</f>
        <v/>
      </c>
      <c r="H94" s="30" t="n"/>
      <c r="I94" s="31" t="n"/>
      <c r="J94" s="34" t="n"/>
      <c r="K94" s="34" t="n"/>
      <c r="L94" s="34" t="n"/>
      <c r="M94" s="30" t="n"/>
      <c r="N94" s="30" t="n"/>
      <c r="O94" s="30" t="n"/>
      <c r="P94" s="30" t="n"/>
      <c r="Q94" s="31" t="n"/>
      <c r="R94" s="31" t="n"/>
      <c r="S94" s="31" t="n"/>
      <c r="T94" s="31" t="n"/>
      <c r="U94" s="31" t="n"/>
      <c r="V94" s="31" t="n"/>
      <c r="W94" s="30" t="n"/>
      <c r="X94" s="31" t="n"/>
      <c r="Y94" s="35" t="n"/>
      <c r="Z94" s="35" t="n"/>
      <c r="AA94" s="35" t="n"/>
      <c r="AB94" s="35" t="n"/>
      <c r="AC94" s="35" t="n"/>
      <c r="AD94" s="35" t="n"/>
      <c r="AE94" s="35" t="n"/>
      <c r="AF94" s="35" t="n"/>
      <c r="AG94" s="36">
        <f>IF(A94="","",IF(V94&lt;&gt;"",V94-B94,TODAY()-B94))</f>
        <v/>
      </c>
      <c r="AH94" s="36">
        <f>IF(OR(A94="",I94=""),"",MAX(0,IF(V94&lt;&gt;"",V94-I94,TODAY()-I94)))</f>
        <v/>
      </c>
      <c r="AI94" s="37">
        <f>IF(A94="","",IF(OR(K94="Closed",V94&lt;&gt;""),"Closed",IF(AH94&gt;=AgeCrit,"Critical",IF(AH94&gt;=AgeFu,"For Follow-up",IF(AH94&gt;=AgeMonitor,"Monitor","Within Standard")))))</f>
        <v/>
      </c>
      <c r="AJ94" s="38">
        <f>IF(A94="","",IFERROR(INDEX(StgPct,MATCH(H94,StgList,0)),0))</f>
        <v/>
      </c>
      <c r="AK94" s="38">
        <f>IF(A94="","",IFERROR(COUNTIF(Y94:AF94,"Y")/(COUNTIF(Y94:AF94,"Y")+COUNTIF(Y94:AF94,"N")),0))</f>
        <v/>
      </c>
      <c r="AL94" s="36">
        <f>IF(OR(A94="",X94=""),"",MAX(0,IF(V94&lt;&gt;"",V94,TODAY())-X94))</f>
        <v/>
      </c>
      <c r="AM94" s="32" t="n"/>
      <c r="AN94" s="33">
        <f>IF(A94="","",LOWER(AI94)&amp;"|"&amp;AH94&amp;"|"&amp;AJ94&amp;"|"&amp;AK94)</f>
        <v/>
      </c>
      <c r="AO94" s="33">
        <f>IF(OR(A94="",T94=""),"",T94-TODAY())</f>
        <v/>
      </c>
      <c r="AP94" s="33">
        <f>IF(OR(A94="",V94&lt;&gt;""),"",(TODAY()-B94)+ROW()/1000000)</f>
        <v/>
      </c>
    </row>
    <row r="95" ht="27" customHeight="1">
      <c r="A95" s="30" t="n"/>
      <c r="B95" s="31" t="n"/>
      <c r="C95" s="32" t="n"/>
      <c r="D95" s="32" t="n"/>
      <c r="E95" s="32" t="n"/>
      <c r="F95" s="32" t="n"/>
      <c r="G95" s="33">
        <f>IF(A95="","",IFERROR(INDEX(OffCat,MATCH(F95,OffList,0)),"Unlisted"))</f>
        <v/>
      </c>
      <c r="H95" s="30" t="n"/>
      <c r="I95" s="31" t="n"/>
      <c r="J95" s="34" t="n"/>
      <c r="K95" s="34" t="n"/>
      <c r="L95" s="34" t="n"/>
      <c r="M95" s="30" t="n"/>
      <c r="N95" s="30" t="n"/>
      <c r="O95" s="30" t="n"/>
      <c r="P95" s="30" t="n"/>
      <c r="Q95" s="31" t="n"/>
      <c r="R95" s="31" t="n"/>
      <c r="S95" s="31" t="n"/>
      <c r="T95" s="31" t="n"/>
      <c r="U95" s="31" t="n"/>
      <c r="V95" s="31" t="n"/>
      <c r="W95" s="30" t="n"/>
      <c r="X95" s="31" t="n"/>
      <c r="Y95" s="35" t="n"/>
      <c r="Z95" s="35" t="n"/>
      <c r="AA95" s="35" t="n"/>
      <c r="AB95" s="35" t="n"/>
      <c r="AC95" s="35" t="n"/>
      <c r="AD95" s="35" t="n"/>
      <c r="AE95" s="35" t="n"/>
      <c r="AF95" s="35" t="n"/>
      <c r="AG95" s="36">
        <f>IF(A95="","",IF(V95&lt;&gt;"",V95-B95,TODAY()-B95))</f>
        <v/>
      </c>
      <c r="AH95" s="36">
        <f>IF(OR(A95="",I95=""),"",MAX(0,IF(V95&lt;&gt;"",V95-I95,TODAY()-I95)))</f>
        <v/>
      </c>
      <c r="AI95" s="37">
        <f>IF(A95="","",IF(OR(K95="Closed",V95&lt;&gt;""),"Closed",IF(AH95&gt;=AgeCrit,"Critical",IF(AH95&gt;=AgeFu,"For Follow-up",IF(AH95&gt;=AgeMonitor,"Monitor","Within Standard")))))</f>
        <v/>
      </c>
      <c r="AJ95" s="38">
        <f>IF(A95="","",IFERROR(INDEX(StgPct,MATCH(H95,StgList,0)),0))</f>
        <v/>
      </c>
      <c r="AK95" s="38">
        <f>IF(A95="","",IFERROR(COUNTIF(Y95:AF95,"Y")/(COUNTIF(Y95:AF95,"Y")+COUNTIF(Y95:AF95,"N")),0))</f>
        <v/>
      </c>
      <c r="AL95" s="36">
        <f>IF(OR(A95="",X95=""),"",MAX(0,IF(V95&lt;&gt;"",V95,TODAY())-X95))</f>
        <v/>
      </c>
      <c r="AM95" s="32" t="n"/>
      <c r="AN95" s="33">
        <f>IF(A95="","",LOWER(AI95)&amp;"|"&amp;AH95&amp;"|"&amp;AJ95&amp;"|"&amp;AK95)</f>
        <v/>
      </c>
      <c r="AO95" s="33">
        <f>IF(OR(A95="",T95=""),"",T95-TODAY())</f>
        <v/>
      </c>
      <c r="AP95" s="33">
        <f>IF(OR(A95="",V95&lt;&gt;""),"",(TODAY()-B95)+ROW()/1000000)</f>
        <v/>
      </c>
    </row>
    <row r="96" ht="27" customHeight="1">
      <c r="A96" s="30" t="n"/>
      <c r="B96" s="31" t="n"/>
      <c r="C96" s="32" t="n"/>
      <c r="D96" s="32" t="n"/>
      <c r="E96" s="32" t="n"/>
      <c r="F96" s="32" t="n"/>
      <c r="G96" s="33">
        <f>IF(A96="","",IFERROR(INDEX(OffCat,MATCH(F96,OffList,0)),"Unlisted"))</f>
        <v/>
      </c>
      <c r="H96" s="30" t="n"/>
      <c r="I96" s="31" t="n"/>
      <c r="J96" s="34" t="n"/>
      <c r="K96" s="34" t="n"/>
      <c r="L96" s="34" t="n"/>
      <c r="M96" s="30" t="n"/>
      <c r="N96" s="30" t="n"/>
      <c r="O96" s="30" t="n"/>
      <c r="P96" s="30" t="n"/>
      <c r="Q96" s="31" t="n"/>
      <c r="R96" s="31" t="n"/>
      <c r="S96" s="31" t="n"/>
      <c r="T96" s="31" t="n"/>
      <c r="U96" s="31" t="n"/>
      <c r="V96" s="31" t="n"/>
      <c r="W96" s="30" t="n"/>
      <c r="X96" s="31" t="n"/>
      <c r="Y96" s="35" t="n"/>
      <c r="Z96" s="35" t="n"/>
      <c r="AA96" s="35" t="n"/>
      <c r="AB96" s="35" t="n"/>
      <c r="AC96" s="35" t="n"/>
      <c r="AD96" s="35" t="n"/>
      <c r="AE96" s="35" t="n"/>
      <c r="AF96" s="35" t="n"/>
      <c r="AG96" s="36">
        <f>IF(A96="","",IF(V96&lt;&gt;"",V96-B96,TODAY()-B96))</f>
        <v/>
      </c>
      <c r="AH96" s="36">
        <f>IF(OR(A96="",I96=""),"",MAX(0,IF(V96&lt;&gt;"",V96-I96,TODAY()-I96)))</f>
        <v/>
      </c>
      <c r="AI96" s="37">
        <f>IF(A96="","",IF(OR(K96="Closed",V96&lt;&gt;""),"Closed",IF(AH96&gt;=AgeCrit,"Critical",IF(AH96&gt;=AgeFu,"For Follow-up",IF(AH96&gt;=AgeMonitor,"Monitor","Within Standard")))))</f>
        <v/>
      </c>
      <c r="AJ96" s="38">
        <f>IF(A96="","",IFERROR(INDEX(StgPct,MATCH(H96,StgList,0)),0))</f>
        <v/>
      </c>
      <c r="AK96" s="38">
        <f>IF(A96="","",IFERROR(COUNTIF(Y96:AF96,"Y")/(COUNTIF(Y96:AF96,"Y")+COUNTIF(Y96:AF96,"N")),0))</f>
        <v/>
      </c>
      <c r="AL96" s="36">
        <f>IF(OR(A96="",X96=""),"",MAX(0,IF(V96&lt;&gt;"",V96,TODAY())-X96))</f>
        <v/>
      </c>
      <c r="AM96" s="32" t="n"/>
      <c r="AN96" s="33">
        <f>IF(A96="","",LOWER(AI96)&amp;"|"&amp;AH96&amp;"|"&amp;AJ96&amp;"|"&amp;AK96)</f>
        <v/>
      </c>
      <c r="AO96" s="33">
        <f>IF(OR(A96="",T96=""),"",T96-TODAY())</f>
        <v/>
      </c>
      <c r="AP96" s="33">
        <f>IF(OR(A96="",V96&lt;&gt;""),"",(TODAY()-B96)+ROW()/1000000)</f>
        <v/>
      </c>
    </row>
    <row r="97" ht="27" customHeight="1">
      <c r="A97" s="30" t="n"/>
      <c r="B97" s="31" t="n"/>
      <c r="C97" s="32" t="n"/>
      <c r="D97" s="32" t="n"/>
      <c r="E97" s="32" t="n"/>
      <c r="F97" s="32" t="n"/>
      <c r="G97" s="33">
        <f>IF(A97="","",IFERROR(INDEX(OffCat,MATCH(F97,OffList,0)),"Unlisted"))</f>
        <v/>
      </c>
      <c r="H97" s="30" t="n"/>
      <c r="I97" s="31" t="n"/>
      <c r="J97" s="34" t="n"/>
      <c r="K97" s="34" t="n"/>
      <c r="L97" s="34" t="n"/>
      <c r="M97" s="30" t="n"/>
      <c r="N97" s="30" t="n"/>
      <c r="O97" s="30" t="n"/>
      <c r="P97" s="30" t="n"/>
      <c r="Q97" s="31" t="n"/>
      <c r="R97" s="31" t="n"/>
      <c r="S97" s="31" t="n"/>
      <c r="T97" s="31" t="n"/>
      <c r="U97" s="31" t="n"/>
      <c r="V97" s="31" t="n"/>
      <c r="W97" s="30" t="n"/>
      <c r="X97" s="31" t="n"/>
      <c r="Y97" s="35" t="n"/>
      <c r="Z97" s="35" t="n"/>
      <c r="AA97" s="35" t="n"/>
      <c r="AB97" s="35" t="n"/>
      <c r="AC97" s="35" t="n"/>
      <c r="AD97" s="35" t="n"/>
      <c r="AE97" s="35" t="n"/>
      <c r="AF97" s="35" t="n"/>
      <c r="AG97" s="36">
        <f>IF(A97="","",IF(V97&lt;&gt;"",V97-B97,TODAY()-B97))</f>
        <v/>
      </c>
      <c r="AH97" s="36">
        <f>IF(OR(A97="",I97=""),"",MAX(0,IF(V97&lt;&gt;"",V97-I97,TODAY()-I97)))</f>
        <v/>
      </c>
      <c r="AI97" s="37">
        <f>IF(A97="","",IF(OR(K97="Closed",V97&lt;&gt;""),"Closed",IF(AH97&gt;=AgeCrit,"Critical",IF(AH97&gt;=AgeFu,"For Follow-up",IF(AH97&gt;=AgeMonitor,"Monitor","Within Standard")))))</f>
        <v/>
      </c>
      <c r="AJ97" s="38">
        <f>IF(A97="","",IFERROR(INDEX(StgPct,MATCH(H97,StgList,0)),0))</f>
        <v/>
      </c>
      <c r="AK97" s="38">
        <f>IF(A97="","",IFERROR(COUNTIF(Y97:AF97,"Y")/(COUNTIF(Y97:AF97,"Y")+COUNTIF(Y97:AF97,"N")),0))</f>
        <v/>
      </c>
      <c r="AL97" s="36">
        <f>IF(OR(A97="",X97=""),"",MAX(0,IF(V97&lt;&gt;"",V97,TODAY())-X97))</f>
        <v/>
      </c>
      <c r="AM97" s="32" t="n"/>
      <c r="AN97" s="33">
        <f>IF(A97="","",LOWER(AI97)&amp;"|"&amp;AH97&amp;"|"&amp;AJ97&amp;"|"&amp;AK97)</f>
        <v/>
      </c>
      <c r="AO97" s="33">
        <f>IF(OR(A97="",T97=""),"",T97-TODAY())</f>
        <v/>
      </c>
      <c r="AP97" s="33">
        <f>IF(OR(A97="",V97&lt;&gt;""),"",(TODAY()-B97)+ROW()/1000000)</f>
        <v/>
      </c>
    </row>
    <row r="98" ht="27" customHeight="1">
      <c r="A98" s="30" t="n"/>
      <c r="B98" s="31" t="n"/>
      <c r="C98" s="32" t="n"/>
      <c r="D98" s="32" t="n"/>
      <c r="E98" s="32" t="n"/>
      <c r="F98" s="32" t="n"/>
      <c r="G98" s="33">
        <f>IF(A98="","",IFERROR(INDEX(OffCat,MATCH(F98,OffList,0)),"Unlisted"))</f>
        <v/>
      </c>
      <c r="H98" s="30" t="n"/>
      <c r="I98" s="31" t="n"/>
      <c r="J98" s="34" t="n"/>
      <c r="K98" s="34" t="n"/>
      <c r="L98" s="34" t="n"/>
      <c r="M98" s="30" t="n"/>
      <c r="N98" s="30" t="n"/>
      <c r="O98" s="30" t="n"/>
      <c r="P98" s="30" t="n"/>
      <c r="Q98" s="31" t="n"/>
      <c r="R98" s="31" t="n"/>
      <c r="S98" s="31" t="n"/>
      <c r="T98" s="31" t="n"/>
      <c r="U98" s="31" t="n"/>
      <c r="V98" s="31" t="n"/>
      <c r="W98" s="30" t="n"/>
      <c r="X98" s="31" t="n"/>
      <c r="Y98" s="35" t="n"/>
      <c r="Z98" s="35" t="n"/>
      <c r="AA98" s="35" t="n"/>
      <c r="AB98" s="35" t="n"/>
      <c r="AC98" s="35" t="n"/>
      <c r="AD98" s="35" t="n"/>
      <c r="AE98" s="35" t="n"/>
      <c r="AF98" s="35" t="n"/>
      <c r="AG98" s="36">
        <f>IF(A98="","",IF(V98&lt;&gt;"",V98-B98,TODAY()-B98))</f>
        <v/>
      </c>
      <c r="AH98" s="36">
        <f>IF(OR(A98="",I98=""),"",MAX(0,IF(V98&lt;&gt;"",V98-I98,TODAY()-I98)))</f>
        <v/>
      </c>
      <c r="AI98" s="37">
        <f>IF(A98="","",IF(OR(K98="Closed",V98&lt;&gt;""),"Closed",IF(AH98&gt;=AgeCrit,"Critical",IF(AH98&gt;=AgeFu,"For Follow-up",IF(AH98&gt;=AgeMonitor,"Monitor","Within Standard")))))</f>
        <v/>
      </c>
      <c r="AJ98" s="38">
        <f>IF(A98="","",IFERROR(INDEX(StgPct,MATCH(H98,StgList,0)),0))</f>
        <v/>
      </c>
      <c r="AK98" s="38">
        <f>IF(A98="","",IFERROR(COUNTIF(Y98:AF98,"Y")/(COUNTIF(Y98:AF98,"Y")+COUNTIF(Y98:AF98,"N")),0))</f>
        <v/>
      </c>
      <c r="AL98" s="36">
        <f>IF(OR(A98="",X98=""),"",MAX(0,IF(V98&lt;&gt;"",V98,TODAY())-X98))</f>
        <v/>
      </c>
      <c r="AM98" s="32" t="n"/>
      <c r="AN98" s="33">
        <f>IF(A98="","",LOWER(AI98)&amp;"|"&amp;AH98&amp;"|"&amp;AJ98&amp;"|"&amp;AK98)</f>
        <v/>
      </c>
      <c r="AO98" s="33">
        <f>IF(OR(A98="",T98=""),"",T98-TODAY())</f>
        <v/>
      </c>
      <c r="AP98" s="33">
        <f>IF(OR(A98="",V98&lt;&gt;""),"",(TODAY()-B98)+ROW()/1000000)</f>
        <v/>
      </c>
    </row>
    <row r="99" ht="27" customHeight="1">
      <c r="A99" s="30" t="n"/>
      <c r="B99" s="31" t="n"/>
      <c r="C99" s="32" t="n"/>
      <c r="D99" s="32" t="n"/>
      <c r="E99" s="32" t="n"/>
      <c r="F99" s="32" t="n"/>
      <c r="G99" s="33">
        <f>IF(A99="","",IFERROR(INDEX(OffCat,MATCH(F99,OffList,0)),"Unlisted"))</f>
        <v/>
      </c>
      <c r="H99" s="30" t="n"/>
      <c r="I99" s="31" t="n"/>
      <c r="J99" s="34" t="n"/>
      <c r="K99" s="34" t="n"/>
      <c r="L99" s="34" t="n"/>
      <c r="M99" s="30" t="n"/>
      <c r="N99" s="30" t="n"/>
      <c r="O99" s="30" t="n"/>
      <c r="P99" s="30" t="n"/>
      <c r="Q99" s="31" t="n"/>
      <c r="R99" s="31" t="n"/>
      <c r="S99" s="31" t="n"/>
      <c r="T99" s="31" t="n"/>
      <c r="U99" s="31" t="n"/>
      <c r="V99" s="31" t="n"/>
      <c r="W99" s="30" t="n"/>
      <c r="X99" s="31" t="n"/>
      <c r="Y99" s="35" t="n"/>
      <c r="Z99" s="35" t="n"/>
      <c r="AA99" s="35" t="n"/>
      <c r="AB99" s="35" t="n"/>
      <c r="AC99" s="35" t="n"/>
      <c r="AD99" s="35" t="n"/>
      <c r="AE99" s="35" t="n"/>
      <c r="AF99" s="35" t="n"/>
      <c r="AG99" s="36">
        <f>IF(A99="","",IF(V99&lt;&gt;"",V99-B99,TODAY()-B99))</f>
        <v/>
      </c>
      <c r="AH99" s="36">
        <f>IF(OR(A99="",I99=""),"",MAX(0,IF(V99&lt;&gt;"",V99-I99,TODAY()-I99)))</f>
        <v/>
      </c>
      <c r="AI99" s="37">
        <f>IF(A99="","",IF(OR(K99="Closed",V99&lt;&gt;""),"Closed",IF(AH99&gt;=AgeCrit,"Critical",IF(AH99&gt;=AgeFu,"For Follow-up",IF(AH99&gt;=AgeMonitor,"Monitor","Within Standard")))))</f>
        <v/>
      </c>
      <c r="AJ99" s="38">
        <f>IF(A99="","",IFERROR(INDEX(StgPct,MATCH(H99,StgList,0)),0))</f>
        <v/>
      </c>
      <c r="AK99" s="38">
        <f>IF(A99="","",IFERROR(COUNTIF(Y99:AF99,"Y")/(COUNTIF(Y99:AF99,"Y")+COUNTIF(Y99:AF99,"N")),0))</f>
        <v/>
      </c>
      <c r="AL99" s="36">
        <f>IF(OR(A99="",X99=""),"",MAX(0,IF(V99&lt;&gt;"",V99,TODAY())-X99))</f>
        <v/>
      </c>
      <c r="AM99" s="32" t="n"/>
      <c r="AN99" s="33">
        <f>IF(A99="","",LOWER(AI99)&amp;"|"&amp;AH99&amp;"|"&amp;AJ99&amp;"|"&amp;AK99)</f>
        <v/>
      </c>
      <c r="AO99" s="33">
        <f>IF(OR(A99="",T99=""),"",T99-TODAY())</f>
        <v/>
      </c>
      <c r="AP99" s="33">
        <f>IF(OR(A99="",V99&lt;&gt;""),"",(TODAY()-B99)+ROW()/1000000)</f>
        <v/>
      </c>
    </row>
    <row r="100" ht="27" customHeight="1">
      <c r="A100" s="30" t="n"/>
      <c r="B100" s="31" t="n"/>
      <c r="C100" s="32" t="n"/>
      <c r="D100" s="32" t="n"/>
      <c r="E100" s="32" t="n"/>
      <c r="F100" s="32" t="n"/>
      <c r="G100" s="33">
        <f>IF(A100="","",IFERROR(INDEX(OffCat,MATCH(F100,OffList,0)),"Unlisted"))</f>
        <v/>
      </c>
      <c r="H100" s="30" t="n"/>
      <c r="I100" s="31" t="n"/>
      <c r="J100" s="34" t="n"/>
      <c r="K100" s="34" t="n"/>
      <c r="L100" s="34" t="n"/>
      <c r="M100" s="30" t="n"/>
      <c r="N100" s="30" t="n"/>
      <c r="O100" s="30" t="n"/>
      <c r="P100" s="30" t="n"/>
      <c r="Q100" s="31" t="n"/>
      <c r="R100" s="31" t="n"/>
      <c r="S100" s="31" t="n"/>
      <c r="T100" s="31" t="n"/>
      <c r="U100" s="31" t="n"/>
      <c r="V100" s="31" t="n"/>
      <c r="W100" s="30" t="n"/>
      <c r="X100" s="31" t="n"/>
      <c r="Y100" s="35" t="n"/>
      <c r="Z100" s="35" t="n"/>
      <c r="AA100" s="35" t="n"/>
      <c r="AB100" s="35" t="n"/>
      <c r="AC100" s="35" t="n"/>
      <c r="AD100" s="35" t="n"/>
      <c r="AE100" s="35" t="n"/>
      <c r="AF100" s="35" t="n"/>
      <c r="AG100" s="36">
        <f>IF(A100="","",IF(V100&lt;&gt;"",V100-B100,TODAY()-B100))</f>
        <v/>
      </c>
      <c r="AH100" s="36">
        <f>IF(OR(A100="",I100=""),"",MAX(0,IF(V100&lt;&gt;"",V100-I100,TODAY()-I100)))</f>
        <v/>
      </c>
      <c r="AI100" s="37">
        <f>IF(A100="","",IF(OR(K100="Closed",V100&lt;&gt;""),"Closed",IF(AH100&gt;=AgeCrit,"Critical",IF(AH100&gt;=AgeFu,"For Follow-up",IF(AH100&gt;=AgeMonitor,"Monitor","Within Standard")))))</f>
        <v/>
      </c>
      <c r="AJ100" s="38">
        <f>IF(A100="","",IFERROR(INDEX(StgPct,MATCH(H100,StgList,0)),0))</f>
        <v/>
      </c>
      <c r="AK100" s="38">
        <f>IF(A100="","",IFERROR(COUNTIF(Y100:AF100,"Y")/(COUNTIF(Y100:AF100,"Y")+COUNTIF(Y100:AF100,"N")),0))</f>
        <v/>
      </c>
      <c r="AL100" s="36">
        <f>IF(OR(A100="",X100=""),"",MAX(0,IF(V100&lt;&gt;"",V100,TODAY())-X100))</f>
        <v/>
      </c>
      <c r="AM100" s="32" t="n"/>
      <c r="AN100" s="33">
        <f>IF(A100="","",LOWER(AI100)&amp;"|"&amp;AH100&amp;"|"&amp;AJ100&amp;"|"&amp;AK100)</f>
        <v/>
      </c>
      <c r="AO100" s="33">
        <f>IF(OR(A100="",T100=""),"",T100-TODAY())</f>
        <v/>
      </c>
      <c r="AP100" s="33">
        <f>IF(OR(A100="",V100&lt;&gt;""),"",(TODAY()-B100)+ROW()/1000000)</f>
        <v/>
      </c>
    </row>
    <row r="101" ht="27" customHeight="1">
      <c r="A101" s="30" t="n"/>
      <c r="B101" s="31" t="n"/>
      <c r="C101" s="32" t="n"/>
      <c r="D101" s="32" t="n"/>
      <c r="E101" s="32" t="n"/>
      <c r="F101" s="32" t="n"/>
      <c r="G101" s="33">
        <f>IF(A101="","",IFERROR(INDEX(OffCat,MATCH(F101,OffList,0)),"Unlisted"))</f>
        <v/>
      </c>
      <c r="H101" s="30" t="n"/>
      <c r="I101" s="31" t="n"/>
      <c r="J101" s="34" t="n"/>
      <c r="K101" s="34" t="n"/>
      <c r="L101" s="34" t="n"/>
      <c r="M101" s="30" t="n"/>
      <c r="N101" s="30" t="n"/>
      <c r="O101" s="30" t="n"/>
      <c r="P101" s="30" t="n"/>
      <c r="Q101" s="31" t="n"/>
      <c r="R101" s="31" t="n"/>
      <c r="S101" s="31" t="n"/>
      <c r="T101" s="31" t="n"/>
      <c r="U101" s="31" t="n"/>
      <c r="V101" s="31" t="n"/>
      <c r="W101" s="30" t="n"/>
      <c r="X101" s="31" t="n"/>
      <c r="Y101" s="35" t="n"/>
      <c r="Z101" s="35" t="n"/>
      <c r="AA101" s="35" t="n"/>
      <c r="AB101" s="35" t="n"/>
      <c r="AC101" s="35" t="n"/>
      <c r="AD101" s="35" t="n"/>
      <c r="AE101" s="35" t="n"/>
      <c r="AF101" s="35" t="n"/>
      <c r="AG101" s="36">
        <f>IF(A101="","",IF(V101&lt;&gt;"",V101-B101,TODAY()-B101))</f>
        <v/>
      </c>
      <c r="AH101" s="36">
        <f>IF(OR(A101="",I101=""),"",MAX(0,IF(V101&lt;&gt;"",V101-I101,TODAY()-I101)))</f>
        <v/>
      </c>
      <c r="AI101" s="37">
        <f>IF(A101="","",IF(OR(K101="Closed",V101&lt;&gt;""),"Closed",IF(AH101&gt;=AgeCrit,"Critical",IF(AH101&gt;=AgeFu,"For Follow-up",IF(AH101&gt;=AgeMonitor,"Monitor","Within Standard")))))</f>
        <v/>
      </c>
      <c r="AJ101" s="38">
        <f>IF(A101="","",IFERROR(INDEX(StgPct,MATCH(H101,StgList,0)),0))</f>
        <v/>
      </c>
      <c r="AK101" s="38">
        <f>IF(A101="","",IFERROR(COUNTIF(Y101:AF101,"Y")/(COUNTIF(Y101:AF101,"Y")+COUNTIF(Y101:AF101,"N")),0))</f>
        <v/>
      </c>
      <c r="AL101" s="36">
        <f>IF(OR(A101="",X101=""),"",MAX(0,IF(V101&lt;&gt;"",V101,TODAY())-X101))</f>
        <v/>
      </c>
      <c r="AM101" s="32" t="n"/>
      <c r="AN101" s="33">
        <f>IF(A101="","",LOWER(AI101)&amp;"|"&amp;AH101&amp;"|"&amp;AJ101&amp;"|"&amp;AK101)</f>
        <v/>
      </c>
      <c r="AO101" s="33">
        <f>IF(OR(A101="",T101=""),"",T101-TODAY())</f>
        <v/>
      </c>
      <c r="AP101" s="33">
        <f>IF(OR(A101="",V101&lt;&gt;""),"",(TODAY()-B101)+ROW()/1000000)</f>
        <v/>
      </c>
    </row>
    <row r="102" ht="27" customHeight="1">
      <c r="A102" s="30" t="n"/>
      <c r="B102" s="31" t="n"/>
      <c r="C102" s="32" t="n"/>
      <c r="D102" s="32" t="n"/>
      <c r="E102" s="32" t="n"/>
      <c r="F102" s="32" t="n"/>
      <c r="G102" s="33">
        <f>IF(A102="","",IFERROR(INDEX(OffCat,MATCH(F102,OffList,0)),"Unlisted"))</f>
        <v/>
      </c>
      <c r="H102" s="30" t="n"/>
      <c r="I102" s="31" t="n"/>
      <c r="J102" s="34" t="n"/>
      <c r="K102" s="34" t="n"/>
      <c r="L102" s="34" t="n"/>
      <c r="M102" s="30" t="n"/>
      <c r="N102" s="30" t="n"/>
      <c r="O102" s="30" t="n"/>
      <c r="P102" s="30" t="n"/>
      <c r="Q102" s="31" t="n"/>
      <c r="R102" s="31" t="n"/>
      <c r="S102" s="31" t="n"/>
      <c r="T102" s="31" t="n"/>
      <c r="U102" s="31" t="n"/>
      <c r="V102" s="31" t="n"/>
      <c r="W102" s="30" t="n"/>
      <c r="X102" s="31" t="n"/>
      <c r="Y102" s="35" t="n"/>
      <c r="Z102" s="35" t="n"/>
      <c r="AA102" s="35" t="n"/>
      <c r="AB102" s="35" t="n"/>
      <c r="AC102" s="35" t="n"/>
      <c r="AD102" s="35" t="n"/>
      <c r="AE102" s="35" t="n"/>
      <c r="AF102" s="35" t="n"/>
      <c r="AG102" s="36">
        <f>IF(A102="","",IF(V102&lt;&gt;"",V102-B102,TODAY()-B102))</f>
        <v/>
      </c>
      <c r="AH102" s="36">
        <f>IF(OR(A102="",I102=""),"",MAX(0,IF(V102&lt;&gt;"",V102-I102,TODAY()-I102)))</f>
        <v/>
      </c>
      <c r="AI102" s="37">
        <f>IF(A102="","",IF(OR(K102="Closed",V102&lt;&gt;""),"Closed",IF(AH102&gt;=AgeCrit,"Critical",IF(AH102&gt;=AgeFu,"For Follow-up",IF(AH102&gt;=AgeMonitor,"Monitor","Within Standard")))))</f>
        <v/>
      </c>
      <c r="AJ102" s="38">
        <f>IF(A102="","",IFERROR(INDEX(StgPct,MATCH(H102,StgList,0)),0))</f>
        <v/>
      </c>
      <c r="AK102" s="38">
        <f>IF(A102="","",IFERROR(COUNTIF(Y102:AF102,"Y")/(COUNTIF(Y102:AF102,"Y")+COUNTIF(Y102:AF102,"N")),0))</f>
        <v/>
      </c>
      <c r="AL102" s="36">
        <f>IF(OR(A102="",X102=""),"",MAX(0,IF(V102&lt;&gt;"",V102,TODAY())-X102))</f>
        <v/>
      </c>
      <c r="AM102" s="32" t="n"/>
      <c r="AN102" s="33">
        <f>IF(A102="","",LOWER(AI102)&amp;"|"&amp;AH102&amp;"|"&amp;AJ102&amp;"|"&amp;AK102)</f>
        <v/>
      </c>
      <c r="AO102" s="33">
        <f>IF(OR(A102="",T102=""),"",T102-TODAY())</f>
        <v/>
      </c>
      <c r="AP102" s="33">
        <f>IF(OR(A102="",V102&lt;&gt;""),"",(TODAY()-B102)+ROW()/1000000)</f>
        <v/>
      </c>
    </row>
    <row r="103" ht="27" customHeight="1">
      <c r="A103" s="30" t="n"/>
      <c r="B103" s="31" t="n"/>
      <c r="C103" s="32" t="n"/>
      <c r="D103" s="32" t="n"/>
      <c r="E103" s="32" t="n"/>
      <c r="F103" s="32" t="n"/>
      <c r="G103" s="33">
        <f>IF(A103="","",IFERROR(INDEX(OffCat,MATCH(F103,OffList,0)),"Unlisted"))</f>
        <v/>
      </c>
      <c r="H103" s="30" t="n"/>
      <c r="I103" s="31" t="n"/>
      <c r="J103" s="34" t="n"/>
      <c r="K103" s="34" t="n"/>
      <c r="L103" s="34" t="n"/>
      <c r="M103" s="30" t="n"/>
      <c r="N103" s="30" t="n"/>
      <c r="O103" s="30" t="n"/>
      <c r="P103" s="30" t="n"/>
      <c r="Q103" s="31" t="n"/>
      <c r="R103" s="31" t="n"/>
      <c r="S103" s="31" t="n"/>
      <c r="T103" s="31" t="n"/>
      <c r="U103" s="31" t="n"/>
      <c r="V103" s="31" t="n"/>
      <c r="W103" s="30" t="n"/>
      <c r="X103" s="31" t="n"/>
      <c r="Y103" s="35" t="n"/>
      <c r="Z103" s="35" t="n"/>
      <c r="AA103" s="35" t="n"/>
      <c r="AB103" s="35" t="n"/>
      <c r="AC103" s="35" t="n"/>
      <c r="AD103" s="35" t="n"/>
      <c r="AE103" s="35" t="n"/>
      <c r="AF103" s="35" t="n"/>
      <c r="AG103" s="36">
        <f>IF(A103="","",IF(V103&lt;&gt;"",V103-B103,TODAY()-B103))</f>
        <v/>
      </c>
      <c r="AH103" s="36">
        <f>IF(OR(A103="",I103=""),"",MAX(0,IF(V103&lt;&gt;"",V103-I103,TODAY()-I103)))</f>
        <v/>
      </c>
      <c r="AI103" s="37">
        <f>IF(A103="","",IF(OR(K103="Closed",V103&lt;&gt;""),"Closed",IF(AH103&gt;=AgeCrit,"Critical",IF(AH103&gt;=AgeFu,"For Follow-up",IF(AH103&gt;=AgeMonitor,"Monitor","Within Standard")))))</f>
        <v/>
      </c>
      <c r="AJ103" s="38">
        <f>IF(A103="","",IFERROR(INDEX(StgPct,MATCH(H103,StgList,0)),0))</f>
        <v/>
      </c>
      <c r="AK103" s="38">
        <f>IF(A103="","",IFERROR(COUNTIF(Y103:AF103,"Y")/(COUNTIF(Y103:AF103,"Y")+COUNTIF(Y103:AF103,"N")),0))</f>
        <v/>
      </c>
      <c r="AL103" s="36">
        <f>IF(OR(A103="",X103=""),"",MAX(0,IF(V103&lt;&gt;"",V103,TODAY())-X103))</f>
        <v/>
      </c>
      <c r="AM103" s="32" t="n"/>
      <c r="AN103" s="33">
        <f>IF(A103="","",LOWER(AI103)&amp;"|"&amp;AH103&amp;"|"&amp;AJ103&amp;"|"&amp;AK103)</f>
        <v/>
      </c>
      <c r="AO103" s="33">
        <f>IF(OR(A103="",T103=""),"",T103-TODAY())</f>
        <v/>
      </c>
      <c r="AP103" s="33">
        <f>IF(OR(A103="",V103&lt;&gt;""),"",(TODAY()-B103)+ROW()/1000000)</f>
        <v/>
      </c>
    </row>
    <row r="104" ht="27" customHeight="1">
      <c r="A104" s="30" t="n"/>
      <c r="B104" s="31" t="n"/>
      <c r="C104" s="32" t="n"/>
      <c r="D104" s="32" t="n"/>
      <c r="E104" s="32" t="n"/>
      <c r="F104" s="32" t="n"/>
      <c r="G104" s="33">
        <f>IF(A104="","",IFERROR(INDEX(OffCat,MATCH(F104,OffList,0)),"Unlisted"))</f>
        <v/>
      </c>
      <c r="H104" s="30" t="n"/>
      <c r="I104" s="31" t="n"/>
      <c r="J104" s="34" t="n"/>
      <c r="K104" s="34" t="n"/>
      <c r="L104" s="34" t="n"/>
      <c r="M104" s="30" t="n"/>
      <c r="N104" s="30" t="n"/>
      <c r="O104" s="30" t="n"/>
      <c r="P104" s="30" t="n"/>
      <c r="Q104" s="31" t="n"/>
      <c r="R104" s="31" t="n"/>
      <c r="S104" s="31" t="n"/>
      <c r="T104" s="31" t="n"/>
      <c r="U104" s="31" t="n"/>
      <c r="V104" s="31" t="n"/>
      <c r="W104" s="30" t="n"/>
      <c r="X104" s="31" t="n"/>
      <c r="Y104" s="35" t="n"/>
      <c r="Z104" s="35" t="n"/>
      <c r="AA104" s="35" t="n"/>
      <c r="AB104" s="35" t="n"/>
      <c r="AC104" s="35" t="n"/>
      <c r="AD104" s="35" t="n"/>
      <c r="AE104" s="35" t="n"/>
      <c r="AF104" s="35" t="n"/>
      <c r="AG104" s="36">
        <f>IF(A104="","",IF(V104&lt;&gt;"",V104-B104,TODAY()-B104))</f>
        <v/>
      </c>
      <c r="AH104" s="36">
        <f>IF(OR(A104="",I104=""),"",MAX(0,IF(V104&lt;&gt;"",V104-I104,TODAY()-I104)))</f>
        <v/>
      </c>
      <c r="AI104" s="37">
        <f>IF(A104="","",IF(OR(K104="Closed",V104&lt;&gt;""),"Closed",IF(AH104&gt;=AgeCrit,"Critical",IF(AH104&gt;=AgeFu,"For Follow-up",IF(AH104&gt;=AgeMonitor,"Monitor","Within Standard")))))</f>
        <v/>
      </c>
      <c r="AJ104" s="38">
        <f>IF(A104="","",IFERROR(INDEX(StgPct,MATCH(H104,StgList,0)),0))</f>
        <v/>
      </c>
      <c r="AK104" s="38">
        <f>IF(A104="","",IFERROR(COUNTIF(Y104:AF104,"Y")/(COUNTIF(Y104:AF104,"Y")+COUNTIF(Y104:AF104,"N")),0))</f>
        <v/>
      </c>
      <c r="AL104" s="36">
        <f>IF(OR(A104="",X104=""),"",MAX(0,IF(V104&lt;&gt;"",V104,TODAY())-X104))</f>
        <v/>
      </c>
      <c r="AM104" s="32" t="n"/>
      <c r="AN104" s="33">
        <f>IF(A104="","",LOWER(AI104)&amp;"|"&amp;AH104&amp;"|"&amp;AJ104&amp;"|"&amp;AK104)</f>
        <v/>
      </c>
      <c r="AO104" s="33">
        <f>IF(OR(A104="",T104=""),"",T104-TODAY())</f>
        <v/>
      </c>
      <c r="AP104" s="33">
        <f>IF(OR(A104="",V104&lt;&gt;""),"",(TODAY()-B104)+ROW()/1000000)</f>
        <v/>
      </c>
    </row>
    <row r="105" ht="27" customHeight="1">
      <c r="A105" s="30" t="n"/>
      <c r="B105" s="31" t="n"/>
      <c r="C105" s="32" t="n"/>
      <c r="D105" s="32" t="n"/>
      <c r="E105" s="32" t="n"/>
      <c r="F105" s="32" t="n"/>
      <c r="G105" s="33">
        <f>IF(A105="","",IFERROR(INDEX(OffCat,MATCH(F105,OffList,0)),"Unlisted"))</f>
        <v/>
      </c>
      <c r="H105" s="30" t="n"/>
      <c r="I105" s="31" t="n"/>
      <c r="J105" s="34" t="n"/>
      <c r="K105" s="34" t="n"/>
      <c r="L105" s="34" t="n"/>
      <c r="M105" s="30" t="n"/>
      <c r="N105" s="30" t="n"/>
      <c r="O105" s="30" t="n"/>
      <c r="P105" s="30" t="n"/>
      <c r="Q105" s="31" t="n"/>
      <c r="R105" s="31" t="n"/>
      <c r="S105" s="31" t="n"/>
      <c r="T105" s="31" t="n"/>
      <c r="U105" s="31" t="n"/>
      <c r="V105" s="31" t="n"/>
      <c r="W105" s="30" t="n"/>
      <c r="X105" s="31" t="n"/>
      <c r="Y105" s="35" t="n"/>
      <c r="Z105" s="35" t="n"/>
      <c r="AA105" s="35" t="n"/>
      <c r="AB105" s="35" t="n"/>
      <c r="AC105" s="35" t="n"/>
      <c r="AD105" s="35" t="n"/>
      <c r="AE105" s="35" t="n"/>
      <c r="AF105" s="35" t="n"/>
      <c r="AG105" s="36">
        <f>IF(A105="","",IF(V105&lt;&gt;"",V105-B105,TODAY()-B105))</f>
        <v/>
      </c>
      <c r="AH105" s="36">
        <f>IF(OR(A105="",I105=""),"",MAX(0,IF(V105&lt;&gt;"",V105-I105,TODAY()-I105)))</f>
        <v/>
      </c>
      <c r="AI105" s="37">
        <f>IF(A105="","",IF(OR(K105="Closed",V105&lt;&gt;""),"Closed",IF(AH105&gt;=AgeCrit,"Critical",IF(AH105&gt;=AgeFu,"For Follow-up",IF(AH105&gt;=AgeMonitor,"Monitor","Within Standard")))))</f>
        <v/>
      </c>
      <c r="AJ105" s="38">
        <f>IF(A105="","",IFERROR(INDEX(StgPct,MATCH(H105,StgList,0)),0))</f>
        <v/>
      </c>
      <c r="AK105" s="38">
        <f>IF(A105="","",IFERROR(COUNTIF(Y105:AF105,"Y")/(COUNTIF(Y105:AF105,"Y")+COUNTIF(Y105:AF105,"N")),0))</f>
        <v/>
      </c>
      <c r="AL105" s="36">
        <f>IF(OR(A105="",X105=""),"",MAX(0,IF(V105&lt;&gt;"",V105,TODAY())-X105))</f>
        <v/>
      </c>
      <c r="AM105" s="32" t="n"/>
      <c r="AN105" s="33">
        <f>IF(A105="","",LOWER(AI105)&amp;"|"&amp;AH105&amp;"|"&amp;AJ105&amp;"|"&amp;AK105)</f>
        <v/>
      </c>
      <c r="AO105" s="33">
        <f>IF(OR(A105="",T105=""),"",T105-TODAY())</f>
        <v/>
      </c>
      <c r="AP105" s="33">
        <f>IF(OR(A105="",V105&lt;&gt;""),"",(TODAY()-B105)+ROW()/1000000)</f>
        <v/>
      </c>
    </row>
    <row r="106" ht="27" customHeight="1">
      <c r="A106" s="30" t="n"/>
      <c r="B106" s="31" t="n"/>
      <c r="C106" s="32" t="n"/>
      <c r="D106" s="32" t="n"/>
      <c r="E106" s="32" t="n"/>
      <c r="F106" s="32" t="n"/>
      <c r="G106" s="33">
        <f>IF(A106="","",IFERROR(INDEX(OffCat,MATCH(F106,OffList,0)),"Unlisted"))</f>
        <v/>
      </c>
      <c r="H106" s="30" t="n"/>
      <c r="I106" s="31" t="n"/>
      <c r="J106" s="34" t="n"/>
      <c r="K106" s="34" t="n"/>
      <c r="L106" s="34" t="n"/>
      <c r="M106" s="30" t="n"/>
      <c r="N106" s="30" t="n"/>
      <c r="O106" s="30" t="n"/>
      <c r="P106" s="30" t="n"/>
      <c r="Q106" s="31" t="n"/>
      <c r="R106" s="31" t="n"/>
      <c r="S106" s="31" t="n"/>
      <c r="T106" s="31" t="n"/>
      <c r="U106" s="31" t="n"/>
      <c r="V106" s="31" t="n"/>
      <c r="W106" s="30" t="n"/>
      <c r="X106" s="31" t="n"/>
      <c r="Y106" s="35" t="n"/>
      <c r="Z106" s="35" t="n"/>
      <c r="AA106" s="35" t="n"/>
      <c r="AB106" s="35" t="n"/>
      <c r="AC106" s="35" t="n"/>
      <c r="AD106" s="35" t="n"/>
      <c r="AE106" s="35" t="n"/>
      <c r="AF106" s="35" t="n"/>
      <c r="AG106" s="36">
        <f>IF(A106="","",IF(V106&lt;&gt;"",V106-B106,TODAY()-B106))</f>
        <v/>
      </c>
      <c r="AH106" s="36">
        <f>IF(OR(A106="",I106=""),"",MAX(0,IF(V106&lt;&gt;"",V106-I106,TODAY()-I106)))</f>
        <v/>
      </c>
      <c r="AI106" s="37">
        <f>IF(A106="","",IF(OR(K106="Closed",V106&lt;&gt;""),"Closed",IF(AH106&gt;=AgeCrit,"Critical",IF(AH106&gt;=AgeFu,"For Follow-up",IF(AH106&gt;=AgeMonitor,"Monitor","Within Standard")))))</f>
        <v/>
      </c>
      <c r="AJ106" s="38">
        <f>IF(A106="","",IFERROR(INDEX(StgPct,MATCH(H106,StgList,0)),0))</f>
        <v/>
      </c>
      <c r="AK106" s="38">
        <f>IF(A106="","",IFERROR(COUNTIF(Y106:AF106,"Y")/(COUNTIF(Y106:AF106,"Y")+COUNTIF(Y106:AF106,"N")),0))</f>
        <v/>
      </c>
      <c r="AL106" s="36">
        <f>IF(OR(A106="",X106=""),"",MAX(0,IF(V106&lt;&gt;"",V106,TODAY())-X106))</f>
        <v/>
      </c>
      <c r="AM106" s="32" t="n"/>
      <c r="AN106" s="33">
        <f>IF(A106="","",LOWER(AI106)&amp;"|"&amp;AH106&amp;"|"&amp;AJ106&amp;"|"&amp;AK106)</f>
        <v/>
      </c>
      <c r="AO106" s="33">
        <f>IF(OR(A106="",T106=""),"",T106-TODAY())</f>
        <v/>
      </c>
      <c r="AP106" s="33">
        <f>IF(OR(A106="",V106&lt;&gt;""),"",(TODAY()-B106)+ROW()/1000000)</f>
        <v/>
      </c>
    </row>
    <row r="107" ht="27" customHeight="1">
      <c r="A107" s="30" t="n"/>
      <c r="B107" s="31" t="n"/>
      <c r="C107" s="32" t="n"/>
      <c r="D107" s="32" t="n"/>
      <c r="E107" s="32" t="n"/>
      <c r="F107" s="32" t="n"/>
      <c r="G107" s="33">
        <f>IF(A107="","",IFERROR(INDEX(OffCat,MATCH(F107,OffList,0)),"Unlisted"))</f>
        <v/>
      </c>
      <c r="H107" s="30" t="n"/>
      <c r="I107" s="31" t="n"/>
      <c r="J107" s="34" t="n"/>
      <c r="K107" s="34" t="n"/>
      <c r="L107" s="34" t="n"/>
      <c r="M107" s="30" t="n"/>
      <c r="N107" s="30" t="n"/>
      <c r="O107" s="30" t="n"/>
      <c r="P107" s="30" t="n"/>
      <c r="Q107" s="31" t="n"/>
      <c r="R107" s="31" t="n"/>
      <c r="S107" s="31" t="n"/>
      <c r="T107" s="31" t="n"/>
      <c r="U107" s="31" t="n"/>
      <c r="V107" s="31" t="n"/>
      <c r="W107" s="30" t="n"/>
      <c r="X107" s="31" t="n"/>
      <c r="Y107" s="35" t="n"/>
      <c r="Z107" s="35" t="n"/>
      <c r="AA107" s="35" t="n"/>
      <c r="AB107" s="35" t="n"/>
      <c r="AC107" s="35" t="n"/>
      <c r="AD107" s="35" t="n"/>
      <c r="AE107" s="35" t="n"/>
      <c r="AF107" s="35" t="n"/>
      <c r="AG107" s="36">
        <f>IF(A107="","",IF(V107&lt;&gt;"",V107-B107,TODAY()-B107))</f>
        <v/>
      </c>
      <c r="AH107" s="36">
        <f>IF(OR(A107="",I107=""),"",MAX(0,IF(V107&lt;&gt;"",V107-I107,TODAY()-I107)))</f>
        <v/>
      </c>
      <c r="AI107" s="37">
        <f>IF(A107="","",IF(OR(K107="Closed",V107&lt;&gt;""),"Closed",IF(AH107&gt;=AgeCrit,"Critical",IF(AH107&gt;=AgeFu,"For Follow-up",IF(AH107&gt;=AgeMonitor,"Monitor","Within Standard")))))</f>
        <v/>
      </c>
      <c r="AJ107" s="38">
        <f>IF(A107="","",IFERROR(INDEX(StgPct,MATCH(H107,StgList,0)),0))</f>
        <v/>
      </c>
      <c r="AK107" s="38">
        <f>IF(A107="","",IFERROR(COUNTIF(Y107:AF107,"Y")/(COUNTIF(Y107:AF107,"Y")+COUNTIF(Y107:AF107,"N")),0))</f>
        <v/>
      </c>
      <c r="AL107" s="36">
        <f>IF(OR(A107="",X107=""),"",MAX(0,IF(V107&lt;&gt;"",V107,TODAY())-X107))</f>
        <v/>
      </c>
      <c r="AM107" s="32" t="n"/>
      <c r="AN107" s="33">
        <f>IF(A107="","",LOWER(AI107)&amp;"|"&amp;AH107&amp;"|"&amp;AJ107&amp;"|"&amp;AK107)</f>
        <v/>
      </c>
      <c r="AO107" s="33">
        <f>IF(OR(A107="",T107=""),"",T107-TODAY())</f>
        <v/>
      </c>
      <c r="AP107" s="33">
        <f>IF(OR(A107="",V107&lt;&gt;""),"",(TODAY()-B107)+ROW()/1000000)</f>
        <v/>
      </c>
    </row>
    <row r="108" ht="27" customHeight="1">
      <c r="A108" s="30" t="n"/>
      <c r="B108" s="31" t="n"/>
      <c r="C108" s="32" t="n"/>
      <c r="D108" s="32" t="n"/>
      <c r="E108" s="32" t="n"/>
      <c r="F108" s="32" t="n"/>
      <c r="G108" s="33">
        <f>IF(A108="","",IFERROR(INDEX(OffCat,MATCH(F108,OffList,0)),"Unlisted"))</f>
        <v/>
      </c>
      <c r="H108" s="30" t="n"/>
      <c r="I108" s="31" t="n"/>
      <c r="J108" s="34" t="n"/>
      <c r="K108" s="34" t="n"/>
      <c r="L108" s="34" t="n"/>
      <c r="M108" s="30" t="n"/>
      <c r="N108" s="30" t="n"/>
      <c r="O108" s="30" t="n"/>
      <c r="P108" s="30" t="n"/>
      <c r="Q108" s="31" t="n"/>
      <c r="R108" s="31" t="n"/>
      <c r="S108" s="31" t="n"/>
      <c r="T108" s="31" t="n"/>
      <c r="U108" s="31" t="n"/>
      <c r="V108" s="31" t="n"/>
      <c r="W108" s="30" t="n"/>
      <c r="X108" s="31" t="n"/>
      <c r="Y108" s="35" t="n"/>
      <c r="Z108" s="35" t="n"/>
      <c r="AA108" s="35" t="n"/>
      <c r="AB108" s="35" t="n"/>
      <c r="AC108" s="35" t="n"/>
      <c r="AD108" s="35" t="n"/>
      <c r="AE108" s="35" t="n"/>
      <c r="AF108" s="35" t="n"/>
      <c r="AG108" s="36">
        <f>IF(A108="","",IF(V108&lt;&gt;"",V108-B108,TODAY()-B108))</f>
        <v/>
      </c>
      <c r="AH108" s="36">
        <f>IF(OR(A108="",I108=""),"",MAX(0,IF(V108&lt;&gt;"",V108-I108,TODAY()-I108)))</f>
        <v/>
      </c>
      <c r="AI108" s="37">
        <f>IF(A108="","",IF(OR(K108="Closed",V108&lt;&gt;""),"Closed",IF(AH108&gt;=AgeCrit,"Critical",IF(AH108&gt;=AgeFu,"For Follow-up",IF(AH108&gt;=AgeMonitor,"Monitor","Within Standard")))))</f>
        <v/>
      </c>
      <c r="AJ108" s="38">
        <f>IF(A108="","",IFERROR(INDEX(StgPct,MATCH(H108,StgList,0)),0))</f>
        <v/>
      </c>
      <c r="AK108" s="38">
        <f>IF(A108="","",IFERROR(COUNTIF(Y108:AF108,"Y")/(COUNTIF(Y108:AF108,"Y")+COUNTIF(Y108:AF108,"N")),0))</f>
        <v/>
      </c>
      <c r="AL108" s="36">
        <f>IF(OR(A108="",X108=""),"",MAX(0,IF(V108&lt;&gt;"",V108,TODAY())-X108))</f>
        <v/>
      </c>
      <c r="AM108" s="32" t="n"/>
      <c r="AN108" s="33">
        <f>IF(A108="","",LOWER(AI108)&amp;"|"&amp;AH108&amp;"|"&amp;AJ108&amp;"|"&amp;AK108)</f>
        <v/>
      </c>
      <c r="AO108" s="33">
        <f>IF(OR(A108="",T108=""),"",T108-TODAY())</f>
        <v/>
      </c>
      <c r="AP108" s="33">
        <f>IF(OR(A108="",V108&lt;&gt;""),"",(TODAY()-B108)+ROW()/1000000)</f>
        <v/>
      </c>
    </row>
    <row r="109" ht="27" customHeight="1">
      <c r="A109" s="30" t="n"/>
      <c r="B109" s="31" t="n"/>
      <c r="C109" s="32" t="n"/>
      <c r="D109" s="32" t="n"/>
      <c r="E109" s="32" t="n"/>
      <c r="F109" s="32" t="n"/>
      <c r="G109" s="33">
        <f>IF(A109="","",IFERROR(INDEX(OffCat,MATCH(F109,OffList,0)),"Unlisted"))</f>
        <v/>
      </c>
      <c r="H109" s="30" t="n"/>
      <c r="I109" s="31" t="n"/>
      <c r="J109" s="34" t="n"/>
      <c r="K109" s="34" t="n"/>
      <c r="L109" s="34" t="n"/>
      <c r="M109" s="30" t="n"/>
      <c r="N109" s="30" t="n"/>
      <c r="O109" s="30" t="n"/>
      <c r="P109" s="30" t="n"/>
      <c r="Q109" s="31" t="n"/>
      <c r="R109" s="31" t="n"/>
      <c r="S109" s="31" t="n"/>
      <c r="T109" s="31" t="n"/>
      <c r="U109" s="31" t="n"/>
      <c r="V109" s="31" t="n"/>
      <c r="W109" s="30" t="n"/>
      <c r="X109" s="31" t="n"/>
      <c r="Y109" s="35" t="n"/>
      <c r="Z109" s="35" t="n"/>
      <c r="AA109" s="35" t="n"/>
      <c r="AB109" s="35" t="n"/>
      <c r="AC109" s="35" t="n"/>
      <c r="AD109" s="35" t="n"/>
      <c r="AE109" s="35" t="n"/>
      <c r="AF109" s="35" t="n"/>
      <c r="AG109" s="36">
        <f>IF(A109="","",IF(V109&lt;&gt;"",V109-B109,TODAY()-B109))</f>
        <v/>
      </c>
      <c r="AH109" s="36">
        <f>IF(OR(A109="",I109=""),"",MAX(0,IF(V109&lt;&gt;"",V109-I109,TODAY()-I109)))</f>
        <v/>
      </c>
      <c r="AI109" s="37">
        <f>IF(A109="","",IF(OR(K109="Closed",V109&lt;&gt;""),"Closed",IF(AH109&gt;=AgeCrit,"Critical",IF(AH109&gt;=AgeFu,"For Follow-up",IF(AH109&gt;=AgeMonitor,"Monitor","Within Standard")))))</f>
        <v/>
      </c>
      <c r="AJ109" s="38">
        <f>IF(A109="","",IFERROR(INDEX(StgPct,MATCH(H109,StgList,0)),0))</f>
        <v/>
      </c>
      <c r="AK109" s="38">
        <f>IF(A109="","",IFERROR(COUNTIF(Y109:AF109,"Y")/(COUNTIF(Y109:AF109,"Y")+COUNTIF(Y109:AF109,"N")),0))</f>
        <v/>
      </c>
      <c r="AL109" s="36">
        <f>IF(OR(A109="",X109=""),"",MAX(0,IF(V109&lt;&gt;"",V109,TODAY())-X109))</f>
        <v/>
      </c>
      <c r="AM109" s="32" t="n"/>
      <c r="AN109" s="33">
        <f>IF(A109="","",LOWER(AI109)&amp;"|"&amp;AH109&amp;"|"&amp;AJ109&amp;"|"&amp;AK109)</f>
        <v/>
      </c>
      <c r="AO109" s="33">
        <f>IF(OR(A109="",T109=""),"",T109-TODAY())</f>
        <v/>
      </c>
      <c r="AP109" s="33">
        <f>IF(OR(A109="",V109&lt;&gt;""),"",(TODAY()-B109)+ROW()/1000000)</f>
        <v/>
      </c>
    </row>
    <row r="110" ht="27" customHeight="1">
      <c r="A110" s="30" t="n"/>
      <c r="B110" s="31" t="n"/>
      <c r="C110" s="32" t="n"/>
      <c r="D110" s="32" t="n"/>
      <c r="E110" s="32" t="n"/>
      <c r="F110" s="32" t="n"/>
      <c r="G110" s="33">
        <f>IF(A110="","",IFERROR(INDEX(OffCat,MATCH(F110,OffList,0)),"Unlisted"))</f>
        <v/>
      </c>
      <c r="H110" s="30" t="n"/>
      <c r="I110" s="31" t="n"/>
      <c r="J110" s="34" t="n"/>
      <c r="K110" s="34" t="n"/>
      <c r="L110" s="34" t="n"/>
      <c r="M110" s="30" t="n"/>
      <c r="N110" s="30" t="n"/>
      <c r="O110" s="30" t="n"/>
      <c r="P110" s="30" t="n"/>
      <c r="Q110" s="31" t="n"/>
      <c r="R110" s="31" t="n"/>
      <c r="S110" s="31" t="n"/>
      <c r="T110" s="31" t="n"/>
      <c r="U110" s="31" t="n"/>
      <c r="V110" s="31" t="n"/>
      <c r="W110" s="30" t="n"/>
      <c r="X110" s="31" t="n"/>
      <c r="Y110" s="35" t="n"/>
      <c r="Z110" s="35" t="n"/>
      <c r="AA110" s="35" t="n"/>
      <c r="AB110" s="35" t="n"/>
      <c r="AC110" s="35" t="n"/>
      <c r="AD110" s="35" t="n"/>
      <c r="AE110" s="35" t="n"/>
      <c r="AF110" s="35" t="n"/>
      <c r="AG110" s="36">
        <f>IF(A110="","",IF(V110&lt;&gt;"",V110-B110,TODAY()-B110))</f>
        <v/>
      </c>
      <c r="AH110" s="36">
        <f>IF(OR(A110="",I110=""),"",MAX(0,IF(V110&lt;&gt;"",V110-I110,TODAY()-I110)))</f>
        <v/>
      </c>
      <c r="AI110" s="37">
        <f>IF(A110="","",IF(OR(K110="Closed",V110&lt;&gt;""),"Closed",IF(AH110&gt;=AgeCrit,"Critical",IF(AH110&gt;=AgeFu,"For Follow-up",IF(AH110&gt;=AgeMonitor,"Monitor","Within Standard")))))</f>
        <v/>
      </c>
      <c r="AJ110" s="38">
        <f>IF(A110="","",IFERROR(INDEX(StgPct,MATCH(H110,StgList,0)),0))</f>
        <v/>
      </c>
      <c r="AK110" s="38">
        <f>IF(A110="","",IFERROR(COUNTIF(Y110:AF110,"Y")/(COUNTIF(Y110:AF110,"Y")+COUNTIF(Y110:AF110,"N")),0))</f>
        <v/>
      </c>
      <c r="AL110" s="36">
        <f>IF(OR(A110="",X110=""),"",MAX(0,IF(V110&lt;&gt;"",V110,TODAY())-X110))</f>
        <v/>
      </c>
      <c r="AM110" s="32" t="n"/>
      <c r="AN110" s="33">
        <f>IF(A110="","",LOWER(AI110)&amp;"|"&amp;AH110&amp;"|"&amp;AJ110&amp;"|"&amp;AK110)</f>
        <v/>
      </c>
      <c r="AO110" s="33">
        <f>IF(OR(A110="",T110=""),"",T110-TODAY())</f>
        <v/>
      </c>
      <c r="AP110" s="33">
        <f>IF(OR(A110="",V110&lt;&gt;""),"",(TODAY()-B110)+ROW()/1000000)</f>
        <v/>
      </c>
    </row>
    <row r="111" ht="27" customHeight="1">
      <c r="A111" s="30" t="n"/>
      <c r="B111" s="31" t="n"/>
      <c r="C111" s="32" t="n"/>
      <c r="D111" s="32" t="n"/>
      <c r="E111" s="32" t="n"/>
      <c r="F111" s="32" t="n"/>
      <c r="G111" s="33">
        <f>IF(A111="","",IFERROR(INDEX(OffCat,MATCH(F111,OffList,0)),"Unlisted"))</f>
        <v/>
      </c>
      <c r="H111" s="30" t="n"/>
      <c r="I111" s="31" t="n"/>
      <c r="J111" s="34" t="n"/>
      <c r="K111" s="34" t="n"/>
      <c r="L111" s="34" t="n"/>
      <c r="M111" s="30" t="n"/>
      <c r="N111" s="30" t="n"/>
      <c r="O111" s="30" t="n"/>
      <c r="P111" s="30" t="n"/>
      <c r="Q111" s="31" t="n"/>
      <c r="R111" s="31" t="n"/>
      <c r="S111" s="31" t="n"/>
      <c r="T111" s="31" t="n"/>
      <c r="U111" s="31" t="n"/>
      <c r="V111" s="31" t="n"/>
      <c r="W111" s="30" t="n"/>
      <c r="X111" s="31" t="n"/>
      <c r="Y111" s="35" t="n"/>
      <c r="Z111" s="35" t="n"/>
      <c r="AA111" s="35" t="n"/>
      <c r="AB111" s="35" t="n"/>
      <c r="AC111" s="35" t="n"/>
      <c r="AD111" s="35" t="n"/>
      <c r="AE111" s="35" t="n"/>
      <c r="AF111" s="35" t="n"/>
      <c r="AG111" s="36">
        <f>IF(A111="","",IF(V111&lt;&gt;"",V111-B111,TODAY()-B111))</f>
        <v/>
      </c>
      <c r="AH111" s="36">
        <f>IF(OR(A111="",I111=""),"",MAX(0,IF(V111&lt;&gt;"",V111-I111,TODAY()-I111)))</f>
        <v/>
      </c>
      <c r="AI111" s="37">
        <f>IF(A111="","",IF(OR(K111="Closed",V111&lt;&gt;""),"Closed",IF(AH111&gt;=AgeCrit,"Critical",IF(AH111&gt;=AgeFu,"For Follow-up",IF(AH111&gt;=AgeMonitor,"Monitor","Within Standard")))))</f>
        <v/>
      </c>
      <c r="AJ111" s="38">
        <f>IF(A111="","",IFERROR(INDEX(StgPct,MATCH(H111,StgList,0)),0))</f>
        <v/>
      </c>
      <c r="AK111" s="38">
        <f>IF(A111="","",IFERROR(COUNTIF(Y111:AF111,"Y")/(COUNTIF(Y111:AF111,"Y")+COUNTIF(Y111:AF111,"N")),0))</f>
        <v/>
      </c>
      <c r="AL111" s="36">
        <f>IF(OR(A111="",X111=""),"",MAX(0,IF(V111&lt;&gt;"",V111,TODAY())-X111))</f>
        <v/>
      </c>
      <c r="AM111" s="32" t="n"/>
      <c r="AN111" s="33">
        <f>IF(A111="","",LOWER(AI111)&amp;"|"&amp;AH111&amp;"|"&amp;AJ111&amp;"|"&amp;AK111)</f>
        <v/>
      </c>
      <c r="AO111" s="33">
        <f>IF(OR(A111="",T111=""),"",T111-TODAY())</f>
        <v/>
      </c>
      <c r="AP111" s="33">
        <f>IF(OR(A111="",V111&lt;&gt;""),"",(TODAY()-B111)+ROW()/1000000)</f>
        <v/>
      </c>
    </row>
    <row r="112" ht="27" customHeight="1">
      <c r="A112" s="30" t="n"/>
      <c r="B112" s="31" t="n"/>
      <c r="C112" s="32" t="n"/>
      <c r="D112" s="32" t="n"/>
      <c r="E112" s="32" t="n"/>
      <c r="F112" s="32" t="n"/>
      <c r="G112" s="33">
        <f>IF(A112="","",IFERROR(INDEX(OffCat,MATCH(F112,OffList,0)),"Unlisted"))</f>
        <v/>
      </c>
      <c r="H112" s="30" t="n"/>
      <c r="I112" s="31" t="n"/>
      <c r="J112" s="34" t="n"/>
      <c r="K112" s="34" t="n"/>
      <c r="L112" s="34" t="n"/>
      <c r="M112" s="30" t="n"/>
      <c r="N112" s="30" t="n"/>
      <c r="O112" s="30" t="n"/>
      <c r="P112" s="30" t="n"/>
      <c r="Q112" s="31" t="n"/>
      <c r="R112" s="31" t="n"/>
      <c r="S112" s="31" t="n"/>
      <c r="T112" s="31" t="n"/>
      <c r="U112" s="31" t="n"/>
      <c r="V112" s="31" t="n"/>
      <c r="W112" s="30" t="n"/>
      <c r="X112" s="31" t="n"/>
      <c r="Y112" s="35" t="n"/>
      <c r="Z112" s="35" t="n"/>
      <c r="AA112" s="35" t="n"/>
      <c r="AB112" s="35" t="n"/>
      <c r="AC112" s="35" t="n"/>
      <c r="AD112" s="35" t="n"/>
      <c r="AE112" s="35" t="n"/>
      <c r="AF112" s="35" t="n"/>
      <c r="AG112" s="36">
        <f>IF(A112="","",IF(V112&lt;&gt;"",V112-B112,TODAY()-B112))</f>
        <v/>
      </c>
      <c r="AH112" s="36">
        <f>IF(OR(A112="",I112=""),"",MAX(0,IF(V112&lt;&gt;"",V112-I112,TODAY()-I112)))</f>
        <v/>
      </c>
      <c r="AI112" s="37">
        <f>IF(A112="","",IF(OR(K112="Closed",V112&lt;&gt;""),"Closed",IF(AH112&gt;=AgeCrit,"Critical",IF(AH112&gt;=AgeFu,"For Follow-up",IF(AH112&gt;=AgeMonitor,"Monitor","Within Standard")))))</f>
        <v/>
      </c>
      <c r="AJ112" s="38">
        <f>IF(A112="","",IFERROR(INDEX(StgPct,MATCH(H112,StgList,0)),0))</f>
        <v/>
      </c>
      <c r="AK112" s="38">
        <f>IF(A112="","",IFERROR(COUNTIF(Y112:AF112,"Y")/(COUNTIF(Y112:AF112,"Y")+COUNTIF(Y112:AF112,"N")),0))</f>
        <v/>
      </c>
      <c r="AL112" s="36">
        <f>IF(OR(A112="",X112=""),"",MAX(0,IF(V112&lt;&gt;"",V112,TODAY())-X112))</f>
        <v/>
      </c>
      <c r="AM112" s="32" t="n"/>
      <c r="AN112" s="33">
        <f>IF(A112="","",LOWER(AI112)&amp;"|"&amp;AH112&amp;"|"&amp;AJ112&amp;"|"&amp;AK112)</f>
        <v/>
      </c>
      <c r="AO112" s="33">
        <f>IF(OR(A112="",T112=""),"",T112-TODAY())</f>
        <v/>
      </c>
      <c r="AP112" s="33">
        <f>IF(OR(A112="",V112&lt;&gt;""),"",(TODAY()-B112)+ROW()/1000000)</f>
        <v/>
      </c>
    </row>
    <row r="113" ht="27" customHeight="1">
      <c r="A113" s="30" t="n"/>
      <c r="B113" s="31" t="n"/>
      <c r="C113" s="32" t="n"/>
      <c r="D113" s="32" t="n"/>
      <c r="E113" s="32" t="n"/>
      <c r="F113" s="32" t="n"/>
      <c r="G113" s="33">
        <f>IF(A113="","",IFERROR(INDEX(OffCat,MATCH(F113,OffList,0)),"Unlisted"))</f>
        <v/>
      </c>
      <c r="H113" s="30" t="n"/>
      <c r="I113" s="31" t="n"/>
      <c r="J113" s="34" t="n"/>
      <c r="K113" s="34" t="n"/>
      <c r="L113" s="34" t="n"/>
      <c r="M113" s="30" t="n"/>
      <c r="N113" s="30" t="n"/>
      <c r="O113" s="30" t="n"/>
      <c r="P113" s="30" t="n"/>
      <c r="Q113" s="31" t="n"/>
      <c r="R113" s="31" t="n"/>
      <c r="S113" s="31" t="n"/>
      <c r="T113" s="31" t="n"/>
      <c r="U113" s="31" t="n"/>
      <c r="V113" s="31" t="n"/>
      <c r="W113" s="30" t="n"/>
      <c r="X113" s="31" t="n"/>
      <c r="Y113" s="35" t="n"/>
      <c r="Z113" s="35" t="n"/>
      <c r="AA113" s="35" t="n"/>
      <c r="AB113" s="35" t="n"/>
      <c r="AC113" s="35" t="n"/>
      <c r="AD113" s="35" t="n"/>
      <c r="AE113" s="35" t="n"/>
      <c r="AF113" s="35" t="n"/>
      <c r="AG113" s="36">
        <f>IF(A113="","",IF(V113&lt;&gt;"",V113-B113,TODAY()-B113))</f>
        <v/>
      </c>
      <c r="AH113" s="36">
        <f>IF(OR(A113="",I113=""),"",MAX(0,IF(V113&lt;&gt;"",V113-I113,TODAY()-I113)))</f>
        <v/>
      </c>
      <c r="AI113" s="37">
        <f>IF(A113="","",IF(OR(K113="Closed",V113&lt;&gt;""),"Closed",IF(AH113&gt;=AgeCrit,"Critical",IF(AH113&gt;=AgeFu,"For Follow-up",IF(AH113&gt;=AgeMonitor,"Monitor","Within Standard")))))</f>
        <v/>
      </c>
      <c r="AJ113" s="38">
        <f>IF(A113="","",IFERROR(INDEX(StgPct,MATCH(H113,StgList,0)),0))</f>
        <v/>
      </c>
      <c r="AK113" s="38">
        <f>IF(A113="","",IFERROR(COUNTIF(Y113:AF113,"Y")/(COUNTIF(Y113:AF113,"Y")+COUNTIF(Y113:AF113,"N")),0))</f>
        <v/>
      </c>
      <c r="AL113" s="36">
        <f>IF(OR(A113="",X113=""),"",MAX(0,IF(V113&lt;&gt;"",V113,TODAY())-X113))</f>
        <v/>
      </c>
      <c r="AM113" s="32" t="n"/>
      <c r="AN113" s="33">
        <f>IF(A113="","",LOWER(AI113)&amp;"|"&amp;AH113&amp;"|"&amp;AJ113&amp;"|"&amp;AK113)</f>
        <v/>
      </c>
      <c r="AO113" s="33">
        <f>IF(OR(A113="",T113=""),"",T113-TODAY())</f>
        <v/>
      </c>
      <c r="AP113" s="33">
        <f>IF(OR(A113="",V113&lt;&gt;""),"",(TODAY()-B113)+ROW()/1000000)</f>
        <v/>
      </c>
    </row>
    <row r="114" ht="27" customHeight="1">
      <c r="A114" s="30" t="n"/>
      <c r="B114" s="31" t="n"/>
      <c r="C114" s="32" t="n"/>
      <c r="D114" s="32" t="n"/>
      <c r="E114" s="32" t="n"/>
      <c r="F114" s="32" t="n"/>
      <c r="G114" s="33">
        <f>IF(A114="","",IFERROR(INDEX(OffCat,MATCH(F114,OffList,0)),"Unlisted"))</f>
        <v/>
      </c>
      <c r="H114" s="30" t="n"/>
      <c r="I114" s="31" t="n"/>
      <c r="J114" s="34" t="n"/>
      <c r="K114" s="34" t="n"/>
      <c r="L114" s="34" t="n"/>
      <c r="M114" s="30" t="n"/>
      <c r="N114" s="30" t="n"/>
      <c r="O114" s="30" t="n"/>
      <c r="P114" s="30" t="n"/>
      <c r="Q114" s="31" t="n"/>
      <c r="R114" s="31" t="n"/>
      <c r="S114" s="31" t="n"/>
      <c r="T114" s="31" t="n"/>
      <c r="U114" s="31" t="n"/>
      <c r="V114" s="31" t="n"/>
      <c r="W114" s="30" t="n"/>
      <c r="X114" s="31" t="n"/>
      <c r="Y114" s="35" t="n"/>
      <c r="Z114" s="35" t="n"/>
      <c r="AA114" s="35" t="n"/>
      <c r="AB114" s="35" t="n"/>
      <c r="AC114" s="35" t="n"/>
      <c r="AD114" s="35" t="n"/>
      <c r="AE114" s="35" t="n"/>
      <c r="AF114" s="35" t="n"/>
      <c r="AG114" s="36">
        <f>IF(A114="","",IF(V114&lt;&gt;"",V114-B114,TODAY()-B114))</f>
        <v/>
      </c>
      <c r="AH114" s="36">
        <f>IF(OR(A114="",I114=""),"",MAX(0,IF(V114&lt;&gt;"",V114-I114,TODAY()-I114)))</f>
        <v/>
      </c>
      <c r="AI114" s="37">
        <f>IF(A114="","",IF(OR(K114="Closed",V114&lt;&gt;""),"Closed",IF(AH114&gt;=AgeCrit,"Critical",IF(AH114&gt;=AgeFu,"For Follow-up",IF(AH114&gt;=AgeMonitor,"Monitor","Within Standard")))))</f>
        <v/>
      </c>
      <c r="AJ114" s="38">
        <f>IF(A114="","",IFERROR(INDEX(StgPct,MATCH(H114,StgList,0)),0))</f>
        <v/>
      </c>
      <c r="AK114" s="38">
        <f>IF(A114="","",IFERROR(COUNTIF(Y114:AF114,"Y")/(COUNTIF(Y114:AF114,"Y")+COUNTIF(Y114:AF114,"N")),0))</f>
        <v/>
      </c>
      <c r="AL114" s="36">
        <f>IF(OR(A114="",X114=""),"",MAX(0,IF(V114&lt;&gt;"",V114,TODAY())-X114))</f>
        <v/>
      </c>
      <c r="AM114" s="32" t="n"/>
      <c r="AN114" s="33">
        <f>IF(A114="","",LOWER(AI114)&amp;"|"&amp;AH114&amp;"|"&amp;AJ114&amp;"|"&amp;AK114)</f>
        <v/>
      </c>
      <c r="AO114" s="33">
        <f>IF(OR(A114="",T114=""),"",T114-TODAY())</f>
        <v/>
      </c>
      <c r="AP114" s="33">
        <f>IF(OR(A114="",V114&lt;&gt;""),"",(TODAY()-B114)+ROW()/1000000)</f>
        <v/>
      </c>
    </row>
    <row r="115" ht="27" customHeight="1">
      <c r="A115" s="30" t="n"/>
      <c r="B115" s="31" t="n"/>
      <c r="C115" s="32" t="n"/>
      <c r="D115" s="32" t="n"/>
      <c r="E115" s="32" t="n"/>
      <c r="F115" s="32" t="n"/>
      <c r="G115" s="33">
        <f>IF(A115="","",IFERROR(INDEX(OffCat,MATCH(F115,OffList,0)),"Unlisted"))</f>
        <v/>
      </c>
      <c r="H115" s="30" t="n"/>
      <c r="I115" s="31" t="n"/>
      <c r="J115" s="34" t="n"/>
      <c r="K115" s="34" t="n"/>
      <c r="L115" s="34" t="n"/>
      <c r="M115" s="30" t="n"/>
      <c r="N115" s="30" t="n"/>
      <c r="O115" s="30" t="n"/>
      <c r="P115" s="30" t="n"/>
      <c r="Q115" s="31" t="n"/>
      <c r="R115" s="31" t="n"/>
      <c r="S115" s="31" t="n"/>
      <c r="T115" s="31" t="n"/>
      <c r="U115" s="31" t="n"/>
      <c r="V115" s="31" t="n"/>
      <c r="W115" s="30" t="n"/>
      <c r="X115" s="31" t="n"/>
      <c r="Y115" s="35" t="n"/>
      <c r="Z115" s="35" t="n"/>
      <c r="AA115" s="35" t="n"/>
      <c r="AB115" s="35" t="n"/>
      <c r="AC115" s="35" t="n"/>
      <c r="AD115" s="35" t="n"/>
      <c r="AE115" s="35" t="n"/>
      <c r="AF115" s="35" t="n"/>
      <c r="AG115" s="36">
        <f>IF(A115="","",IF(V115&lt;&gt;"",V115-B115,TODAY()-B115))</f>
        <v/>
      </c>
      <c r="AH115" s="36">
        <f>IF(OR(A115="",I115=""),"",MAX(0,IF(V115&lt;&gt;"",V115-I115,TODAY()-I115)))</f>
        <v/>
      </c>
      <c r="AI115" s="37">
        <f>IF(A115="","",IF(OR(K115="Closed",V115&lt;&gt;""),"Closed",IF(AH115&gt;=AgeCrit,"Critical",IF(AH115&gt;=AgeFu,"For Follow-up",IF(AH115&gt;=AgeMonitor,"Monitor","Within Standard")))))</f>
        <v/>
      </c>
      <c r="AJ115" s="38">
        <f>IF(A115="","",IFERROR(INDEX(StgPct,MATCH(H115,StgList,0)),0))</f>
        <v/>
      </c>
      <c r="AK115" s="38">
        <f>IF(A115="","",IFERROR(COUNTIF(Y115:AF115,"Y")/(COUNTIF(Y115:AF115,"Y")+COUNTIF(Y115:AF115,"N")),0))</f>
        <v/>
      </c>
      <c r="AL115" s="36">
        <f>IF(OR(A115="",X115=""),"",MAX(0,IF(V115&lt;&gt;"",V115,TODAY())-X115))</f>
        <v/>
      </c>
      <c r="AM115" s="32" t="n"/>
      <c r="AN115" s="33">
        <f>IF(A115="","",LOWER(AI115)&amp;"|"&amp;AH115&amp;"|"&amp;AJ115&amp;"|"&amp;AK115)</f>
        <v/>
      </c>
      <c r="AO115" s="33">
        <f>IF(OR(A115="",T115=""),"",T115-TODAY())</f>
        <v/>
      </c>
      <c r="AP115" s="33">
        <f>IF(OR(A115="",V115&lt;&gt;""),"",(TODAY()-B115)+ROW()/1000000)</f>
        <v/>
      </c>
    </row>
    <row r="116" ht="27" customHeight="1">
      <c r="A116" s="30" t="n"/>
      <c r="B116" s="31" t="n"/>
      <c r="C116" s="32" t="n"/>
      <c r="D116" s="32" t="n"/>
      <c r="E116" s="32" t="n"/>
      <c r="F116" s="32" t="n"/>
      <c r="G116" s="33">
        <f>IF(A116="","",IFERROR(INDEX(OffCat,MATCH(F116,OffList,0)),"Unlisted"))</f>
        <v/>
      </c>
      <c r="H116" s="30" t="n"/>
      <c r="I116" s="31" t="n"/>
      <c r="J116" s="34" t="n"/>
      <c r="K116" s="34" t="n"/>
      <c r="L116" s="34" t="n"/>
      <c r="M116" s="30" t="n"/>
      <c r="N116" s="30" t="n"/>
      <c r="O116" s="30" t="n"/>
      <c r="P116" s="30" t="n"/>
      <c r="Q116" s="31" t="n"/>
      <c r="R116" s="31" t="n"/>
      <c r="S116" s="31" t="n"/>
      <c r="T116" s="31" t="n"/>
      <c r="U116" s="31" t="n"/>
      <c r="V116" s="31" t="n"/>
      <c r="W116" s="30" t="n"/>
      <c r="X116" s="31" t="n"/>
      <c r="Y116" s="35" t="n"/>
      <c r="Z116" s="35" t="n"/>
      <c r="AA116" s="35" t="n"/>
      <c r="AB116" s="35" t="n"/>
      <c r="AC116" s="35" t="n"/>
      <c r="AD116" s="35" t="n"/>
      <c r="AE116" s="35" t="n"/>
      <c r="AF116" s="35" t="n"/>
      <c r="AG116" s="36">
        <f>IF(A116="","",IF(V116&lt;&gt;"",V116-B116,TODAY()-B116))</f>
        <v/>
      </c>
      <c r="AH116" s="36">
        <f>IF(OR(A116="",I116=""),"",MAX(0,IF(V116&lt;&gt;"",V116-I116,TODAY()-I116)))</f>
        <v/>
      </c>
      <c r="AI116" s="37">
        <f>IF(A116="","",IF(OR(K116="Closed",V116&lt;&gt;""),"Closed",IF(AH116&gt;=AgeCrit,"Critical",IF(AH116&gt;=AgeFu,"For Follow-up",IF(AH116&gt;=AgeMonitor,"Monitor","Within Standard")))))</f>
        <v/>
      </c>
      <c r="AJ116" s="38">
        <f>IF(A116="","",IFERROR(INDEX(StgPct,MATCH(H116,StgList,0)),0))</f>
        <v/>
      </c>
      <c r="AK116" s="38">
        <f>IF(A116="","",IFERROR(COUNTIF(Y116:AF116,"Y")/(COUNTIF(Y116:AF116,"Y")+COUNTIF(Y116:AF116,"N")),0))</f>
        <v/>
      </c>
      <c r="AL116" s="36">
        <f>IF(OR(A116="",X116=""),"",MAX(0,IF(V116&lt;&gt;"",V116,TODAY())-X116))</f>
        <v/>
      </c>
      <c r="AM116" s="32" t="n"/>
      <c r="AN116" s="33">
        <f>IF(A116="","",LOWER(AI116)&amp;"|"&amp;AH116&amp;"|"&amp;AJ116&amp;"|"&amp;AK116)</f>
        <v/>
      </c>
      <c r="AO116" s="33">
        <f>IF(OR(A116="",T116=""),"",T116-TODAY())</f>
        <v/>
      </c>
      <c r="AP116" s="33">
        <f>IF(OR(A116="",V116&lt;&gt;""),"",(TODAY()-B116)+ROW()/1000000)</f>
        <v/>
      </c>
    </row>
    <row r="117" ht="27" customHeight="1">
      <c r="A117" s="30" t="n"/>
      <c r="B117" s="31" t="n"/>
      <c r="C117" s="32" t="n"/>
      <c r="D117" s="32" t="n"/>
      <c r="E117" s="32" t="n"/>
      <c r="F117" s="32" t="n"/>
      <c r="G117" s="33">
        <f>IF(A117="","",IFERROR(INDEX(OffCat,MATCH(F117,OffList,0)),"Unlisted"))</f>
        <v/>
      </c>
      <c r="H117" s="30" t="n"/>
      <c r="I117" s="31" t="n"/>
      <c r="J117" s="34" t="n"/>
      <c r="K117" s="34" t="n"/>
      <c r="L117" s="34" t="n"/>
      <c r="M117" s="30" t="n"/>
      <c r="N117" s="30" t="n"/>
      <c r="O117" s="30" t="n"/>
      <c r="P117" s="30" t="n"/>
      <c r="Q117" s="31" t="n"/>
      <c r="R117" s="31" t="n"/>
      <c r="S117" s="31" t="n"/>
      <c r="T117" s="31" t="n"/>
      <c r="U117" s="31" t="n"/>
      <c r="V117" s="31" t="n"/>
      <c r="W117" s="30" t="n"/>
      <c r="X117" s="31" t="n"/>
      <c r="Y117" s="35" t="n"/>
      <c r="Z117" s="35" t="n"/>
      <c r="AA117" s="35" t="n"/>
      <c r="AB117" s="35" t="n"/>
      <c r="AC117" s="35" t="n"/>
      <c r="AD117" s="35" t="n"/>
      <c r="AE117" s="35" t="n"/>
      <c r="AF117" s="35" t="n"/>
      <c r="AG117" s="36">
        <f>IF(A117="","",IF(V117&lt;&gt;"",V117-B117,TODAY()-B117))</f>
        <v/>
      </c>
      <c r="AH117" s="36">
        <f>IF(OR(A117="",I117=""),"",MAX(0,IF(V117&lt;&gt;"",V117-I117,TODAY()-I117)))</f>
        <v/>
      </c>
      <c r="AI117" s="37">
        <f>IF(A117="","",IF(OR(K117="Closed",V117&lt;&gt;""),"Closed",IF(AH117&gt;=AgeCrit,"Critical",IF(AH117&gt;=AgeFu,"For Follow-up",IF(AH117&gt;=AgeMonitor,"Monitor","Within Standard")))))</f>
        <v/>
      </c>
      <c r="AJ117" s="38">
        <f>IF(A117="","",IFERROR(INDEX(StgPct,MATCH(H117,StgList,0)),0))</f>
        <v/>
      </c>
      <c r="AK117" s="38">
        <f>IF(A117="","",IFERROR(COUNTIF(Y117:AF117,"Y")/(COUNTIF(Y117:AF117,"Y")+COUNTIF(Y117:AF117,"N")),0))</f>
        <v/>
      </c>
      <c r="AL117" s="36">
        <f>IF(OR(A117="",X117=""),"",MAX(0,IF(V117&lt;&gt;"",V117,TODAY())-X117))</f>
        <v/>
      </c>
      <c r="AM117" s="32" t="n"/>
      <c r="AN117" s="33">
        <f>IF(A117="","",LOWER(AI117)&amp;"|"&amp;AH117&amp;"|"&amp;AJ117&amp;"|"&amp;AK117)</f>
        <v/>
      </c>
      <c r="AO117" s="33">
        <f>IF(OR(A117="",T117=""),"",T117-TODAY())</f>
        <v/>
      </c>
      <c r="AP117" s="33">
        <f>IF(OR(A117="",V117&lt;&gt;""),"",(TODAY()-B117)+ROW()/1000000)</f>
        <v/>
      </c>
    </row>
    <row r="118" ht="27" customHeight="1">
      <c r="A118" s="30" t="n"/>
      <c r="B118" s="31" t="n"/>
      <c r="C118" s="32" t="n"/>
      <c r="D118" s="32" t="n"/>
      <c r="E118" s="32" t="n"/>
      <c r="F118" s="32" t="n"/>
      <c r="G118" s="33">
        <f>IF(A118="","",IFERROR(INDEX(OffCat,MATCH(F118,OffList,0)),"Unlisted"))</f>
        <v/>
      </c>
      <c r="H118" s="30" t="n"/>
      <c r="I118" s="31" t="n"/>
      <c r="J118" s="34" t="n"/>
      <c r="K118" s="34" t="n"/>
      <c r="L118" s="34" t="n"/>
      <c r="M118" s="30" t="n"/>
      <c r="N118" s="30" t="n"/>
      <c r="O118" s="30" t="n"/>
      <c r="P118" s="30" t="n"/>
      <c r="Q118" s="31" t="n"/>
      <c r="R118" s="31" t="n"/>
      <c r="S118" s="31" t="n"/>
      <c r="T118" s="31" t="n"/>
      <c r="U118" s="31" t="n"/>
      <c r="V118" s="31" t="n"/>
      <c r="W118" s="30" t="n"/>
      <c r="X118" s="31" t="n"/>
      <c r="Y118" s="35" t="n"/>
      <c r="Z118" s="35" t="n"/>
      <c r="AA118" s="35" t="n"/>
      <c r="AB118" s="35" t="n"/>
      <c r="AC118" s="35" t="n"/>
      <c r="AD118" s="35" t="n"/>
      <c r="AE118" s="35" t="n"/>
      <c r="AF118" s="35" t="n"/>
      <c r="AG118" s="36">
        <f>IF(A118="","",IF(V118&lt;&gt;"",V118-B118,TODAY()-B118))</f>
        <v/>
      </c>
      <c r="AH118" s="36">
        <f>IF(OR(A118="",I118=""),"",MAX(0,IF(V118&lt;&gt;"",V118-I118,TODAY()-I118)))</f>
        <v/>
      </c>
      <c r="AI118" s="37">
        <f>IF(A118="","",IF(OR(K118="Closed",V118&lt;&gt;""),"Closed",IF(AH118&gt;=AgeCrit,"Critical",IF(AH118&gt;=AgeFu,"For Follow-up",IF(AH118&gt;=AgeMonitor,"Monitor","Within Standard")))))</f>
        <v/>
      </c>
      <c r="AJ118" s="38">
        <f>IF(A118="","",IFERROR(INDEX(StgPct,MATCH(H118,StgList,0)),0))</f>
        <v/>
      </c>
      <c r="AK118" s="38">
        <f>IF(A118="","",IFERROR(COUNTIF(Y118:AF118,"Y")/(COUNTIF(Y118:AF118,"Y")+COUNTIF(Y118:AF118,"N")),0))</f>
        <v/>
      </c>
      <c r="AL118" s="36">
        <f>IF(OR(A118="",X118=""),"",MAX(0,IF(V118&lt;&gt;"",V118,TODAY())-X118))</f>
        <v/>
      </c>
      <c r="AM118" s="32" t="n"/>
      <c r="AN118" s="33">
        <f>IF(A118="","",LOWER(AI118)&amp;"|"&amp;AH118&amp;"|"&amp;AJ118&amp;"|"&amp;AK118)</f>
        <v/>
      </c>
      <c r="AO118" s="33">
        <f>IF(OR(A118="",T118=""),"",T118-TODAY())</f>
        <v/>
      </c>
      <c r="AP118" s="33">
        <f>IF(OR(A118="",V118&lt;&gt;""),"",(TODAY()-B118)+ROW()/1000000)</f>
        <v/>
      </c>
    </row>
    <row r="119" ht="27" customHeight="1">
      <c r="A119" s="30" t="n"/>
      <c r="B119" s="31" t="n"/>
      <c r="C119" s="32" t="n"/>
      <c r="D119" s="32" t="n"/>
      <c r="E119" s="32" t="n"/>
      <c r="F119" s="32" t="n"/>
      <c r="G119" s="33">
        <f>IF(A119="","",IFERROR(INDEX(OffCat,MATCH(F119,OffList,0)),"Unlisted"))</f>
        <v/>
      </c>
      <c r="H119" s="30" t="n"/>
      <c r="I119" s="31" t="n"/>
      <c r="J119" s="34" t="n"/>
      <c r="K119" s="34" t="n"/>
      <c r="L119" s="34" t="n"/>
      <c r="M119" s="30" t="n"/>
      <c r="N119" s="30" t="n"/>
      <c r="O119" s="30" t="n"/>
      <c r="P119" s="30" t="n"/>
      <c r="Q119" s="31" t="n"/>
      <c r="R119" s="31" t="n"/>
      <c r="S119" s="31" t="n"/>
      <c r="T119" s="31" t="n"/>
      <c r="U119" s="31" t="n"/>
      <c r="V119" s="31" t="n"/>
      <c r="W119" s="30" t="n"/>
      <c r="X119" s="31" t="n"/>
      <c r="Y119" s="35" t="n"/>
      <c r="Z119" s="35" t="n"/>
      <c r="AA119" s="35" t="n"/>
      <c r="AB119" s="35" t="n"/>
      <c r="AC119" s="35" t="n"/>
      <c r="AD119" s="35" t="n"/>
      <c r="AE119" s="35" t="n"/>
      <c r="AF119" s="35" t="n"/>
      <c r="AG119" s="36">
        <f>IF(A119="","",IF(V119&lt;&gt;"",V119-B119,TODAY()-B119))</f>
        <v/>
      </c>
      <c r="AH119" s="36">
        <f>IF(OR(A119="",I119=""),"",MAX(0,IF(V119&lt;&gt;"",V119-I119,TODAY()-I119)))</f>
        <v/>
      </c>
      <c r="AI119" s="37">
        <f>IF(A119="","",IF(OR(K119="Closed",V119&lt;&gt;""),"Closed",IF(AH119&gt;=AgeCrit,"Critical",IF(AH119&gt;=AgeFu,"For Follow-up",IF(AH119&gt;=AgeMonitor,"Monitor","Within Standard")))))</f>
        <v/>
      </c>
      <c r="AJ119" s="38">
        <f>IF(A119="","",IFERROR(INDEX(StgPct,MATCH(H119,StgList,0)),0))</f>
        <v/>
      </c>
      <c r="AK119" s="38">
        <f>IF(A119="","",IFERROR(COUNTIF(Y119:AF119,"Y")/(COUNTIF(Y119:AF119,"Y")+COUNTIF(Y119:AF119,"N")),0))</f>
        <v/>
      </c>
      <c r="AL119" s="36">
        <f>IF(OR(A119="",X119=""),"",MAX(0,IF(V119&lt;&gt;"",V119,TODAY())-X119))</f>
        <v/>
      </c>
      <c r="AM119" s="32" t="n"/>
      <c r="AN119" s="33">
        <f>IF(A119="","",LOWER(AI119)&amp;"|"&amp;AH119&amp;"|"&amp;AJ119&amp;"|"&amp;AK119)</f>
        <v/>
      </c>
      <c r="AO119" s="33">
        <f>IF(OR(A119="",T119=""),"",T119-TODAY())</f>
        <v/>
      </c>
      <c r="AP119" s="33">
        <f>IF(OR(A119="",V119&lt;&gt;""),"",(TODAY()-B119)+ROW()/1000000)</f>
        <v/>
      </c>
    </row>
    <row r="120" ht="27" customHeight="1">
      <c r="A120" s="30" t="n"/>
      <c r="B120" s="31" t="n"/>
      <c r="C120" s="32" t="n"/>
      <c r="D120" s="32" t="n"/>
      <c r="E120" s="32" t="n"/>
      <c r="F120" s="32" t="n"/>
      <c r="G120" s="33">
        <f>IF(A120="","",IFERROR(INDEX(OffCat,MATCH(F120,OffList,0)),"Unlisted"))</f>
        <v/>
      </c>
      <c r="H120" s="30" t="n"/>
      <c r="I120" s="31" t="n"/>
      <c r="J120" s="34" t="n"/>
      <c r="K120" s="34" t="n"/>
      <c r="L120" s="34" t="n"/>
      <c r="M120" s="30" t="n"/>
      <c r="N120" s="30" t="n"/>
      <c r="O120" s="30" t="n"/>
      <c r="P120" s="30" t="n"/>
      <c r="Q120" s="31" t="n"/>
      <c r="R120" s="31" t="n"/>
      <c r="S120" s="31" t="n"/>
      <c r="T120" s="31" t="n"/>
      <c r="U120" s="31" t="n"/>
      <c r="V120" s="31" t="n"/>
      <c r="W120" s="30" t="n"/>
      <c r="X120" s="31" t="n"/>
      <c r="Y120" s="35" t="n"/>
      <c r="Z120" s="35" t="n"/>
      <c r="AA120" s="35" t="n"/>
      <c r="AB120" s="35" t="n"/>
      <c r="AC120" s="35" t="n"/>
      <c r="AD120" s="35" t="n"/>
      <c r="AE120" s="35" t="n"/>
      <c r="AF120" s="35" t="n"/>
      <c r="AG120" s="36">
        <f>IF(A120="","",IF(V120&lt;&gt;"",V120-B120,TODAY()-B120))</f>
        <v/>
      </c>
      <c r="AH120" s="36">
        <f>IF(OR(A120="",I120=""),"",MAX(0,IF(V120&lt;&gt;"",V120-I120,TODAY()-I120)))</f>
        <v/>
      </c>
      <c r="AI120" s="37">
        <f>IF(A120="","",IF(OR(K120="Closed",V120&lt;&gt;""),"Closed",IF(AH120&gt;=AgeCrit,"Critical",IF(AH120&gt;=AgeFu,"For Follow-up",IF(AH120&gt;=AgeMonitor,"Monitor","Within Standard")))))</f>
        <v/>
      </c>
      <c r="AJ120" s="38">
        <f>IF(A120="","",IFERROR(INDEX(StgPct,MATCH(H120,StgList,0)),0))</f>
        <v/>
      </c>
      <c r="AK120" s="38">
        <f>IF(A120="","",IFERROR(COUNTIF(Y120:AF120,"Y")/(COUNTIF(Y120:AF120,"Y")+COUNTIF(Y120:AF120,"N")),0))</f>
        <v/>
      </c>
      <c r="AL120" s="36">
        <f>IF(OR(A120="",X120=""),"",MAX(0,IF(V120&lt;&gt;"",V120,TODAY())-X120))</f>
        <v/>
      </c>
      <c r="AM120" s="32" t="n"/>
      <c r="AN120" s="33">
        <f>IF(A120="","",LOWER(AI120)&amp;"|"&amp;AH120&amp;"|"&amp;AJ120&amp;"|"&amp;AK120)</f>
        <v/>
      </c>
      <c r="AO120" s="33">
        <f>IF(OR(A120="",T120=""),"",T120-TODAY())</f>
        <v/>
      </c>
      <c r="AP120" s="33">
        <f>IF(OR(A120="",V120&lt;&gt;""),"",(TODAY()-B120)+ROW()/1000000)</f>
        <v/>
      </c>
    </row>
    <row r="121" ht="27" customHeight="1">
      <c r="A121" s="30" t="n"/>
      <c r="B121" s="31" t="n"/>
      <c r="C121" s="32" t="n"/>
      <c r="D121" s="32" t="n"/>
      <c r="E121" s="32" t="n"/>
      <c r="F121" s="32" t="n"/>
      <c r="G121" s="33">
        <f>IF(A121="","",IFERROR(INDEX(OffCat,MATCH(F121,OffList,0)),"Unlisted"))</f>
        <v/>
      </c>
      <c r="H121" s="30" t="n"/>
      <c r="I121" s="31" t="n"/>
      <c r="J121" s="34" t="n"/>
      <c r="K121" s="34" t="n"/>
      <c r="L121" s="34" t="n"/>
      <c r="M121" s="30" t="n"/>
      <c r="N121" s="30" t="n"/>
      <c r="O121" s="30" t="n"/>
      <c r="P121" s="30" t="n"/>
      <c r="Q121" s="31" t="n"/>
      <c r="R121" s="31" t="n"/>
      <c r="S121" s="31" t="n"/>
      <c r="T121" s="31" t="n"/>
      <c r="U121" s="31" t="n"/>
      <c r="V121" s="31" t="n"/>
      <c r="W121" s="30" t="n"/>
      <c r="X121" s="31" t="n"/>
      <c r="Y121" s="35" t="n"/>
      <c r="Z121" s="35" t="n"/>
      <c r="AA121" s="35" t="n"/>
      <c r="AB121" s="35" t="n"/>
      <c r="AC121" s="35" t="n"/>
      <c r="AD121" s="35" t="n"/>
      <c r="AE121" s="35" t="n"/>
      <c r="AF121" s="35" t="n"/>
      <c r="AG121" s="36">
        <f>IF(A121="","",IF(V121&lt;&gt;"",V121-B121,TODAY()-B121))</f>
        <v/>
      </c>
      <c r="AH121" s="36">
        <f>IF(OR(A121="",I121=""),"",MAX(0,IF(V121&lt;&gt;"",V121-I121,TODAY()-I121)))</f>
        <v/>
      </c>
      <c r="AI121" s="37">
        <f>IF(A121="","",IF(OR(K121="Closed",V121&lt;&gt;""),"Closed",IF(AH121&gt;=AgeCrit,"Critical",IF(AH121&gt;=AgeFu,"For Follow-up",IF(AH121&gt;=AgeMonitor,"Monitor","Within Standard")))))</f>
        <v/>
      </c>
      <c r="AJ121" s="38">
        <f>IF(A121="","",IFERROR(INDEX(StgPct,MATCH(H121,StgList,0)),0))</f>
        <v/>
      </c>
      <c r="AK121" s="38">
        <f>IF(A121="","",IFERROR(COUNTIF(Y121:AF121,"Y")/(COUNTIF(Y121:AF121,"Y")+COUNTIF(Y121:AF121,"N")),0))</f>
        <v/>
      </c>
      <c r="AL121" s="36">
        <f>IF(OR(A121="",X121=""),"",MAX(0,IF(V121&lt;&gt;"",V121,TODAY())-X121))</f>
        <v/>
      </c>
      <c r="AM121" s="32" t="n"/>
      <c r="AN121" s="33">
        <f>IF(A121="","",LOWER(AI121)&amp;"|"&amp;AH121&amp;"|"&amp;AJ121&amp;"|"&amp;AK121)</f>
        <v/>
      </c>
      <c r="AO121" s="33">
        <f>IF(OR(A121="",T121=""),"",T121-TODAY())</f>
        <v/>
      </c>
      <c r="AP121" s="33">
        <f>IF(OR(A121="",V121&lt;&gt;""),"",(TODAY()-B121)+ROW()/1000000)</f>
        <v/>
      </c>
    </row>
    <row r="122" ht="27" customHeight="1">
      <c r="A122" s="30" t="n"/>
      <c r="B122" s="31" t="n"/>
      <c r="C122" s="32" t="n"/>
      <c r="D122" s="32" t="n"/>
      <c r="E122" s="32" t="n"/>
      <c r="F122" s="32" t="n"/>
      <c r="G122" s="33">
        <f>IF(A122="","",IFERROR(INDEX(OffCat,MATCH(F122,OffList,0)),"Unlisted"))</f>
        <v/>
      </c>
      <c r="H122" s="30" t="n"/>
      <c r="I122" s="31" t="n"/>
      <c r="J122" s="34" t="n"/>
      <c r="K122" s="34" t="n"/>
      <c r="L122" s="34" t="n"/>
      <c r="M122" s="30" t="n"/>
      <c r="N122" s="30" t="n"/>
      <c r="O122" s="30" t="n"/>
      <c r="P122" s="30" t="n"/>
      <c r="Q122" s="31" t="n"/>
      <c r="R122" s="31" t="n"/>
      <c r="S122" s="31" t="n"/>
      <c r="T122" s="31" t="n"/>
      <c r="U122" s="31" t="n"/>
      <c r="V122" s="31" t="n"/>
      <c r="W122" s="30" t="n"/>
      <c r="X122" s="31" t="n"/>
      <c r="Y122" s="35" t="n"/>
      <c r="Z122" s="35" t="n"/>
      <c r="AA122" s="35" t="n"/>
      <c r="AB122" s="35" t="n"/>
      <c r="AC122" s="35" t="n"/>
      <c r="AD122" s="35" t="n"/>
      <c r="AE122" s="35" t="n"/>
      <c r="AF122" s="35" t="n"/>
      <c r="AG122" s="36">
        <f>IF(A122="","",IF(V122&lt;&gt;"",V122-B122,TODAY()-B122))</f>
        <v/>
      </c>
      <c r="AH122" s="36">
        <f>IF(OR(A122="",I122=""),"",MAX(0,IF(V122&lt;&gt;"",V122-I122,TODAY()-I122)))</f>
        <v/>
      </c>
      <c r="AI122" s="37">
        <f>IF(A122="","",IF(OR(K122="Closed",V122&lt;&gt;""),"Closed",IF(AH122&gt;=AgeCrit,"Critical",IF(AH122&gt;=AgeFu,"For Follow-up",IF(AH122&gt;=AgeMonitor,"Monitor","Within Standard")))))</f>
        <v/>
      </c>
      <c r="AJ122" s="38">
        <f>IF(A122="","",IFERROR(INDEX(StgPct,MATCH(H122,StgList,0)),0))</f>
        <v/>
      </c>
      <c r="AK122" s="38">
        <f>IF(A122="","",IFERROR(COUNTIF(Y122:AF122,"Y")/(COUNTIF(Y122:AF122,"Y")+COUNTIF(Y122:AF122,"N")),0))</f>
        <v/>
      </c>
      <c r="AL122" s="36">
        <f>IF(OR(A122="",X122=""),"",MAX(0,IF(V122&lt;&gt;"",V122,TODAY())-X122))</f>
        <v/>
      </c>
      <c r="AM122" s="32" t="n"/>
      <c r="AN122" s="33">
        <f>IF(A122="","",LOWER(AI122)&amp;"|"&amp;AH122&amp;"|"&amp;AJ122&amp;"|"&amp;AK122)</f>
        <v/>
      </c>
      <c r="AO122" s="33">
        <f>IF(OR(A122="",T122=""),"",T122-TODAY())</f>
        <v/>
      </c>
      <c r="AP122" s="33">
        <f>IF(OR(A122="",V122&lt;&gt;""),"",(TODAY()-B122)+ROW()/1000000)</f>
        <v/>
      </c>
    </row>
    <row r="123" ht="27" customHeight="1">
      <c r="A123" s="30" t="n"/>
      <c r="B123" s="31" t="n"/>
      <c r="C123" s="32" t="n"/>
      <c r="D123" s="32" t="n"/>
      <c r="E123" s="32" t="n"/>
      <c r="F123" s="32" t="n"/>
      <c r="G123" s="33">
        <f>IF(A123="","",IFERROR(INDEX(OffCat,MATCH(F123,OffList,0)),"Unlisted"))</f>
        <v/>
      </c>
      <c r="H123" s="30" t="n"/>
      <c r="I123" s="31" t="n"/>
      <c r="J123" s="34" t="n"/>
      <c r="K123" s="34" t="n"/>
      <c r="L123" s="34" t="n"/>
      <c r="M123" s="30" t="n"/>
      <c r="N123" s="30" t="n"/>
      <c r="O123" s="30" t="n"/>
      <c r="P123" s="30" t="n"/>
      <c r="Q123" s="31" t="n"/>
      <c r="R123" s="31" t="n"/>
      <c r="S123" s="31" t="n"/>
      <c r="T123" s="31" t="n"/>
      <c r="U123" s="31" t="n"/>
      <c r="V123" s="31" t="n"/>
      <c r="W123" s="30" t="n"/>
      <c r="X123" s="31" t="n"/>
      <c r="Y123" s="35" t="n"/>
      <c r="Z123" s="35" t="n"/>
      <c r="AA123" s="35" t="n"/>
      <c r="AB123" s="35" t="n"/>
      <c r="AC123" s="35" t="n"/>
      <c r="AD123" s="35" t="n"/>
      <c r="AE123" s="35" t="n"/>
      <c r="AF123" s="35" t="n"/>
      <c r="AG123" s="36">
        <f>IF(A123="","",IF(V123&lt;&gt;"",V123-B123,TODAY()-B123))</f>
        <v/>
      </c>
      <c r="AH123" s="36">
        <f>IF(OR(A123="",I123=""),"",MAX(0,IF(V123&lt;&gt;"",V123-I123,TODAY()-I123)))</f>
        <v/>
      </c>
      <c r="AI123" s="37">
        <f>IF(A123="","",IF(OR(K123="Closed",V123&lt;&gt;""),"Closed",IF(AH123&gt;=AgeCrit,"Critical",IF(AH123&gt;=AgeFu,"For Follow-up",IF(AH123&gt;=AgeMonitor,"Monitor","Within Standard")))))</f>
        <v/>
      </c>
      <c r="AJ123" s="38">
        <f>IF(A123="","",IFERROR(INDEX(StgPct,MATCH(H123,StgList,0)),0))</f>
        <v/>
      </c>
      <c r="AK123" s="38">
        <f>IF(A123="","",IFERROR(COUNTIF(Y123:AF123,"Y")/(COUNTIF(Y123:AF123,"Y")+COUNTIF(Y123:AF123,"N")),0))</f>
        <v/>
      </c>
      <c r="AL123" s="36">
        <f>IF(OR(A123="",X123=""),"",MAX(0,IF(V123&lt;&gt;"",V123,TODAY())-X123))</f>
        <v/>
      </c>
      <c r="AM123" s="32" t="n"/>
      <c r="AN123" s="33">
        <f>IF(A123="","",LOWER(AI123)&amp;"|"&amp;AH123&amp;"|"&amp;AJ123&amp;"|"&amp;AK123)</f>
        <v/>
      </c>
      <c r="AO123" s="33">
        <f>IF(OR(A123="",T123=""),"",T123-TODAY())</f>
        <v/>
      </c>
      <c r="AP123" s="33">
        <f>IF(OR(A123="",V123&lt;&gt;""),"",(TODAY()-B123)+ROW()/1000000)</f>
        <v/>
      </c>
    </row>
    <row r="124" ht="27" customHeight="1">
      <c r="A124" s="30" t="n"/>
      <c r="B124" s="31" t="n"/>
      <c r="C124" s="32" t="n"/>
      <c r="D124" s="32" t="n"/>
      <c r="E124" s="32" t="n"/>
      <c r="F124" s="32" t="n"/>
      <c r="G124" s="33">
        <f>IF(A124="","",IFERROR(INDEX(OffCat,MATCH(F124,OffList,0)),"Unlisted"))</f>
        <v/>
      </c>
      <c r="H124" s="30" t="n"/>
      <c r="I124" s="31" t="n"/>
      <c r="J124" s="34" t="n"/>
      <c r="K124" s="34" t="n"/>
      <c r="L124" s="34" t="n"/>
      <c r="M124" s="30" t="n"/>
      <c r="N124" s="30" t="n"/>
      <c r="O124" s="30" t="n"/>
      <c r="P124" s="30" t="n"/>
      <c r="Q124" s="31" t="n"/>
      <c r="R124" s="31" t="n"/>
      <c r="S124" s="31" t="n"/>
      <c r="T124" s="31" t="n"/>
      <c r="U124" s="31" t="n"/>
      <c r="V124" s="31" t="n"/>
      <c r="W124" s="30" t="n"/>
      <c r="X124" s="31" t="n"/>
      <c r="Y124" s="35" t="n"/>
      <c r="Z124" s="35" t="n"/>
      <c r="AA124" s="35" t="n"/>
      <c r="AB124" s="35" t="n"/>
      <c r="AC124" s="35" t="n"/>
      <c r="AD124" s="35" t="n"/>
      <c r="AE124" s="35" t="n"/>
      <c r="AF124" s="35" t="n"/>
      <c r="AG124" s="36">
        <f>IF(A124="","",IF(V124&lt;&gt;"",V124-B124,TODAY()-B124))</f>
        <v/>
      </c>
      <c r="AH124" s="36">
        <f>IF(OR(A124="",I124=""),"",MAX(0,IF(V124&lt;&gt;"",V124-I124,TODAY()-I124)))</f>
        <v/>
      </c>
      <c r="AI124" s="37">
        <f>IF(A124="","",IF(OR(K124="Closed",V124&lt;&gt;""),"Closed",IF(AH124&gt;=AgeCrit,"Critical",IF(AH124&gt;=AgeFu,"For Follow-up",IF(AH124&gt;=AgeMonitor,"Monitor","Within Standard")))))</f>
        <v/>
      </c>
      <c r="AJ124" s="38">
        <f>IF(A124="","",IFERROR(INDEX(StgPct,MATCH(H124,StgList,0)),0))</f>
        <v/>
      </c>
      <c r="AK124" s="38">
        <f>IF(A124="","",IFERROR(COUNTIF(Y124:AF124,"Y")/(COUNTIF(Y124:AF124,"Y")+COUNTIF(Y124:AF124,"N")),0))</f>
        <v/>
      </c>
      <c r="AL124" s="36">
        <f>IF(OR(A124="",X124=""),"",MAX(0,IF(V124&lt;&gt;"",V124,TODAY())-X124))</f>
        <v/>
      </c>
      <c r="AM124" s="32" t="n"/>
      <c r="AN124" s="33">
        <f>IF(A124="","",LOWER(AI124)&amp;"|"&amp;AH124&amp;"|"&amp;AJ124&amp;"|"&amp;AK124)</f>
        <v/>
      </c>
      <c r="AO124" s="33">
        <f>IF(OR(A124="",T124=""),"",T124-TODAY())</f>
        <v/>
      </c>
      <c r="AP124" s="33">
        <f>IF(OR(A124="",V124&lt;&gt;""),"",(TODAY()-B124)+ROW()/1000000)</f>
        <v/>
      </c>
    </row>
    <row r="125" ht="27" customHeight="1">
      <c r="A125" s="30" t="n"/>
      <c r="B125" s="31" t="n"/>
      <c r="C125" s="32" t="n"/>
      <c r="D125" s="32" t="n"/>
      <c r="E125" s="32" t="n"/>
      <c r="F125" s="32" t="n"/>
      <c r="G125" s="33">
        <f>IF(A125="","",IFERROR(INDEX(OffCat,MATCH(F125,OffList,0)),"Unlisted"))</f>
        <v/>
      </c>
      <c r="H125" s="30" t="n"/>
      <c r="I125" s="31" t="n"/>
      <c r="J125" s="34" t="n"/>
      <c r="K125" s="34" t="n"/>
      <c r="L125" s="34" t="n"/>
      <c r="M125" s="30" t="n"/>
      <c r="N125" s="30" t="n"/>
      <c r="O125" s="30" t="n"/>
      <c r="P125" s="30" t="n"/>
      <c r="Q125" s="31" t="n"/>
      <c r="R125" s="31" t="n"/>
      <c r="S125" s="31" t="n"/>
      <c r="T125" s="31" t="n"/>
      <c r="U125" s="31" t="n"/>
      <c r="V125" s="31" t="n"/>
      <c r="W125" s="30" t="n"/>
      <c r="X125" s="31" t="n"/>
      <c r="Y125" s="35" t="n"/>
      <c r="Z125" s="35" t="n"/>
      <c r="AA125" s="35" t="n"/>
      <c r="AB125" s="35" t="n"/>
      <c r="AC125" s="35" t="n"/>
      <c r="AD125" s="35" t="n"/>
      <c r="AE125" s="35" t="n"/>
      <c r="AF125" s="35" t="n"/>
      <c r="AG125" s="36">
        <f>IF(A125="","",IF(V125&lt;&gt;"",V125-B125,TODAY()-B125))</f>
        <v/>
      </c>
      <c r="AH125" s="36">
        <f>IF(OR(A125="",I125=""),"",MAX(0,IF(V125&lt;&gt;"",V125-I125,TODAY()-I125)))</f>
        <v/>
      </c>
      <c r="AI125" s="37">
        <f>IF(A125="","",IF(OR(K125="Closed",V125&lt;&gt;""),"Closed",IF(AH125&gt;=AgeCrit,"Critical",IF(AH125&gt;=AgeFu,"For Follow-up",IF(AH125&gt;=AgeMonitor,"Monitor","Within Standard")))))</f>
        <v/>
      </c>
      <c r="AJ125" s="38">
        <f>IF(A125="","",IFERROR(INDEX(StgPct,MATCH(H125,StgList,0)),0))</f>
        <v/>
      </c>
      <c r="AK125" s="38">
        <f>IF(A125="","",IFERROR(COUNTIF(Y125:AF125,"Y")/(COUNTIF(Y125:AF125,"Y")+COUNTIF(Y125:AF125,"N")),0))</f>
        <v/>
      </c>
      <c r="AL125" s="36">
        <f>IF(OR(A125="",X125=""),"",MAX(0,IF(V125&lt;&gt;"",V125,TODAY())-X125))</f>
        <v/>
      </c>
      <c r="AM125" s="32" t="n"/>
      <c r="AN125" s="33">
        <f>IF(A125="","",LOWER(AI125)&amp;"|"&amp;AH125&amp;"|"&amp;AJ125&amp;"|"&amp;AK125)</f>
        <v/>
      </c>
      <c r="AO125" s="33">
        <f>IF(OR(A125="",T125=""),"",T125-TODAY())</f>
        <v/>
      </c>
      <c r="AP125" s="33">
        <f>IF(OR(A125="",V125&lt;&gt;""),"",(TODAY()-B125)+ROW()/1000000)</f>
        <v/>
      </c>
    </row>
    <row r="126" ht="27" customHeight="1">
      <c r="A126" s="30" t="n"/>
      <c r="B126" s="31" t="n"/>
      <c r="C126" s="32" t="n"/>
      <c r="D126" s="32" t="n"/>
      <c r="E126" s="32" t="n"/>
      <c r="F126" s="32" t="n"/>
      <c r="G126" s="33">
        <f>IF(A126="","",IFERROR(INDEX(OffCat,MATCH(F126,OffList,0)),"Unlisted"))</f>
        <v/>
      </c>
      <c r="H126" s="30" t="n"/>
      <c r="I126" s="31" t="n"/>
      <c r="J126" s="34" t="n"/>
      <c r="K126" s="34" t="n"/>
      <c r="L126" s="34" t="n"/>
      <c r="M126" s="30" t="n"/>
      <c r="N126" s="30" t="n"/>
      <c r="O126" s="30" t="n"/>
      <c r="P126" s="30" t="n"/>
      <c r="Q126" s="31" t="n"/>
      <c r="R126" s="31" t="n"/>
      <c r="S126" s="31" t="n"/>
      <c r="T126" s="31" t="n"/>
      <c r="U126" s="31" t="n"/>
      <c r="V126" s="31" t="n"/>
      <c r="W126" s="30" t="n"/>
      <c r="X126" s="31" t="n"/>
      <c r="Y126" s="35" t="n"/>
      <c r="Z126" s="35" t="n"/>
      <c r="AA126" s="35" t="n"/>
      <c r="AB126" s="35" t="n"/>
      <c r="AC126" s="35" t="n"/>
      <c r="AD126" s="35" t="n"/>
      <c r="AE126" s="35" t="n"/>
      <c r="AF126" s="35" t="n"/>
      <c r="AG126" s="36">
        <f>IF(A126="","",IF(V126&lt;&gt;"",V126-B126,TODAY()-B126))</f>
        <v/>
      </c>
      <c r="AH126" s="36">
        <f>IF(OR(A126="",I126=""),"",MAX(0,IF(V126&lt;&gt;"",V126-I126,TODAY()-I126)))</f>
        <v/>
      </c>
      <c r="AI126" s="37">
        <f>IF(A126="","",IF(OR(K126="Closed",V126&lt;&gt;""),"Closed",IF(AH126&gt;=AgeCrit,"Critical",IF(AH126&gt;=AgeFu,"For Follow-up",IF(AH126&gt;=AgeMonitor,"Monitor","Within Standard")))))</f>
        <v/>
      </c>
      <c r="AJ126" s="38">
        <f>IF(A126="","",IFERROR(INDEX(StgPct,MATCH(H126,StgList,0)),0))</f>
        <v/>
      </c>
      <c r="AK126" s="38">
        <f>IF(A126="","",IFERROR(COUNTIF(Y126:AF126,"Y")/(COUNTIF(Y126:AF126,"Y")+COUNTIF(Y126:AF126,"N")),0))</f>
        <v/>
      </c>
      <c r="AL126" s="36">
        <f>IF(OR(A126="",X126=""),"",MAX(0,IF(V126&lt;&gt;"",V126,TODAY())-X126))</f>
        <v/>
      </c>
      <c r="AM126" s="32" t="n"/>
      <c r="AN126" s="33">
        <f>IF(A126="","",LOWER(AI126)&amp;"|"&amp;AH126&amp;"|"&amp;AJ126&amp;"|"&amp;AK126)</f>
        <v/>
      </c>
      <c r="AO126" s="33">
        <f>IF(OR(A126="",T126=""),"",T126-TODAY())</f>
        <v/>
      </c>
      <c r="AP126" s="33">
        <f>IF(OR(A126="",V126&lt;&gt;""),"",(TODAY()-B126)+ROW()/1000000)</f>
        <v/>
      </c>
    </row>
    <row r="127" ht="27" customHeight="1">
      <c r="A127" s="30" t="n"/>
      <c r="B127" s="31" t="n"/>
      <c r="C127" s="32" t="n"/>
      <c r="D127" s="32" t="n"/>
      <c r="E127" s="32" t="n"/>
      <c r="F127" s="32" t="n"/>
      <c r="G127" s="33">
        <f>IF(A127="","",IFERROR(INDEX(OffCat,MATCH(F127,OffList,0)),"Unlisted"))</f>
        <v/>
      </c>
      <c r="H127" s="30" t="n"/>
      <c r="I127" s="31" t="n"/>
      <c r="J127" s="34" t="n"/>
      <c r="K127" s="34" t="n"/>
      <c r="L127" s="34" t="n"/>
      <c r="M127" s="30" t="n"/>
      <c r="N127" s="30" t="n"/>
      <c r="O127" s="30" t="n"/>
      <c r="P127" s="30" t="n"/>
      <c r="Q127" s="31" t="n"/>
      <c r="R127" s="31" t="n"/>
      <c r="S127" s="31" t="n"/>
      <c r="T127" s="31" t="n"/>
      <c r="U127" s="31" t="n"/>
      <c r="V127" s="31" t="n"/>
      <c r="W127" s="30" t="n"/>
      <c r="X127" s="31" t="n"/>
      <c r="Y127" s="35" t="n"/>
      <c r="Z127" s="35" t="n"/>
      <c r="AA127" s="35" t="n"/>
      <c r="AB127" s="35" t="n"/>
      <c r="AC127" s="35" t="n"/>
      <c r="AD127" s="35" t="n"/>
      <c r="AE127" s="35" t="n"/>
      <c r="AF127" s="35" t="n"/>
      <c r="AG127" s="36">
        <f>IF(A127="","",IF(V127&lt;&gt;"",V127-B127,TODAY()-B127))</f>
        <v/>
      </c>
      <c r="AH127" s="36">
        <f>IF(OR(A127="",I127=""),"",MAX(0,IF(V127&lt;&gt;"",V127-I127,TODAY()-I127)))</f>
        <v/>
      </c>
      <c r="AI127" s="37">
        <f>IF(A127="","",IF(OR(K127="Closed",V127&lt;&gt;""),"Closed",IF(AH127&gt;=AgeCrit,"Critical",IF(AH127&gt;=AgeFu,"For Follow-up",IF(AH127&gt;=AgeMonitor,"Monitor","Within Standard")))))</f>
        <v/>
      </c>
      <c r="AJ127" s="38">
        <f>IF(A127="","",IFERROR(INDEX(StgPct,MATCH(H127,StgList,0)),0))</f>
        <v/>
      </c>
      <c r="AK127" s="38">
        <f>IF(A127="","",IFERROR(COUNTIF(Y127:AF127,"Y")/(COUNTIF(Y127:AF127,"Y")+COUNTIF(Y127:AF127,"N")),0))</f>
        <v/>
      </c>
      <c r="AL127" s="36">
        <f>IF(OR(A127="",X127=""),"",MAX(0,IF(V127&lt;&gt;"",V127,TODAY())-X127))</f>
        <v/>
      </c>
      <c r="AM127" s="32" t="n"/>
      <c r="AN127" s="33">
        <f>IF(A127="","",LOWER(AI127)&amp;"|"&amp;AH127&amp;"|"&amp;AJ127&amp;"|"&amp;AK127)</f>
        <v/>
      </c>
      <c r="AO127" s="33">
        <f>IF(OR(A127="",T127=""),"",T127-TODAY())</f>
        <v/>
      </c>
      <c r="AP127" s="33">
        <f>IF(OR(A127="",V127&lt;&gt;""),"",(TODAY()-B127)+ROW()/1000000)</f>
        <v/>
      </c>
    </row>
    <row r="128" ht="27" customHeight="1">
      <c r="A128" s="30" t="n"/>
      <c r="B128" s="31" t="n"/>
      <c r="C128" s="32" t="n"/>
      <c r="D128" s="32" t="n"/>
      <c r="E128" s="32" t="n"/>
      <c r="F128" s="32" t="n"/>
      <c r="G128" s="33">
        <f>IF(A128="","",IFERROR(INDEX(OffCat,MATCH(F128,OffList,0)),"Unlisted"))</f>
        <v/>
      </c>
      <c r="H128" s="30" t="n"/>
      <c r="I128" s="31" t="n"/>
      <c r="J128" s="34" t="n"/>
      <c r="K128" s="34" t="n"/>
      <c r="L128" s="34" t="n"/>
      <c r="M128" s="30" t="n"/>
      <c r="N128" s="30" t="n"/>
      <c r="O128" s="30" t="n"/>
      <c r="P128" s="30" t="n"/>
      <c r="Q128" s="31" t="n"/>
      <c r="R128" s="31" t="n"/>
      <c r="S128" s="31" t="n"/>
      <c r="T128" s="31" t="n"/>
      <c r="U128" s="31" t="n"/>
      <c r="V128" s="31" t="n"/>
      <c r="W128" s="30" t="n"/>
      <c r="X128" s="31" t="n"/>
      <c r="Y128" s="35" t="n"/>
      <c r="Z128" s="35" t="n"/>
      <c r="AA128" s="35" t="n"/>
      <c r="AB128" s="35" t="n"/>
      <c r="AC128" s="35" t="n"/>
      <c r="AD128" s="35" t="n"/>
      <c r="AE128" s="35" t="n"/>
      <c r="AF128" s="35" t="n"/>
      <c r="AG128" s="36">
        <f>IF(A128="","",IF(V128&lt;&gt;"",V128-B128,TODAY()-B128))</f>
        <v/>
      </c>
      <c r="AH128" s="36">
        <f>IF(OR(A128="",I128=""),"",MAX(0,IF(V128&lt;&gt;"",V128-I128,TODAY()-I128)))</f>
        <v/>
      </c>
      <c r="AI128" s="37">
        <f>IF(A128="","",IF(OR(K128="Closed",V128&lt;&gt;""),"Closed",IF(AH128&gt;=AgeCrit,"Critical",IF(AH128&gt;=AgeFu,"For Follow-up",IF(AH128&gt;=AgeMonitor,"Monitor","Within Standard")))))</f>
        <v/>
      </c>
      <c r="AJ128" s="38">
        <f>IF(A128="","",IFERROR(INDEX(StgPct,MATCH(H128,StgList,0)),0))</f>
        <v/>
      </c>
      <c r="AK128" s="38">
        <f>IF(A128="","",IFERROR(COUNTIF(Y128:AF128,"Y")/(COUNTIF(Y128:AF128,"Y")+COUNTIF(Y128:AF128,"N")),0))</f>
        <v/>
      </c>
      <c r="AL128" s="36">
        <f>IF(OR(A128="",X128=""),"",MAX(0,IF(V128&lt;&gt;"",V128,TODAY())-X128))</f>
        <v/>
      </c>
      <c r="AM128" s="32" t="n"/>
      <c r="AN128" s="33">
        <f>IF(A128="","",LOWER(AI128)&amp;"|"&amp;AH128&amp;"|"&amp;AJ128&amp;"|"&amp;AK128)</f>
        <v/>
      </c>
      <c r="AO128" s="33">
        <f>IF(OR(A128="",T128=""),"",T128-TODAY())</f>
        <v/>
      </c>
      <c r="AP128" s="33">
        <f>IF(OR(A128="",V128&lt;&gt;""),"",(TODAY()-B128)+ROW()/1000000)</f>
        <v/>
      </c>
    </row>
    <row r="129" ht="27" customHeight="1">
      <c r="A129" s="30" t="n"/>
      <c r="B129" s="31" t="n"/>
      <c r="C129" s="32" t="n"/>
      <c r="D129" s="32" t="n"/>
      <c r="E129" s="32" t="n"/>
      <c r="F129" s="32" t="n"/>
      <c r="G129" s="33">
        <f>IF(A129="","",IFERROR(INDEX(OffCat,MATCH(F129,OffList,0)),"Unlisted"))</f>
        <v/>
      </c>
      <c r="H129" s="30" t="n"/>
      <c r="I129" s="31" t="n"/>
      <c r="J129" s="34" t="n"/>
      <c r="K129" s="34" t="n"/>
      <c r="L129" s="34" t="n"/>
      <c r="M129" s="30" t="n"/>
      <c r="N129" s="30" t="n"/>
      <c r="O129" s="30" t="n"/>
      <c r="P129" s="30" t="n"/>
      <c r="Q129" s="31" t="n"/>
      <c r="R129" s="31" t="n"/>
      <c r="S129" s="31" t="n"/>
      <c r="T129" s="31" t="n"/>
      <c r="U129" s="31" t="n"/>
      <c r="V129" s="31" t="n"/>
      <c r="W129" s="30" t="n"/>
      <c r="X129" s="31" t="n"/>
      <c r="Y129" s="35" t="n"/>
      <c r="Z129" s="35" t="n"/>
      <c r="AA129" s="35" t="n"/>
      <c r="AB129" s="35" t="n"/>
      <c r="AC129" s="35" t="n"/>
      <c r="AD129" s="35" t="n"/>
      <c r="AE129" s="35" t="n"/>
      <c r="AF129" s="35" t="n"/>
      <c r="AG129" s="36">
        <f>IF(A129="","",IF(V129&lt;&gt;"",V129-B129,TODAY()-B129))</f>
        <v/>
      </c>
      <c r="AH129" s="36">
        <f>IF(OR(A129="",I129=""),"",MAX(0,IF(V129&lt;&gt;"",V129-I129,TODAY()-I129)))</f>
        <v/>
      </c>
      <c r="AI129" s="37">
        <f>IF(A129="","",IF(OR(K129="Closed",V129&lt;&gt;""),"Closed",IF(AH129&gt;=AgeCrit,"Critical",IF(AH129&gt;=AgeFu,"For Follow-up",IF(AH129&gt;=AgeMonitor,"Monitor","Within Standard")))))</f>
        <v/>
      </c>
      <c r="AJ129" s="38">
        <f>IF(A129="","",IFERROR(INDEX(StgPct,MATCH(H129,StgList,0)),0))</f>
        <v/>
      </c>
      <c r="AK129" s="38">
        <f>IF(A129="","",IFERROR(COUNTIF(Y129:AF129,"Y")/(COUNTIF(Y129:AF129,"Y")+COUNTIF(Y129:AF129,"N")),0))</f>
        <v/>
      </c>
      <c r="AL129" s="36">
        <f>IF(OR(A129="",X129=""),"",MAX(0,IF(V129&lt;&gt;"",V129,TODAY())-X129))</f>
        <v/>
      </c>
      <c r="AM129" s="32" t="n"/>
      <c r="AN129" s="33">
        <f>IF(A129="","",LOWER(AI129)&amp;"|"&amp;AH129&amp;"|"&amp;AJ129&amp;"|"&amp;AK129)</f>
        <v/>
      </c>
      <c r="AO129" s="33">
        <f>IF(OR(A129="",T129=""),"",T129-TODAY())</f>
        <v/>
      </c>
      <c r="AP129" s="33">
        <f>IF(OR(A129="",V129&lt;&gt;""),"",(TODAY()-B129)+ROW()/1000000)</f>
        <v/>
      </c>
    </row>
    <row r="130" ht="27" customHeight="1">
      <c r="A130" s="30" t="n"/>
      <c r="B130" s="31" t="n"/>
      <c r="C130" s="32" t="n"/>
      <c r="D130" s="32" t="n"/>
      <c r="E130" s="32" t="n"/>
      <c r="F130" s="32" t="n"/>
      <c r="G130" s="33">
        <f>IF(A130="","",IFERROR(INDEX(OffCat,MATCH(F130,OffList,0)),"Unlisted"))</f>
        <v/>
      </c>
      <c r="H130" s="30" t="n"/>
      <c r="I130" s="31" t="n"/>
      <c r="J130" s="34" t="n"/>
      <c r="K130" s="34" t="n"/>
      <c r="L130" s="34" t="n"/>
      <c r="M130" s="30" t="n"/>
      <c r="N130" s="30" t="n"/>
      <c r="O130" s="30" t="n"/>
      <c r="P130" s="30" t="n"/>
      <c r="Q130" s="31" t="n"/>
      <c r="R130" s="31" t="n"/>
      <c r="S130" s="31" t="n"/>
      <c r="T130" s="31" t="n"/>
      <c r="U130" s="31" t="n"/>
      <c r="V130" s="31" t="n"/>
      <c r="W130" s="30" t="n"/>
      <c r="X130" s="31" t="n"/>
      <c r="Y130" s="35" t="n"/>
      <c r="Z130" s="35" t="n"/>
      <c r="AA130" s="35" t="n"/>
      <c r="AB130" s="35" t="n"/>
      <c r="AC130" s="35" t="n"/>
      <c r="AD130" s="35" t="n"/>
      <c r="AE130" s="35" t="n"/>
      <c r="AF130" s="35" t="n"/>
      <c r="AG130" s="36">
        <f>IF(A130="","",IF(V130&lt;&gt;"",V130-B130,TODAY()-B130))</f>
        <v/>
      </c>
      <c r="AH130" s="36">
        <f>IF(OR(A130="",I130=""),"",MAX(0,IF(V130&lt;&gt;"",V130-I130,TODAY()-I130)))</f>
        <v/>
      </c>
      <c r="AI130" s="37">
        <f>IF(A130="","",IF(OR(K130="Closed",V130&lt;&gt;""),"Closed",IF(AH130&gt;=AgeCrit,"Critical",IF(AH130&gt;=AgeFu,"For Follow-up",IF(AH130&gt;=AgeMonitor,"Monitor","Within Standard")))))</f>
        <v/>
      </c>
      <c r="AJ130" s="38">
        <f>IF(A130="","",IFERROR(INDEX(StgPct,MATCH(H130,StgList,0)),0))</f>
        <v/>
      </c>
      <c r="AK130" s="38">
        <f>IF(A130="","",IFERROR(COUNTIF(Y130:AF130,"Y")/(COUNTIF(Y130:AF130,"Y")+COUNTIF(Y130:AF130,"N")),0))</f>
        <v/>
      </c>
      <c r="AL130" s="36">
        <f>IF(OR(A130="",X130=""),"",MAX(0,IF(V130&lt;&gt;"",V130,TODAY())-X130))</f>
        <v/>
      </c>
      <c r="AM130" s="32" t="n"/>
      <c r="AN130" s="33">
        <f>IF(A130="","",LOWER(AI130)&amp;"|"&amp;AH130&amp;"|"&amp;AJ130&amp;"|"&amp;AK130)</f>
        <v/>
      </c>
      <c r="AO130" s="33">
        <f>IF(OR(A130="",T130=""),"",T130-TODAY())</f>
        <v/>
      </c>
      <c r="AP130" s="33">
        <f>IF(OR(A130="",V130&lt;&gt;""),"",(TODAY()-B130)+ROW()/1000000)</f>
        <v/>
      </c>
    </row>
    <row r="131" ht="27" customHeight="1">
      <c r="A131" s="30" t="n"/>
      <c r="B131" s="31" t="n"/>
      <c r="C131" s="32" t="n"/>
      <c r="D131" s="32" t="n"/>
      <c r="E131" s="32" t="n"/>
      <c r="F131" s="32" t="n"/>
      <c r="G131" s="33">
        <f>IF(A131="","",IFERROR(INDEX(OffCat,MATCH(F131,OffList,0)),"Unlisted"))</f>
        <v/>
      </c>
      <c r="H131" s="30" t="n"/>
      <c r="I131" s="31" t="n"/>
      <c r="J131" s="34" t="n"/>
      <c r="K131" s="34" t="n"/>
      <c r="L131" s="34" t="n"/>
      <c r="M131" s="30" t="n"/>
      <c r="N131" s="30" t="n"/>
      <c r="O131" s="30" t="n"/>
      <c r="P131" s="30" t="n"/>
      <c r="Q131" s="31" t="n"/>
      <c r="R131" s="31" t="n"/>
      <c r="S131" s="31" t="n"/>
      <c r="T131" s="31" t="n"/>
      <c r="U131" s="31" t="n"/>
      <c r="V131" s="31" t="n"/>
      <c r="W131" s="30" t="n"/>
      <c r="X131" s="31" t="n"/>
      <c r="Y131" s="35" t="n"/>
      <c r="Z131" s="35" t="n"/>
      <c r="AA131" s="35" t="n"/>
      <c r="AB131" s="35" t="n"/>
      <c r="AC131" s="35" t="n"/>
      <c r="AD131" s="35" t="n"/>
      <c r="AE131" s="35" t="n"/>
      <c r="AF131" s="35" t="n"/>
      <c r="AG131" s="36">
        <f>IF(A131="","",IF(V131&lt;&gt;"",V131-B131,TODAY()-B131))</f>
        <v/>
      </c>
      <c r="AH131" s="36">
        <f>IF(OR(A131="",I131=""),"",MAX(0,IF(V131&lt;&gt;"",V131-I131,TODAY()-I131)))</f>
        <v/>
      </c>
      <c r="AI131" s="37">
        <f>IF(A131="","",IF(OR(K131="Closed",V131&lt;&gt;""),"Closed",IF(AH131&gt;=AgeCrit,"Critical",IF(AH131&gt;=AgeFu,"For Follow-up",IF(AH131&gt;=AgeMonitor,"Monitor","Within Standard")))))</f>
        <v/>
      </c>
      <c r="AJ131" s="38">
        <f>IF(A131="","",IFERROR(INDEX(StgPct,MATCH(H131,StgList,0)),0))</f>
        <v/>
      </c>
      <c r="AK131" s="38">
        <f>IF(A131="","",IFERROR(COUNTIF(Y131:AF131,"Y")/(COUNTIF(Y131:AF131,"Y")+COUNTIF(Y131:AF131,"N")),0))</f>
        <v/>
      </c>
      <c r="AL131" s="36">
        <f>IF(OR(A131="",X131=""),"",MAX(0,IF(V131&lt;&gt;"",V131,TODAY())-X131))</f>
        <v/>
      </c>
      <c r="AM131" s="32" t="n"/>
      <c r="AN131" s="33">
        <f>IF(A131="","",LOWER(AI131)&amp;"|"&amp;AH131&amp;"|"&amp;AJ131&amp;"|"&amp;AK131)</f>
        <v/>
      </c>
      <c r="AO131" s="33">
        <f>IF(OR(A131="",T131=""),"",T131-TODAY())</f>
        <v/>
      </c>
      <c r="AP131" s="33">
        <f>IF(OR(A131="",V131&lt;&gt;""),"",(TODAY()-B131)+ROW()/1000000)</f>
        <v/>
      </c>
    </row>
    <row r="132" ht="27" customHeight="1">
      <c r="A132" s="30" t="n"/>
      <c r="B132" s="31" t="n"/>
      <c r="C132" s="32" t="n"/>
      <c r="D132" s="32" t="n"/>
      <c r="E132" s="32" t="n"/>
      <c r="F132" s="32" t="n"/>
      <c r="G132" s="33">
        <f>IF(A132="","",IFERROR(INDEX(OffCat,MATCH(F132,OffList,0)),"Unlisted"))</f>
        <v/>
      </c>
      <c r="H132" s="30" t="n"/>
      <c r="I132" s="31" t="n"/>
      <c r="J132" s="34" t="n"/>
      <c r="K132" s="34" t="n"/>
      <c r="L132" s="34" t="n"/>
      <c r="M132" s="30" t="n"/>
      <c r="N132" s="30" t="n"/>
      <c r="O132" s="30" t="n"/>
      <c r="P132" s="30" t="n"/>
      <c r="Q132" s="31" t="n"/>
      <c r="R132" s="31" t="n"/>
      <c r="S132" s="31" t="n"/>
      <c r="T132" s="31" t="n"/>
      <c r="U132" s="31" t="n"/>
      <c r="V132" s="31" t="n"/>
      <c r="W132" s="30" t="n"/>
      <c r="X132" s="31" t="n"/>
      <c r="Y132" s="35" t="n"/>
      <c r="Z132" s="35" t="n"/>
      <c r="AA132" s="35" t="n"/>
      <c r="AB132" s="35" t="n"/>
      <c r="AC132" s="35" t="n"/>
      <c r="AD132" s="35" t="n"/>
      <c r="AE132" s="35" t="n"/>
      <c r="AF132" s="35" t="n"/>
      <c r="AG132" s="36">
        <f>IF(A132="","",IF(V132&lt;&gt;"",V132-B132,TODAY()-B132))</f>
        <v/>
      </c>
      <c r="AH132" s="36">
        <f>IF(OR(A132="",I132=""),"",MAX(0,IF(V132&lt;&gt;"",V132-I132,TODAY()-I132)))</f>
        <v/>
      </c>
      <c r="AI132" s="37">
        <f>IF(A132="","",IF(OR(K132="Closed",V132&lt;&gt;""),"Closed",IF(AH132&gt;=AgeCrit,"Critical",IF(AH132&gt;=AgeFu,"For Follow-up",IF(AH132&gt;=AgeMonitor,"Monitor","Within Standard")))))</f>
        <v/>
      </c>
      <c r="AJ132" s="38">
        <f>IF(A132="","",IFERROR(INDEX(StgPct,MATCH(H132,StgList,0)),0))</f>
        <v/>
      </c>
      <c r="AK132" s="38">
        <f>IF(A132="","",IFERROR(COUNTIF(Y132:AF132,"Y")/(COUNTIF(Y132:AF132,"Y")+COUNTIF(Y132:AF132,"N")),0))</f>
        <v/>
      </c>
      <c r="AL132" s="36">
        <f>IF(OR(A132="",X132=""),"",MAX(0,IF(V132&lt;&gt;"",V132,TODAY())-X132))</f>
        <v/>
      </c>
      <c r="AM132" s="32" t="n"/>
      <c r="AN132" s="33">
        <f>IF(A132="","",LOWER(AI132)&amp;"|"&amp;AH132&amp;"|"&amp;AJ132&amp;"|"&amp;AK132)</f>
        <v/>
      </c>
      <c r="AO132" s="33">
        <f>IF(OR(A132="",T132=""),"",T132-TODAY())</f>
        <v/>
      </c>
      <c r="AP132" s="33">
        <f>IF(OR(A132="",V132&lt;&gt;""),"",(TODAY()-B132)+ROW()/1000000)</f>
        <v/>
      </c>
    </row>
    <row r="133" ht="27" customHeight="1">
      <c r="A133" s="30" t="n"/>
      <c r="B133" s="31" t="n"/>
      <c r="C133" s="32" t="n"/>
      <c r="D133" s="32" t="n"/>
      <c r="E133" s="32" t="n"/>
      <c r="F133" s="32" t="n"/>
      <c r="G133" s="33">
        <f>IF(A133="","",IFERROR(INDEX(OffCat,MATCH(F133,OffList,0)),"Unlisted"))</f>
        <v/>
      </c>
      <c r="H133" s="30" t="n"/>
      <c r="I133" s="31" t="n"/>
      <c r="J133" s="34" t="n"/>
      <c r="K133" s="34" t="n"/>
      <c r="L133" s="34" t="n"/>
      <c r="M133" s="30" t="n"/>
      <c r="N133" s="30" t="n"/>
      <c r="O133" s="30" t="n"/>
      <c r="P133" s="30" t="n"/>
      <c r="Q133" s="31" t="n"/>
      <c r="R133" s="31" t="n"/>
      <c r="S133" s="31" t="n"/>
      <c r="T133" s="31" t="n"/>
      <c r="U133" s="31" t="n"/>
      <c r="V133" s="31" t="n"/>
      <c r="W133" s="30" t="n"/>
      <c r="X133" s="31" t="n"/>
      <c r="Y133" s="35" t="n"/>
      <c r="Z133" s="35" t="n"/>
      <c r="AA133" s="35" t="n"/>
      <c r="AB133" s="35" t="n"/>
      <c r="AC133" s="35" t="n"/>
      <c r="AD133" s="35" t="n"/>
      <c r="AE133" s="35" t="n"/>
      <c r="AF133" s="35" t="n"/>
      <c r="AG133" s="36">
        <f>IF(A133="","",IF(V133&lt;&gt;"",V133-B133,TODAY()-B133))</f>
        <v/>
      </c>
      <c r="AH133" s="36">
        <f>IF(OR(A133="",I133=""),"",MAX(0,IF(V133&lt;&gt;"",V133-I133,TODAY()-I133)))</f>
        <v/>
      </c>
      <c r="AI133" s="37">
        <f>IF(A133="","",IF(OR(K133="Closed",V133&lt;&gt;""),"Closed",IF(AH133&gt;=AgeCrit,"Critical",IF(AH133&gt;=AgeFu,"For Follow-up",IF(AH133&gt;=AgeMonitor,"Monitor","Within Standard")))))</f>
        <v/>
      </c>
      <c r="AJ133" s="38">
        <f>IF(A133="","",IFERROR(INDEX(StgPct,MATCH(H133,StgList,0)),0))</f>
        <v/>
      </c>
      <c r="AK133" s="38">
        <f>IF(A133="","",IFERROR(COUNTIF(Y133:AF133,"Y")/(COUNTIF(Y133:AF133,"Y")+COUNTIF(Y133:AF133,"N")),0))</f>
        <v/>
      </c>
      <c r="AL133" s="36">
        <f>IF(OR(A133="",X133=""),"",MAX(0,IF(V133&lt;&gt;"",V133,TODAY())-X133))</f>
        <v/>
      </c>
      <c r="AM133" s="32" t="n"/>
      <c r="AN133" s="33">
        <f>IF(A133="","",LOWER(AI133)&amp;"|"&amp;AH133&amp;"|"&amp;AJ133&amp;"|"&amp;AK133)</f>
        <v/>
      </c>
      <c r="AO133" s="33">
        <f>IF(OR(A133="",T133=""),"",T133-TODAY())</f>
        <v/>
      </c>
      <c r="AP133" s="33">
        <f>IF(OR(A133="",V133&lt;&gt;""),"",(TODAY()-B133)+ROW()/1000000)</f>
        <v/>
      </c>
    </row>
    <row r="134" ht="27" customHeight="1">
      <c r="A134" s="30" t="n"/>
      <c r="B134" s="31" t="n"/>
      <c r="C134" s="32" t="n"/>
      <c r="D134" s="32" t="n"/>
      <c r="E134" s="32" t="n"/>
      <c r="F134" s="32" t="n"/>
      <c r="G134" s="33">
        <f>IF(A134="","",IFERROR(INDEX(OffCat,MATCH(F134,OffList,0)),"Unlisted"))</f>
        <v/>
      </c>
      <c r="H134" s="30" t="n"/>
      <c r="I134" s="31" t="n"/>
      <c r="J134" s="34" t="n"/>
      <c r="K134" s="34" t="n"/>
      <c r="L134" s="34" t="n"/>
      <c r="M134" s="30" t="n"/>
      <c r="N134" s="30" t="n"/>
      <c r="O134" s="30" t="n"/>
      <c r="P134" s="30" t="n"/>
      <c r="Q134" s="31" t="n"/>
      <c r="R134" s="31" t="n"/>
      <c r="S134" s="31" t="n"/>
      <c r="T134" s="31" t="n"/>
      <c r="U134" s="31" t="n"/>
      <c r="V134" s="31" t="n"/>
      <c r="W134" s="30" t="n"/>
      <c r="X134" s="31" t="n"/>
      <c r="Y134" s="35" t="n"/>
      <c r="Z134" s="35" t="n"/>
      <c r="AA134" s="35" t="n"/>
      <c r="AB134" s="35" t="n"/>
      <c r="AC134" s="35" t="n"/>
      <c r="AD134" s="35" t="n"/>
      <c r="AE134" s="35" t="n"/>
      <c r="AF134" s="35" t="n"/>
      <c r="AG134" s="36">
        <f>IF(A134="","",IF(V134&lt;&gt;"",V134-B134,TODAY()-B134))</f>
        <v/>
      </c>
      <c r="AH134" s="36">
        <f>IF(OR(A134="",I134=""),"",MAX(0,IF(V134&lt;&gt;"",V134-I134,TODAY()-I134)))</f>
        <v/>
      </c>
      <c r="AI134" s="37">
        <f>IF(A134="","",IF(OR(K134="Closed",V134&lt;&gt;""),"Closed",IF(AH134&gt;=AgeCrit,"Critical",IF(AH134&gt;=AgeFu,"For Follow-up",IF(AH134&gt;=AgeMonitor,"Monitor","Within Standard")))))</f>
        <v/>
      </c>
      <c r="AJ134" s="38">
        <f>IF(A134="","",IFERROR(INDEX(StgPct,MATCH(H134,StgList,0)),0))</f>
        <v/>
      </c>
      <c r="AK134" s="38">
        <f>IF(A134="","",IFERROR(COUNTIF(Y134:AF134,"Y")/(COUNTIF(Y134:AF134,"Y")+COUNTIF(Y134:AF134,"N")),0))</f>
        <v/>
      </c>
      <c r="AL134" s="36">
        <f>IF(OR(A134="",X134=""),"",MAX(0,IF(V134&lt;&gt;"",V134,TODAY())-X134))</f>
        <v/>
      </c>
      <c r="AM134" s="32" t="n"/>
      <c r="AN134" s="33">
        <f>IF(A134="","",LOWER(AI134)&amp;"|"&amp;AH134&amp;"|"&amp;AJ134&amp;"|"&amp;AK134)</f>
        <v/>
      </c>
      <c r="AO134" s="33">
        <f>IF(OR(A134="",T134=""),"",T134-TODAY())</f>
        <v/>
      </c>
      <c r="AP134" s="33">
        <f>IF(OR(A134="",V134&lt;&gt;""),"",(TODAY()-B134)+ROW()/1000000)</f>
        <v/>
      </c>
    </row>
    <row r="135" ht="27" customHeight="1">
      <c r="A135" s="30" t="n"/>
      <c r="B135" s="31" t="n"/>
      <c r="C135" s="32" t="n"/>
      <c r="D135" s="32" t="n"/>
      <c r="E135" s="32" t="n"/>
      <c r="F135" s="32" t="n"/>
      <c r="G135" s="33">
        <f>IF(A135="","",IFERROR(INDEX(OffCat,MATCH(F135,OffList,0)),"Unlisted"))</f>
        <v/>
      </c>
      <c r="H135" s="30" t="n"/>
      <c r="I135" s="31" t="n"/>
      <c r="J135" s="34" t="n"/>
      <c r="K135" s="34" t="n"/>
      <c r="L135" s="34" t="n"/>
      <c r="M135" s="30" t="n"/>
      <c r="N135" s="30" t="n"/>
      <c r="O135" s="30" t="n"/>
      <c r="P135" s="30" t="n"/>
      <c r="Q135" s="31" t="n"/>
      <c r="R135" s="31" t="n"/>
      <c r="S135" s="31" t="n"/>
      <c r="T135" s="31" t="n"/>
      <c r="U135" s="31" t="n"/>
      <c r="V135" s="31" t="n"/>
      <c r="W135" s="30" t="n"/>
      <c r="X135" s="31" t="n"/>
      <c r="Y135" s="35" t="n"/>
      <c r="Z135" s="35" t="n"/>
      <c r="AA135" s="35" t="n"/>
      <c r="AB135" s="35" t="n"/>
      <c r="AC135" s="35" t="n"/>
      <c r="AD135" s="35" t="n"/>
      <c r="AE135" s="35" t="n"/>
      <c r="AF135" s="35" t="n"/>
      <c r="AG135" s="36">
        <f>IF(A135="","",IF(V135&lt;&gt;"",V135-B135,TODAY()-B135))</f>
        <v/>
      </c>
      <c r="AH135" s="36">
        <f>IF(OR(A135="",I135=""),"",MAX(0,IF(V135&lt;&gt;"",V135-I135,TODAY()-I135)))</f>
        <v/>
      </c>
      <c r="AI135" s="37">
        <f>IF(A135="","",IF(OR(K135="Closed",V135&lt;&gt;""),"Closed",IF(AH135&gt;=AgeCrit,"Critical",IF(AH135&gt;=AgeFu,"For Follow-up",IF(AH135&gt;=AgeMonitor,"Monitor","Within Standard")))))</f>
        <v/>
      </c>
      <c r="AJ135" s="38">
        <f>IF(A135="","",IFERROR(INDEX(StgPct,MATCH(H135,StgList,0)),0))</f>
        <v/>
      </c>
      <c r="AK135" s="38">
        <f>IF(A135="","",IFERROR(COUNTIF(Y135:AF135,"Y")/(COUNTIF(Y135:AF135,"Y")+COUNTIF(Y135:AF135,"N")),0))</f>
        <v/>
      </c>
      <c r="AL135" s="36">
        <f>IF(OR(A135="",X135=""),"",MAX(0,IF(V135&lt;&gt;"",V135,TODAY())-X135))</f>
        <v/>
      </c>
      <c r="AM135" s="32" t="n"/>
      <c r="AN135" s="33">
        <f>IF(A135="","",LOWER(AI135)&amp;"|"&amp;AH135&amp;"|"&amp;AJ135&amp;"|"&amp;AK135)</f>
        <v/>
      </c>
      <c r="AO135" s="33">
        <f>IF(OR(A135="",T135=""),"",T135-TODAY())</f>
        <v/>
      </c>
      <c r="AP135" s="33">
        <f>IF(OR(A135="",V135&lt;&gt;""),"",(TODAY()-B135)+ROW()/1000000)</f>
        <v/>
      </c>
    </row>
    <row r="136" ht="27" customHeight="1">
      <c r="A136" s="30" t="n"/>
      <c r="B136" s="31" t="n"/>
      <c r="C136" s="32" t="n"/>
      <c r="D136" s="32" t="n"/>
      <c r="E136" s="32" t="n"/>
      <c r="F136" s="32" t="n"/>
      <c r="G136" s="33">
        <f>IF(A136="","",IFERROR(INDEX(OffCat,MATCH(F136,OffList,0)),"Unlisted"))</f>
        <v/>
      </c>
      <c r="H136" s="30" t="n"/>
      <c r="I136" s="31" t="n"/>
      <c r="J136" s="34" t="n"/>
      <c r="K136" s="34" t="n"/>
      <c r="L136" s="34" t="n"/>
      <c r="M136" s="30" t="n"/>
      <c r="N136" s="30" t="n"/>
      <c r="O136" s="30" t="n"/>
      <c r="P136" s="30" t="n"/>
      <c r="Q136" s="31" t="n"/>
      <c r="R136" s="31" t="n"/>
      <c r="S136" s="31" t="n"/>
      <c r="T136" s="31" t="n"/>
      <c r="U136" s="31" t="n"/>
      <c r="V136" s="31" t="n"/>
      <c r="W136" s="30" t="n"/>
      <c r="X136" s="31" t="n"/>
      <c r="Y136" s="35" t="n"/>
      <c r="Z136" s="35" t="n"/>
      <c r="AA136" s="35" t="n"/>
      <c r="AB136" s="35" t="n"/>
      <c r="AC136" s="35" t="n"/>
      <c r="AD136" s="35" t="n"/>
      <c r="AE136" s="35" t="n"/>
      <c r="AF136" s="35" t="n"/>
      <c r="AG136" s="36">
        <f>IF(A136="","",IF(V136&lt;&gt;"",V136-B136,TODAY()-B136))</f>
        <v/>
      </c>
      <c r="AH136" s="36">
        <f>IF(OR(A136="",I136=""),"",MAX(0,IF(V136&lt;&gt;"",V136-I136,TODAY()-I136)))</f>
        <v/>
      </c>
      <c r="AI136" s="37">
        <f>IF(A136="","",IF(OR(K136="Closed",V136&lt;&gt;""),"Closed",IF(AH136&gt;=AgeCrit,"Critical",IF(AH136&gt;=AgeFu,"For Follow-up",IF(AH136&gt;=AgeMonitor,"Monitor","Within Standard")))))</f>
        <v/>
      </c>
      <c r="AJ136" s="38">
        <f>IF(A136="","",IFERROR(INDEX(StgPct,MATCH(H136,StgList,0)),0))</f>
        <v/>
      </c>
      <c r="AK136" s="38">
        <f>IF(A136="","",IFERROR(COUNTIF(Y136:AF136,"Y")/(COUNTIF(Y136:AF136,"Y")+COUNTIF(Y136:AF136,"N")),0))</f>
        <v/>
      </c>
      <c r="AL136" s="36">
        <f>IF(OR(A136="",X136=""),"",MAX(0,IF(V136&lt;&gt;"",V136,TODAY())-X136))</f>
        <v/>
      </c>
      <c r="AM136" s="32" t="n"/>
      <c r="AN136" s="33">
        <f>IF(A136="","",LOWER(AI136)&amp;"|"&amp;AH136&amp;"|"&amp;AJ136&amp;"|"&amp;AK136)</f>
        <v/>
      </c>
      <c r="AO136" s="33">
        <f>IF(OR(A136="",T136=""),"",T136-TODAY())</f>
        <v/>
      </c>
      <c r="AP136" s="33">
        <f>IF(OR(A136="",V136&lt;&gt;""),"",(TODAY()-B136)+ROW()/1000000)</f>
        <v/>
      </c>
    </row>
    <row r="137" ht="27" customHeight="1">
      <c r="A137" s="30" t="n"/>
      <c r="B137" s="31" t="n"/>
      <c r="C137" s="32" t="n"/>
      <c r="D137" s="32" t="n"/>
      <c r="E137" s="32" t="n"/>
      <c r="F137" s="32" t="n"/>
      <c r="G137" s="33">
        <f>IF(A137="","",IFERROR(INDEX(OffCat,MATCH(F137,OffList,0)),"Unlisted"))</f>
        <v/>
      </c>
      <c r="H137" s="30" t="n"/>
      <c r="I137" s="31" t="n"/>
      <c r="J137" s="34" t="n"/>
      <c r="K137" s="34" t="n"/>
      <c r="L137" s="34" t="n"/>
      <c r="M137" s="30" t="n"/>
      <c r="N137" s="30" t="n"/>
      <c r="O137" s="30" t="n"/>
      <c r="P137" s="30" t="n"/>
      <c r="Q137" s="31" t="n"/>
      <c r="R137" s="31" t="n"/>
      <c r="S137" s="31" t="n"/>
      <c r="T137" s="31" t="n"/>
      <c r="U137" s="31" t="n"/>
      <c r="V137" s="31" t="n"/>
      <c r="W137" s="30" t="n"/>
      <c r="X137" s="31" t="n"/>
      <c r="Y137" s="35" t="n"/>
      <c r="Z137" s="35" t="n"/>
      <c r="AA137" s="35" t="n"/>
      <c r="AB137" s="35" t="n"/>
      <c r="AC137" s="35" t="n"/>
      <c r="AD137" s="35" t="n"/>
      <c r="AE137" s="35" t="n"/>
      <c r="AF137" s="35" t="n"/>
      <c r="AG137" s="36">
        <f>IF(A137="","",IF(V137&lt;&gt;"",V137-B137,TODAY()-B137))</f>
        <v/>
      </c>
      <c r="AH137" s="36">
        <f>IF(OR(A137="",I137=""),"",MAX(0,IF(V137&lt;&gt;"",V137-I137,TODAY()-I137)))</f>
        <v/>
      </c>
      <c r="AI137" s="37">
        <f>IF(A137="","",IF(OR(K137="Closed",V137&lt;&gt;""),"Closed",IF(AH137&gt;=AgeCrit,"Critical",IF(AH137&gt;=AgeFu,"For Follow-up",IF(AH137&gt;=AgeMonitor,"Monitor","Within Standard")))))</f>
        <v/>
      </c>
      <c r="AJ137" s="38">
        <f>IF(A137="","",IFERROR(INDEX(StgPct,MATCH(H137,StgList,0)),0))</f>
        <v/>
      </c>
      <c r="AK137" s="38">
        <f>IF(A137="","",IFERROR(COUNTIF(Y137:AF137,"Y")/(COUNTIF(Y137:AF137,"Y")+COUNTIF(Y137:AF137,"N")),0))</f>
        <v/>
      </c>
      <c r="AL137" s="36">
        <f>IF(OR(A137="",X137=""),"",MAX(0,IF(V137&lt;&gt;"",V137,TODAY())-X137))</f>
        <v/>
      </c>
      <c r="AM137" s="32" t="n"/>
      <c r="AN137" s="33">
        <f>IF(A137="","",LOWER(AI137)&amp;"|"&amp;AH137&amp;"|"&amp;AJ137&amp;"|"&amp;AK137)</f>
        <v/>
      </c>
      <c r="AO137" s="33">
        <f>IF(OR(A137="",T137=""),"",T137-TODAY())</f>
        <v/>
      </c>
      <c r="AP137" s="33">
        <f>IF(OR(A137="",V137&lt;&gt;""),"",(TODAY()-B137)+ROW()/1000000)</f>
        <v/>
      </c>
    </row>
    <row r="138" ht="27" customHeight="1">
      <c r="A138" s="30" t="n"/>
      <c r="B138" s="31" t="n"/>
      <c r="C138" s="32" t="n"/>
      <c r="D138" s="32" t="n"/>
      <c r="E138" s="32" t="n"/>
      <c r="F138" s="32" t="n"/>
      <c r="G138" s="33">
        <f>IF(A138="","",IFERROR(INDEX(OffCat,MATCH(F138,OffList,0)),"Unlisted"))</f>
        <v/>
      </c>
      <c r="H138" s="30" t="n"/>
      <c r="I138" s="31" t="n"/>
      <c r="J138" s="34" t="n"/>
      <c r="K138" s="34" t="n"/>
      <c r="L138" s="34" t="n"/>
      <c r="M138" s="30" t="n"/>
      <c r="N138" s="30" t="n"/>
      <c r="O138" s="30" t="n"/>
      <c r="P138" s="30" t="n"/>
      <c r="Q138" s="31" t="n"/>
      <c r="R138" s="31" t="n"/>
      <c r="S138" s="31" t="n"/>
      <c r="T138" s="31" t="n"/>
      <c r="U138" s="31" t="n"/>
      <c r="V138" s="31" t="n"/>
      <c r="W138" s="30" t="n"/>
      <c r="X138" s="31" t="n"/>
      <c r="Y138" s="35" t="n"/>
      <c r="Z138" s="35" t="n"/>
      <c r="AA138" s="35" t="n"/>
      <c r="AB138" s="35" t="n"/>
      <c r="AC138" s="35" t="n"/>
      <c r="AD138" s="35" t="n"/>
      <c r="AE138" s="35" t="n"/>
      <c r="AF138" s="35" t="n"/>
      <c r="AG138" s="36">
        <f>IF(A138="","",IF(V138&lt;&gt;"",V138-B138,TODAY()-B138))</f>
        <v/>
      </c>
      <c r="AH138" s="36">
        <f>IF(OR(A138="",I138=""),"",MAX(0,IF(V138&lt;&gt;"",V138-I138,TODAY()-I138)))</f>
        <v/>
      </c>
      <c r="AI138" s="37">
        <f>IF(A138="","",IF(OR(K138="Closed",V138&lt;&gt;""),"Closed",IF(AH138&gt;=AgeCrit,"Critical",IF(AH138&gt;=AgeFu,"For Follow-up",IF(AH138&gt;=AgeMonitor,"Monitor","Within Standard")))))</f>
        <v/>
      </c>
      <c r="AJ138" s="38">
        <f>IF(A138="","",IFERROR(INDEX(StgPct,MATCH(H138,StgList,0)),0))</f>
        <v/>
      </c>
      <c r="AK138" s="38">
        <f>IF(A138="","",IFERROR(COUNTIF(Y138:AF138,"Y")/(COUNTIF(Y138:AF138,"Y")+COUNTIF(Y138:AF138,"N")),0))</f>
        <v/>
      </c>
      <c r="AL138" s="36">
        <f>IF(OR(A138="",X138=""),"",MAX(0,IF(V138&lt;&gt;"",V138,TODAY())-X138))</f>
        <v/>
      </c>
      <c r="AM138" s="32" t="n"/>
      <c r="AN138" s="33">
        <f>IF(A138="","",LOWER(AI138)&amp;"|"&amp;AH138&amp;"|"&amp;AJ138&amp;"|"&amp;AK138)</f>
        <v/>
      </c>
      <c r="AO138" s="33">
        <f>IF(OR(A138="",T138=""),"",T138-TODAY())</f>
        <v/>
      </c>
      <c r="AP138" s="33">
        <f>IF(OR(A138="",V138&lt;&gt;""),"",(TODAY()-B138)+ROW()/1000000)</f>
        <v/>
      </c>
    </row>
    <row r="139" ht="27" customHeight="1">
      <c r="A139" s="30" t="n"/>
      <c r="B139" s="31" t="n"/>
      <c r="C139" s="32" t="n"/>
      <c r="D139" s="32" t="n"/>
      <c r="E139" s="32" t="n"/>
      <c r="F139" s="32" t="n"/>
      <c r="G139" s="33">
        <f>IF(A139="","",IFERROR(INDEX(OffCat,MATCH(F139,OffList,0)),"Unlisted"))</f>
        <v/>
      </c>
      <c r="H139" s="30" t="n"/>
      <c r="I139" s="31" t="n"/>
      <c r="J139" s="34" t="n"/>
      <c r="K139" s="34" t="n"/>
      <c r="L139" s="34" t="n"/>
      <c r="M139" s="30" t="n"/>
      <c r="N139" s="30" t="n"/>
      <c r="O139" s="30" t="n"/>
      <c r="P139" s="30" t="n"/>
      <c r="Q139" s="31" t="n"/>
      <c r="R139" s="31" t="n"/>
      <c r="S139" s="31" t="n"/>
      <c r="T139" s="31" t="n"/>
      <c r="U139" s="31" t="n"/>
      <c r="V139" s="31" t="n"/>
      <c r="W139" s="30" t="n"/>
      <c r="X139" s="31" t="n"/>
      <c r="Y139" s="35" t="n"/>
      <c r="Z139" s="35" t="n"/>
      <c r="AA139" s="35" t="n"/>
      <c r="AB139" s="35" t="n"/>
      <c r="AC139" s="35" t="n"/>
      <c r="AD139" s="35" t="n"/>
      <c r="AE139" s="35" t="n"/>
      <c r="AF139" s="35" t="n"/>
      <c r="AG139" s="36">
        <f>IF(A139="","",IF(V139&lt;&gt;"",V139-B139,TODAY()-B139))</f>
        <v/>
      </c>
      <c r="AH139" s="36">
        <f>IF(OR(A139="",I139=""),"",MAX(0,IF(V139&lt;&gt;"",V139-I139,TODAY()-I139)))</f>
        <v/>
      </c>
      <c r="AI139" s="37">
        <f>IF(A139="","",IF(OR(K139="Closed",V139&lt;&gt;""),"Closed",IF(AH139&gt;=AgeCrit,"Critical",IF(AH139&gt;=AgeFu,"For Follow-up",IF(AH139&gt;=AgeMonitor,"Monitor","Within Standard")))))</f>
        <v/>
      </c>
      <c r="AJ139" s="38">
        <f>IF(A139="","",IFERROR(INDEX(StgPct,MATCH(H139,StgList,0)),0))</f>
        <v/>
      </c>
      <c r="AK139" s="38">
        <f>IF(A139="","",IFERROR(COUNTIF(Y139:AF139,"Y")/(COUNTIF(Y139:AF139,"Y")+COUNTIF(Y139:AF139,"N")),0))</f>
        <v/>
      </c>
      <c r="AL139" s="36">
        <f>IF(OR(A139="",X139=""),"",MAX(0,IF(V139&lt;&gt;"",V139,TODAY())-X139))</f>
        <v/>
      </c>
      <c r="AM139" s="32" t="n"/>
      <c r="AN139" s="33">
        <f>IF(A139="","",LOWER(AI139)&amp;"|"&amp;AH139&amp;"|"&amp;AJ139&amp;"|"&amp;AK139)</f>
        <v/>
      </c>
      <c r="AO139" s="33">
        <f>IF(OR(A139="",T139=""),"",T139-TODAY())</f>
        <v/>
      </c>
      <c r="AP139" s="33">
        <f>IF(OR(A139="",V139&lt;&gt;""),"",(TODAY()-B139)+ROW()/1000000)</f>
        <v/>
      </c>
    </row>
    <row r="140" ht="27" customHeight="1">
      <c r="A140" s="30" t="n"/>
      <c r="B140" s="31" t="n"/>
      <c r="C140" s="32" t="n"/>
      <c r="D140" s="32" t="n"/>
      <c r="E140" s="32" t="n"/>
      <c r="F140" s="32" t="n"/>
      <c r="G140" s="33">
        <f>IF(A140="","",IFERROR(INDEX(OffCat,MATCH(F140,OffList,0)),"Unlisted"))</f>
        <v/>
      </c>
      <c r="H140" s="30" t="n"/>
      <c r="I140" s="31" t="n"/>
      <c r="J140" s="34" t="n"/>
      <c r="K140" s="34" t="n"/>
      <c r="L140" s="34" t="n"/>
      <c r="M140" s="30" t="n"/>
      <c r="N140" s="30" t="n"/>
      <c r="O140" s="30" t="n"/>
      <c r="P140" s="30" t="n"/>
      <c r="Q140" s="31" t="n"/>
      <c r="R140" s="31" t="n"/>
      <c r="S140" s="31" t="n"/>
      <c r="T140" s="31" t="n"/>
      <c r="U140" s="31" t="n"/>
      <c r="V140" s="31" t="n"/>
      <c r="W140" s="30" t="n"/>
      <c r="X140" s="31" t="n"/>
      <c r="Y140" s="35" t="n"/>
      <c r="Z140" s="35" t="n"/>
      <c r="AA140" s="35" t="n"/>
      <c r="AB140" s="35" t="n"/>
      <c r="AC140" s="35" t="n"/>
      <c r="AD140" s="35" t="n"/>
      <c r="AE140" s="35" t="n"/>
      <c r="AF140" s="35" t="n"/>
      <c r="AG140" s="36">
        <f>IF(A140="","",IF(V140&lt;&gt;"",V140-B140,TODAY()-B140))</f>
        <v/>
      </c>
      <c r="AH140" s="36">
        <f>IF(OR(A140="",I140=""),"",MAX(0,IF(V140&lt;&gt;"",V140-I140,TODAY()-I140)))</f>
        <v/>
      </c>
      <c r="AI140" s="37">
        <f>IF(A140="","",IF(OR(K140="Closed",V140&lt;&gt;""),"Closed",IF(AH140&gt;=AgeCrit,"Critical",IF(AH140&gt;=AgeFu,"For Follow-up",IF(AH140&gt;=AgeMonitor,"Monitor","Within Standard")))))</f>
        <v/>
      </c>
      <c r="AJ140" s="38">
        <f>IF(A140="","",IFERROR(INDEX(StgPct,MATCH(H140,StgList,0)),0))</f>
        <v/>
      </c>
      <c r="AK140" s="38">
        <f>IF(A140="","",IFERROR(COUNTIF(Y140:AF140,"Y")/(COUNTIF(Y140:AF140,"Y")+COUNTIF(Y140:AF140,"N")),0))</f>
        <v/>
      </c>
      <c r="AL140" s="36">
        <f>IF(OR(A140="",X140=""),"",MAX(0,IF(V140&lt;&gt;"",V140,TODAY())-X140))</f>
        <v/>
      </c>
      <c r="AM140" s="32" t="n"/>
      <c r="AN140" s="33">
        <f>IF(A140="","",LOWER(AI140)&amp;"|"&amp;AH140&amp;"|"&amp;AJ140&amp;"|"&amp;AK140)</f>
        <v/>
      </c>
      <c r="AO140" s="33">
        <f>IF(OR(A140="",T140=""),"",T140-TODAY())</f>
        <v/>
      </c>
      <c r="AP140" s="33">
        <f>IF(OR(A140="",V140&lt;&gt;""),"",(TODAY()-B140)+ROW()/1000000)</f>
        <v/>
      </c>
    </row>
    <row r="141" ht="27" customHeight="1">
      <c r="A141" s="30" t="n"/>
      <c r="B141" s="31" t="n"/>
      <c r="C141" s="32" t="n"/>
      <c r="D141" s="32" t="n"/>
      <c r="E141" s="32" t="n"/>
      <c r="F141" s="32" t="n"/>
      <c r="G141" s="33">
        <f>IF(A141="","",IFERROR(INDEX(OffCat,MATCH(F141,OffList,0)),"Unlisted"))</f>
        <v/>
      </c>
      <c r="H141" s="30" t="n"/>
      <c r="I141" s="31" t="n"/>
      <c r="J141" s="34" t="n"/>
      <c r="K141" s="34" t="n"/>
      <c r="L141" s="34" t="n"/>
      <c r="M141" s="30" t="n"/>
      <c r="N141" s="30" t="n"/>
      <c r="O141" s="30" t="n"/>
      <c r="P141" s="30" t="n"/>
      <c r="Q141" s="31" t="n"/>
      <c r="R141" s="31" t="n"/>
      <c r="S141" s="31" t="n"/>
      <c r="T141" s="31" t="n"/>
      <c r="U141" s="31" t="n"/>
      <c r="V141" s="31" t="n"/>
      <c r="W141" s="30" t="n"/>
      <c r="X141" s="31" t="n"/>
      <c r="Y141" s="35" t="n"/>
      <c r="Z141" s="35" t="n"/>
      <c r="AA141" s="35" t="n"/>
      <c r="AB141" s="35" t="n"/>
      <c r="AC141" s="35" t="n"/>
      <c r="AD141" s="35" t="n"/>
      <c r="AE141" s="35" t="n"/>
      <c r="AF141" s="35" t="n"/>
      <c r="AG141" s="36">
        <f>IF(A141="","",IF(V141&lt;&gt;"",V141-B141,TODAY()-B141))</f>
        <v/>
      </c>
      <c r="AH141" s="36">
        <f>IF(OR(A141="",I141=""),"",MAX(0,IF(V141&lt;&gt;"",V141-I141,TODAY()-I141)))</f>
        <v/>
      </c>
      <c r="AI141" s="37">
        <f>IF(A141="","",IF(OR(K141="Closed",V141&lt;&gt;""),"Closed",IF(AH141&gt;=AgeCrit,"Critical",IF(AH141&gt;=AgeFu,"For Follow-up",IF(AH141&gt;=AgeMonitor,"Monitor","Within Standard")))))</f>
        <v/>
      </c>
      <c r="AJ141" s="38">
        <f>IF(A141="","",IFERROR(INDEX(StgPct,MATCH(H141,StgList,0)),0))</f>
        <v/>
      </c>
      <c r="AK141" s="38">
        <f>IF(A141="","",IFERROR(COUNTIF(Y141:AF141,"Y")/(COUNTIF(Y141:AF141,"Y")+COUNTIF(Y141:AF141,"N")),0))</f>
        <v/>
      </c>
      <c r="AL141" s="36">
        <f>IF(OR(A141="",X141=""),"",MAX(0,IF(V141&lt;&gt;"",V141,TODAY())-X141))</f>
        <v/>
      </c>
      <c r="AM141" s="32" t="n"/>
      <c r="AN141" s="33">
        <f>IF(A141="","",LOWER(AI141)&amp;"|"&amp;AH141&amp;"|"&amp;AJ141&amp;"|"&amp;AK141)</f>
        <v/>
      </c>
      <c r="AO141" s="33">
        <f>IF(OR(A141="",T141=""),"",T141-TODAY())</f>
        <v/>
      </c>
      <c r="AP141" s="33">
        <f>IF(OR(A141="",V141&lt;&gt;""),"",(TODAY()-B141)+ROW()/1000000)</f>
        <v/>
      </c>
    </row>
    <row r="142" ht="27" customHeight="1">
      <c r="A142" s="30" t="n"/>
      <c r="B142" s="31" t="n"/>
      <c r="C142" s="32" t="n"/>
      <c r="D142" s="32" t="n"/>
      <c r="E142" s="32" t="n"/>
      <c r="F142" s="32" t="n"/>
      <c r="G142" s="33">
        <f>IF(A142="","",IFERROR(INDEX(OffCat,MATCH(F142,OffList,0)),"Unlisted"))</f>
        <v/>
      </c>
      <c r="H142" s="30" t="n"/>
      <c r="I142" s="31" t="n"/>
      <c r="J142" s="34" t="n"/>
      <c r="K142" s="34" t="n"/>
      <c r="L142" s="34" t="n"/>
      <c r="M142" s="30" t="n"/>
      <c r="N142" s="30" t="n"/>
      <c r="O142" s="30" t="n"/>
      <c r="P142" s="30" t="n"/>
      <c r="Q142" s="31" t="n"/>
      <c r="R142" s="31" t="n"/>
      <c r="S142" s="31" t="n"/>
      <c r="T142" s="31" t="n"/>
      <c r="U142" s="31" t="n"/>
      <c r="V142" s="31" t="n"/>
      <c r="W142" s="30" t="n"/>
      <c r="X142" s="31" t="n"/>
      <c r="Y142" s="35" t="n"/>
      <c r="Z142" s="35" t="n"/>
      <c r="AA142" s="35" t="n"/>
      <c r="AB142" s="35" t="n"/>
      <c r="AC142" s="35" t="n"/>
      <c r="AD142" s="35" t="n"/>
      <c r="AE142" s="35" t="n"/>
      <c r="AF142" s="35" t="n"/>
      <c r="AG142" s="36">
        <f>IF(A142="","",IF(V142&lt;&gt;"",V142-B142,TODAY()-B142))</f>
        <v/>
      </c>
      <c r="AH142" s="36">
        <f>IF(OR(A142="",I142=""),"",MAX(0,IF(V142&lt;&gt;"",V142-I142,TODAY()-I142)))</f>
        <v/>
      </c>
      <c r="AI142" s="37">
        <f>IF(A142="","",IF(OR(K142="Closed",V142&lt;&gt;""),"Closed",IF(AH142&gt;=AgeCrit,"Critical",IF(AH142&gt;=AgeFu,"For Follow-up",IF(AH142&gt;=AgeMonitor,"Monitor","Within Standard")))))</f>
        <v/>
      </c>
      <c r="AJ142" s="38">
        <f>IF(A142="","",IFERROR(INDEX(StgPct,MATCH(H142,StgList,0)),0))</f>
        <v/>
      </c>
      <c r="AK142" s="38">
        <f>IF(A142="","",IFERROR(COUNTIF(Y142:AF142,"Y")/(COUNTIF(Y142:AF142,"Y")+COUNTIF(Y142:AF142,"N")),0))</f>
        <v/>
      </c>
      <c r="AL142" s="36">
        <f>IF(OR(A142="",X142=""),"",MAX(0,IF(V142&lt;&gt;"",V142,TODAY())-X142))</f>
        <v/>
      </c>
      <c r="AM142" s="32" t="n"/>
      <c r="AN142" s="33">
        <f>IF(A142="","",LOWER(AI142)&amp;"|"&amp;AH142&amp;"|"&amp;AJ142&amp;"|"&amp;AK142)</f>
        <v/>
      </c>
      <c r="AO142" s="33">
        <f>IF(OR(A142="",T142=""),"",T142-TODAY())</f>
        <v/>
      </c>
      <c r="AP142" s="33">
        <f>IF(OR(A142="",V142&lt;&gt;""),"",(TODAY()-B142)+ROW()/1000000)</f>
        <v/>
      </c>
    </row>
    <row r="143" ht="27" customHeight="1">
      <c r="A143" s="30" t="n"/>
      <c r="B143" s="31" t="n"/>
      <c r="C143" s="32" t="n"/>
      <c r="D143" s="32" t="n"/>
      <c r="E143" s="32" t="n"/>
      <c r="F143" s="32" t="n"/>
      <c r="G143" s="33">
        <f>IF(A143="","",IFERROR(INDEX(OffCat,MATCH(F143,OffList,0)),"Unlisted"))</f>
        <v/>
      </c>
      <c r="H143" s="30" t="n"/>
      <c r="I143" s="31" t="n"/>
      <c r="J143" s="34" t="n"/>
      <c r="K143" s="34" t="n"/>
      <c r="L143" s="34" t="n"/>
      <c r="M143" s="30" t="n"/>
      <c r="N143" s="30" t="n"/>
      <c r="O143" s="30" t="n"/>
      <c r="P143" s="30" t="n"/>
      <c r="Q143" s="31" t="n"/>
      <c r="R143" s="31" t="n"/>
      <c r="S143" s="31" t="n"/>
      <c r="T143" s="31" t="n"/>
      <c r="U143" s="31" t="n"/>
      <c r="V143" s="31" t="n"/>
      <c r="W143" s="30" t="n"/>
      <c r="X143" s="31" t="n"/>
      <c r="Y143" s="35" t="n"/>
      <c r="Z143" s="35" t="n"/>
      <c r="AA143" s="35" t="n"/>
      <c r="AB143" s="35" t="n"/>
      <c r="AC143" s="35" t="n"/>
      <c r="AD143" s="35" t="n"/>
      <c r="AE143" s="35" t="n"/>
      <c r="AF143" s="35" t="n"/>
      <c r="AG143" s="36">
        <f>IF(A143="","",IF(V143&lt;&gt;"",V143-B143,TODAY()-B143))</f>
        <v/>
      </c>
      <c r="AH143" s="36">
        <f>IF(OR(A143="",I143=""),"",MAX(0,IF(V143&lt;&gt;"",V143-I143,TODAY()-I143)))</f>
        <v/>
      </c>
      <c r="AI143" s="37">
        <f>IF(A143="","",IF(OR(K143="Closed",V143&lt;&gt;""),"Closed",IF(AH143&gt;=AgeCrit,"Critical",IF(AH143&gt;=AgeFu,"For Follow-up",IF(AH143&gt;=AgeMonitor,"Monitor","Within Standard")))))</f>
        <v/>
      </c>
      <c r="AJ143" s="38">
        <f>IF(A143="","",IFERROR(INDEX(StgPct,MATCH(H143,StgList,0)),0))</f>
        <v/>
      </c>
      <c r="AK143" s="38">
        <f>IF(A143="","",IFERROR(COUNTIF(Y143:AF143,"Y")/(COUNTIF(Y143:AF143,"Y")+COUNTIF(Y143:AF143,"N")),0))</f>
        <v/>
      </c>
      <c r="AL143" s="36">
        <f>IF(OR(A143="",X143=""),"",MAX(0,IF(V143&lt;&gt;"",V143,TODAY())-X143))</f>
        <v/>
      </c>
      <c r="AM143" s="32" t="n"/>
      <c r="AN143" s="33">
        <f>IF(A143="","",LOWER(AI143)&amp;"|"&amp;AH143&amp;"|"&amp;AJ143&amp;"|"&amp;AK143)</f>
        <v/>
      </c>
      <c r="AO143" s="33">
        <f>IF(OR(A143="",T143=""),"",T143-TODAY())</f>
        <v/>
      </c>
      <c r="AP143" s="33">
        <f>IF(OR(A143="",V143&lt;&gt;""),"",(TODAY()-B143)+ROW()/1000000)</f>
        <v/>
      </c>
    </row>
    <row r="144" ht="27" customHeight="1">
      <c r="A144" s="30" t="n"/>
      <c r="B144" s="31" t="n"/>
      <c r="C144" s="32" t="n"/>
      <c r="D144" s="32" t="n"/>
      <c r="E144" s="32" t="n"/>
      <c r="F144" s="32" t="n"/>
      <c r="G144" s="33">
        <f>IF(A144="","",IFERROR(INDEX(OffCat,MATCH(F144,OffList,0)),"Unlisted"))</f>
        <v/>
      </c>
      <c r="H144" s="30" t="n"/>
      <c r="I144" s="31" t="n"/>
      <c r="J144" s="34" t="n"/>
      <c r="K144" s="34" t="n"/>
      <c r="L144" s="34" t="n"/>
      <c r="M144" s="30" t="n"/>
      <c r="N144" s="30" t="n"/>
      <c r="O144" s="30" t="n"/>
      <c r="P144" s="30" t="n"/>
      <c r="Q144" s="31" t="n"/>
      <c r="R144" s="31" t="n"/>
      <c r="S144" s="31" t="n"/>
      <c r="T144" s="31" t="n"/>
      <c r="U144" s="31" t="n"/>
      <c r="V144" s="31" t="n"/>
      <c r="W144" s="30" t="n"/>
      <c r="X144" s="31" t="n"/>
      <c r="Y144" s="35" t="n"/>
      <c r="Z144" s="35" t="n"/>
      <c r="AA144" s="35" t="n"/>
      <c r="AB144" s="35" t="n"/>
      <c r="AC144" s="35" t="n"/>
      <c r="AD144" s="35" t="n"/>
      <c r="AE144" s="35" t="n"/>
      <c r="AF144" s="35" t="n"/>
      <c r="AG144" s="36">
        <f>IF(A144="","",IF(V144&lt;&gt;"",V144-B144,TODAY()-B144))</f>
        <v/>
      </c>
      <c r="AH144" s="36">
        <f>IF(OR(A144="",I144=""),"",MAX(0,IF(V144&lt;&gt;"",V144-I144,TODAY()-I144)))</f>
        <v/>
      </c>
      <c r="AI144" s="37">
        <f>IF(A144="","",IF(OR(K144="Closed",V144&lt;&gt;""),"Closed",IF(AH144&gt;=AgeCrit,"Critical",IF(AH144&gt;=AgeFu,"For Follow-up",IF(AH144&gt;=AgeMonitor,"Monitor","Within Standard")))))</f>
        <v/>
      </c>
      <c r="AJ144" s="38">
        <f>IF(A144="","",IFERROR(INDEX(StgPct,MATCH(H144,StgList,0)),0))</f>
        <v/>
      </c>
      <c r="AK144" s="38">
        <f>IF(A144="","",IFERROR(COUNTIF(Y144:AF144,"Y")/(COUNTIF(Y144:AF144,"Y")+COUNTIF(Y144:AF144,"N")),0))</f>
        <v/>
      </c>
      <c r="AL144" s="36">
        <f>IF(OR(A144="",X144=""),"",MAX(0,IF(V144&lt;&gt;"",V144,TODAY())-X144))</f>
        <v/>
      </c>
      <c r="AM144" s="32" t="n"/>
      <c r="AN144" s="33">
        <f>IF(A144="","",LOWER(AI144)&amp;"|"&amp;AH144&amp;"|"&amp;AJ144&amp;"|"&amp;AK144)</f>
        <v/>
      </c>
      <c r="AO144" s="33">
        <f>IF(OR(A144="",T144=""),"",T144-TODAY())</f>
        <v/>
      </c>
      <c r="AP144" s="33">
        <f>IF(OR(A144="",V144&lt;&gt;""),"",(TODAY()-B144)+ROW()/1000000)</f>
        <v/>
      </c>
    </row>
    <row r="145" ht="27" customHeight="1">
      <c r="A145" s="30" t="n"/>
      <c r="B145" s="31" t="n"/>
      <c r="C145" s="32" t="n"/>
      <c r="D145" s="32" t="n"/>
      <c r="E145" s="32" t="n"/>
      <c r="F145" s="32" t="n"/>
      <c r="G145" s="33">
        <f>IF(A145="","",IFERROR(INDEX(OffCat,MATCH(F145,OffList,0)),"Unlisted"))</f>
        <v/>
      </c>
      <c r="H145" s="30" t="n"/>
      <c r="I145" s="31" t="n"/>
      <c r="J145" s="34" t="n"/>
      <c r="K145" s="34" t="n"/>
      <c r="L145" s="34" t="n"/>
      <c r="M145" s="30" t="n"/>
      <c r="N145" s="30" t="n"/>
      <c r="O145" s="30" t="n"/>
      <c r="P145" s="30" t="n"/>
      <c r="Q145" s="31" t="n"/>
      <c r="R145" s="31" t="n"/>
      <c r="S145" s="31" t="n"/>
      <c r="T145" s="31" t="n"/>
      <c r="U145" s="31" t="n"/>
      <c r="V145" s="31" t="n"/>
      <c r="W145" s="30" t="n"/>
      <c r="X145" s="31" t="n"/>
      <c r="Y145" s="35" t="n"/>
      <c r="Z145" s="35" t="n"/>
      <c r="AA145" s="35" t="n"/>
      <c r="AB145" s="35" t="n"/>
      <c r="AC145" s="35" t="n"/>
      <c r="AD145" s="35" t="n"/>
      <c r="AE145" s="35" t="n"/>
      <c r="AF145" s="35" t="n"/>
      <c r="AG145" s="36">
        <f>IF(A145="","",IF(V145&lt;&gt;"",V145-B145,TODAY()-B145))</f>
        <v/>
      </c>
      <c r="AH145" s="36">
        <f>IF(OR(A145="",I145=""),"",MAX(0,IF(V145&lt;&gt;"",V145-I145,TODAY()-I145)))</f>
        <v/>
      </c>
      <c r="AI145" s="37">
        <f>IF(A145="","",IF(OR(K145="Closed",V145&lt;&gt;""),"Closed",IF(AH145&gt;=AgeCrit,"Critical",IF(AH145&gt;=AgeFu,"For Follow-up",IF(AH145&gt;=AgeMonitor,"Monitor","Within Standard")))))</f>
        <v/>
      </c>
      <c r="AJ145" s="38">
        <f>IF(A145="","",IFERROR(INDEX(StgPct,MATCH(H145,StgList,0)),0))</f>
        <v/>
      </c>
      <c r="AK145" s="38">
        <f>IF(A145="","",IFERROR(COUNTIF(Y145:AF145,"Y")/(COUNTIF(Y145:AF145,"Y")+COUNTIF(Y145:AF145,"N")),0))</f>
        <v/>
      </c>
      <c r="AL145" s="36">
        <f>IF(OR(A145="",X145=""),"",MAX(0,IF(V145&lt;&gt;"",V145,TODAY())-X145))</f>
        <v/>
      </c>
      <c r="AM145" s="32" t="n"/>
      <c r="AN145" s="33">
        <f>IF(A145="","",LOWER(AI145)&amp;"|"&amp;AH145&amp;"|"&amp;AJ145&amp;"|"&amp;AK145)</f>
        <v/>
      </c>
      <c r="AO145" s="33">
        <f>IF(OR(A145="",T145=""),"",T145-TODAY())</f>
        <v/>
      </c>
      <c r="AP145" s="33">
        <f>IF(OR(A145="",V145&lt;&gt;""),"",(TODAY()-B145)+ROW()/1000000)</f>
        <v/>
      </c>
    </row>
    <row r="146" ht="27" customHeight="1">
      <c r="A146" s="30" t="n"/>
      <c r="B146" s="31" t="n"/>
      <c r="C146" s="32" t="n"/>
      <c r="D146" s="32" t="n"/>
      <c r="E146" s="32" t="n"/>
      <c r="F146" s="32" t="n"/>
      <c r="G146" s="33">
        <f>IF(A146="","",IFERROR(INDEX(OffCat,MATCH(F146,OffList,0)),"Unlisted"))</f>
        <v/>
      </c>
      <c r="H146" s="30" t="n"/>
      <c r="I146" s="31" t="n"/>
      <c r="J146" s="34" t="n"/>
      <c r="K146" s="34" t="n"/>
      <c r="L146" s="34" t="n"/>
      <c r="M146" s="30" t="n"/>
      <c r="N146" s="30" t="n"/>
      <c r="O146" s="30" t="n"/>
      <c r="P146" s="30" t="n"/>
      <c r="Q146" s="31" t="n"/>
      <c r="R146" s="31" t="n"/>
      <c r="S146" s="31" t="n"/>
      <c r="T146" s="31" t="n"/>
      <c r="U146" s="31" t="n"/>
      <c r="V146" s="31" t="n"/>
      <c r="W146" s="30" t="n"/>
      <c r="X146" s="31" t="n"/>
      <c r="Y146" s="35" t="n"/>
      <c r="Z146" s="35" t="n"/>
      <c r="AA146" s="35" t="n"/>
      <c r="AB146" s="35" t="n"/>
      <c r="AC146" s="35" t="n"/>
      <c r="AD146" s="35" t="n"/>
      <c r="AE146" s="35" t="n"/>
      <c r="AF146" s="35" t="n"/>
      <c r="AG146" s="36">
        <f>IF(A146="","",IF(V146&lt;&gt;"",V146-B146,TODAY()-B146))</f>
        <v/>
      </c>
      <c r="AH146" s="36">
        <f>IF(OR(A146="",I146=""),"",MAX(0,IF(V146&lt;&gt;"",V146-I146,TODAY()-I146)))</f>
        <v/>
      </c>
      <c r="AI146" s="37">
        <f>IF(A146="","",IF(OR(K146="Closed",V146&lt;&gt;""),"Closed",IF(AH146&gt;=AgeCrit,"Critical",IF(AH146&gt;=AgeFu,"For Follow-up",IF(AH146&gt;=AgeMonitor,"Monitor","Within Standard")))))</f>
        <v/>
      </c>
      <c r="AJ146" s="38">
        <f>IF(A146="","",IFERROR(INDEX(StgPct,MATCH(H146,StgList,0)),0))</f>
        <v/>
      </c>
      <c r="AK146" s="38">
        <f>IF(A146="","",IFERROR(COUNTIF(Y146:AF146,"Y")/(COUNTIF(Y146:AF146,"Y")+COUNTIF(Y146:AF146,"N")),0))</f>
        <v/>
      </c>
      <c r="AL146" s="36">
        <f>IF(OR(A146="",X146=""),"",MAX(0,IF(V146&lt;&gt;"",V146,TODAY())-X146))</f>
        <v/>
      </c>
      <c r="AM146" s="32" t="n"/>
      <c r="AN146" s="33">
        <f>IF(A146="","",LOWER(AI146)&amp;"|"&amp;AH146&amp;"|"&amp;AJ146&amp;"|"&amp;AK146)</f>
        <v/>
      </c>
      <c r="AO146" s="33">
        <f>IF(OR(A146="",T146=""),"",T146-TODAY())</f>
        <v/>
      </c>
      <c r="AP146" s="33">
        <f>IF(OR(A146="",V146&lt;&gt;""),"",(TODAY()-B146)+ROW()/1000000)</f>
        <v/>
      </c>
    </row>
    <row r="147" ht="27" customHeight="1">
      <c r="A147" s="30" t="n"/>
      <c r="B147" s="31" t="n"/>
      <c r="C147" s="32" t="n"/>
      <c r="D147" s="32" t="n"/>
      <c r="E147" s="32" t="n"/>
      <c r="F147" s="32" t="n"/>
      <c r="G147" s="33">
        <f>IF(A147="","",IFERROR(INDEX(OffCat,MATCH(F147,OffList,0)),"Unlisted"))</f>
        <v/>
      </c>
      <c r="H147" s="30" t="n"/>
      <c r="I147" s="31" t="n"/>
      <c r="J147" s="34" t="n"/>
      <c r="K147" s="34" t="n"/>
      <c r="L147" s="34" t="n"/>
      <c r="M147" s="30" t="n"/>
      <c r="N147" s="30" t="n"/>
      <c r="O147" s="30" t="n"/>
      <c r="P147" s="30" t="n"/>
      <c r="Q147" s="31" t="n"/>
      <c r="R147" s="31" t="n"/>
      <c r="S147" s="31" t="n"/>
      <c r="T147" s="31" t="n"/>
      <c r="U147" s="31" t="n"/>
      <c r="V147" s="31" t="n"/>
      <c r="W147" s="30" t="n"/>
      <c r="X147" s="31" t="n"/>
      <c r="Y147" s="35" t="n"/>
      <c r="Z147" s="35" t="n"/>
      <c r="AA147" s="35" t="n"/>
      <c r="AB147" s="35" t="n"/>
      <c r="AC147" s="35" t="n"/>
      <c r="AD147" s="35" t="n"/>
      <c r="AE147" s="35" t="n"/>
      <c r="AF147" s="35" t="n"/>
      <c r="AG147" s="36">
        <f>IF(A147="","",IF(V147&lt;&gt;"",V147-B147,TODAY()-B147))</f>
        <v/>
      </c>
      <c r="AH147" s="36">
        <f>IF(OR(A147="",I147=""),"",MAX(0,IF(V147&lt;&gt;"",V147-I147,TODAY()-I147)))</f>
        <v/>
      </c>
      <c r="AI147" s="37">
        <f>IF(A147="","",IF(OR(K147="Closed",V147&lt;&gt;""),"Closed",IF(AH147&gt;=AgeCrit,"Critical",IF(AH147&gt;=AgeFu,"For Follow-up",IF(AH147&gt;=AgeMonitor,"Monitor","Within Standard")))))</f>
        <v/>
      </c>
      <c r="AJ147" s="38">
        <f>IF(A147="","",IFERROR(INDEX(StgPct,MATCH(H147,StgList,0)),0))</f>
        <v/>
      </c>
      <c r="AK147" s="38">
        <f>IF(A147="","",IFERROR(COUNTIF(Y147:AF147,"Y")/(COUNTIF(Y147:AF147,"Y")+COUNTIF(Y147:AF147,"N")),0))</f>
        <v/>
      </c>
      <c r="AL147" s="36">
        <f>IF(OR(A147="",X147=""),"",MAX(0,IF(V147&lt;&gt;"",V147,TODAY())-X147))</f>
        <v/>
      </c>
      <c r="AM147" s="32" t="n"/>
      <c r="AN147" s="33">
        <f>IF(A147="","",LOWER(AI147)&amp;"|"&amp;AH147&amp;"|"&amp;AJ147&amp;"|"&amp;AK147)</f>
        <v/>
      </c>
      <c r="AO147" s="33">
        <f>IF(OR(A147="",T147=""),"",T147-TODAY())</f>
        <v/>
      </c>
      <c r="AP147" s="33">
        <f>IF(OR(A147="",V147&lt;&gt;""),"",(TODAY()-B147)+ROW()/1000000)</f>
        <v/>
      </c>
    </row>
    <row r="148" ht="27" customHeight="1">
      <c r="A148" s="30" t="n"/>
      <c r="B148" s="31" t="n"/>
      <c r="C148" s="32" t="n"/>
      <c r="D148" s="32" t="n"/>
      <c r="E148" s="32" t="n"/>
      <c r="F148" s="32" t="n"/>
      <c r="G148" s="33">
        <f>IF(A148="","",IFERROR(INDEX(OffCat,MATCH(F148,OffList,0)),"Unlisted"))</f>
        <v/>
      </c>
      <c r="H148" s="30" t="n"/>
      <c r="I148" s="31" t="n"/>
      <c r="J148" s="34" t="n"/>
      <c r="K148" s="34" t="n"/>
      <c r="L148" s="34" t="n"/>
      <c r="M148" s="30" t="n"/>
      <c r="N148" s="30" t="n"/>
      <c r="O148" s="30" t="n"/>
      <c r="P148" s="30" t="n"/>
      <c r="Q148" s="31" t="n"/>
      <c r="R148" s="31" t="n"/>
      <c r="S148" s="31" t="n"/>
      <c r="T148" s="31" t="n"/>
      <c r="U148" s="31" t="n"/>
      <c r="V148" s="31" t="n"/>
      <c r="W148" s="30" t="n"/>
      <c r="X148" s="31" t="n"/>
      <c r="Y148" s="35" t="n"/>
      <c r="Z148" s="35" t="n"/>
      <c r="AA148" s="35" t="n"/>
      <c r="AB148" s="35" t="n"/>
      <c r="AC148" s="35" t="n"/>
      <c r="AD148" s="35" t="n"/>
      <c r="AE148" s="35" t="n"/>
      <c r="AF148" s="35" t="n"/>
      <c r="AG148" s="36">
        <f>IF(A148="","",IF(V148&lt;&gt;"",V148-B148,TODAY()-B148))</f>
        <v/>
      </c>
      <c r="AH148" s="36">
        <f>IF(OR(A148="",I148=""),"",MAX(0,IF(V148&lt;&gt;"",V148-I148,TODAY()-I148)))</f>
        <v/>
      </c>
      <c r="AI148" s="37">
        <f>IF(A148="","",IF(OR(K148="Closed",V148&lt;&gt;""),"Closed",IF(AH148&gt;=AgeCrit,"Critical",IF(AH148&gt;=AgeFu,"For Follow-up",IF(AH148&gt;=AgeMonitor,"Monitor","Within Standard")))))</f>
        <v/>
      </c>
      <c r="AJ148" s="38">
        <f>IF(A148="","",IFERROR(INDEX(StgPct,MATCH(H148,StgList,0)),0))</f>
        <v/>
      </c>
      <c r="AK148" s="38">
        <f>IF(A148="","",IFERROR(COUNTIF(Y148:AF148,"Y")/(COUNTIF(Y148:AF148,"Y")+COUNTIF(Y148:AF148,"N")),0))</f>
        <v/>
      </c>
      <c r="AL148" s="36">
        <f>IF(OR(A148="",X148=""),"",MAX(0,IF(V148&lt;&gt;"",V148,TODAY())-X148))</f>
        <v/>
      </c>
      <c r="AM148" s="32" t="n"/>
      <c r="AN148" s="33">
        <f>IF(A148="","",LOWER(AI148)&amp;"|"&amp;AH148&amp;"|"&amp;AJ148&amp;"|"&amp;AK148)</f>
        <v/>
      </c>
      <c r="AO148" s="33">
        <f>IF(OR(A148="",T148=""),"",T148-TODAY())</f>
        <v/>
      </c>
      <c r="AP148" s="33">
        <f>IF(OR(A148="",V148&lt;&gt;""),"",(TODAY()-B148)+ROW()/1000000)</f>
        <v/>
      </c>
    </row>
    <row r="149" ht="27" customHeight="1">
      <c r="A149" s="30" t="n"/>
      <c r="B149" s="31" t="n"/>
      <c r="C149" s="32" t="n"/>
      <c r="D149" s="32" t="n"/>
      <c r="E149" s="32" t="n"/>
      <c r="F149" s="32" t="n"/>
      <c r="G149" s="33">
        <f>IF(A149="","",IFERROR(INDEX(OffCat,MATCH(F149,OffList,0)),"Unlisted"))</f>
        <v/>
      </c>
      <c r="H149" s="30" t="n"/>
      <c r="I149" s="31" t="n"/>
      <c r="J149" s="34" t="n"/>
      <c r="K149" s="34" t="n"/>
      <c r="L149" s="34" t="n"/>
      <c r="M149" s="30" t="n"/>
      <c r="N149" s="30" t="n"/>
      <c r="O149" s="30" t="n"/>
      <c r="P149" s="30" t="n"/>
      <c r="Q149" s="31" t="n"/>
      <c r="R149" s="31" t="n"/>
      <c r="S149" s="31" t="n"/>
      <c r="T149" s="31" t="n"/>
      <c r="U149" s="31" t="n"/>
      <c r="V149" s="31" t="n"/>
      <c r="W149" s="30" t="n"/>
      <c r="X149" s="31" t="n"/>
      <c r="Y149" s="35" t="n"/>
      <c r="Z149" s="35" t="n"/>
      <c r="AA149" s="35" t="n"/>
      <c r="AB149" s="35" t="n"/>
      <c r="AC149" s="35" t="n"/>
      <c r="AD149" s="35" t="n"/>
      <c r="AE149" s="35" t="n"/>
      <c r="AF149" s="35" t="n"/>
      <c r="AG149" s="36">
        <f>IF(A149="","",IF(V149&lt;&gt;"",V149-B149,TODAY()-B149))</f>
        <v/>
      </c>
      <c r="AH149" s="36">
        <f>IF(OR(A149="",I149=""),"",MAX(0,IF(V149&lt;&gt;"",V149-I149,TODAY()-I149)))</f>
        <v/>
      </c>
      <c r="AI149" s="37">
        <f>IF(A149="","",IF(OR(K149="Closed",V149&lt;&gt;""),"Closed",IF(AH149&gt;=AgeCrit,"Critical",IF(AH149&gt;=AgeFu,"For Follow-up",IF(AH149&gt;=AgeMonitor,"Monitor","Within Standard")))))</f>
        <v/>
      </c>
      <c r="AJ149" s="38">
        <f>IF(A149="","",IFERROR(INDEX(StgPct,MATCH(H149,StgList,0)),0))</f>
        <v/>
      </c>
      <c r="AK149" s="38">
        <f>IF(A149="","",IFERROR(COUNTIF(Y149:AF149,"Y")/(COUNTIF(Y149:AF149,"Y")+COUNTIF(Y149:AF149,"N")),0))</f>
        <v/>
      </c>
      <c r="AL149" s="36">
        <f>IF(OR(A149="",X149=""),"",MAX(0,IF(V149&lt;&gt;"",V149,TODAY())-X149))</f>
        <v/>
      </c>
      <c r="AM149" s="32" t="n"/>
      <c r="AN149" s="33">
        <f>IF(A149="","",LOWER(AI149)&amp;"|"&amp;AH149&amp;"|"&amp;AJ149&amp;"|"&amp;AK149)</f>
        <v/>
      </c>
      <c r="AO149" s="33">
        <f>IF(OR(A149="",T149=""),"",T149-TODAY())</f>
        <v/>
      </c>
      <c r="AP149" s="33">
        <f>IF(OR(A149="",V149&lt;&gt;""),"",(TODAY()-B149)+ROW()/1000000)</f>
        <v/>
      </c>
    </row>
    <row r="150" ht="27" customHeight="1">
      <c r="A150" s="30" t="n"/>
      <c r="B150" s="31" t="n"/>
      <c r="C150" s="32" t="n"/>
      <c r="D150" s="32" t="n"/>
      <c r="E150" s="32" t="n"/>
      <c r="F150" s="32" t="n"/>
      <c r="G150" s="33">
        <f>IF(A150="","",IFERROR(INDEX(OffCat,MATCH(F150,OffList,0)),"Unlisted"))</f>
        <v/>
      </c>
      <c r="H150" s="30" t="n"/>
      <c r="I150" s="31" t="n"/>
      <c r="J150" s="34" t="n"/>
      <c r="K150" s="34" t="n"/>
      <c r="L150" s="34" t="n"/>
      <c r="M150" s="30" t="n"/>
      <c r="N150" s="30" t="n"/>
      <c r="O150" s="30" t="n"/>
      <c r="P150" s="30" t="n"/>
      <c r="Q150" s="31" t="n"/>
      <c r="R150" s="31" t="n"/>
      <c r="S150" s="31" t="n"/>
      <c r="T150" s="31" t="n"/>
      <c r="U150" s="31" t="n"/>
      <c r="V150" s="31" t="n"/>
      <c r="W150" s="30" t="n"/>
      <c r="X150" s="31" t="n"/>
      <c r="Y150" s="35" t="n"/>
      <c r="Z150" s="35" t="n"/>
      <c r="AA150" s="35" t="n"/>
      <c r="AB150" s="35" t="n"/>
      <c r="AC150" s="35" t="n"/>
      <c r="AD150" s="35" t="n"/>
      <c r="AE150" s="35" t="n"/>
      <c r="AF150" s="35" t="n"/>
      <c r="AG150" s="36">
        <f>IF(A150="","",IF(V150&lt;&gt;"",V150-B150,TODAY()-B150))</f>
        <v/>
      </c>
      <c r="AH150" s="36">
        <f>IF(OR(A150="",I150=""),"",MAX(0,IF(V150&lt;&gt;"",V150-I150,TODAY()-I150)))</f>
        <v/>
      </c>
      <c r="AI150" s="37">
        <f>IF(A150="","",IF(OR(K150="Closed",V150&lt;&gt;""),"Closed",IF(AH150&gt;=AgeCrit,"Critical",IF(AH150&gt;=AgeFu,"For Follow-up",IF(AH150&gt;=AgeMonitor,"Monitor","Within Standard")))))</f>
        <v/>
      </c>
      <c r="AJ150" s="38">
        <f>IF(A150="","",IFERROR(INDEX(StgPct,MATCH(H150,StgList,0)),0))</f>
        <v/>
      </c>
      <c r="AK150" s="38">
        <f>IF(A150="","",IFERROR(COUNTIF(Y150:AF150,"Y")/(COUNTIF(Y150:AF150,"Y")+COUNTIF(Y150:AF150,"N")),0))</f>
        <v/>
      </c>
      <c r="AL150" s="36">
        <f>IF(OR(A150="",X150=""),"",MAX(0,IF(V150&lt;&gt;"",V150,TODAY())-X150))</f>
        <v/>
      </c>
      <c r="AM150" s="32" t="n"/>
      <c r="AN150" s="33">
        <f>IF(A150="","",LOWER(AI150)&amp;"|"&amp;AH150&amp;"|"&amp;AJ150&amp;"|"&amp;AK150)</f>
        <v/>
      </c>
      <c r="AO150" s="33">
        <f>IF(OR(A150="",T150=""),"",T150-TODAY())</f>
        <v/>
      </c>
      <c r="AP150" s="33">
        <f>IF(OR(A150="",V150&lt;&gt;""),"",(TODAY()-B150)+ROW()/1000000)</f>
        <v/>
      </c>
    </row>
    <row r="151" ht="27" customHeight="1">
      <c r="A151" s="30" t="n"/>
      <c r="B151" s="31" t="n"/>
      <c r="C151" s="32" t="n"/>
      <c r="D151" s="32" t="n"/>
      <c r="E151" s="32" t="n"/>
      <c r="F151" s="32" t="n"/>
      <c r="G151" s="33">
        <f>IF(A151="","",IFERROR(INDEX(OffCat,MATCH(F151,OffList,0)),"Unlisted"))</f>
        <v/>
      </c>
      <c r="H151" s="30" t="n"/>
      <c r="I151" s="31" t="n"/>
      <c r="J151" s="34" t="n"/>
      <c r="K151" s="34" t="n"/>
      <c r="L151" s="34" t="n"/>
      <c r="M151" s="30" t="n"/>
      <c r="N151" s="30" t="n"/>
      <c r="O151" s="30" t="n"/>
      <c r="P151" s="30" t="n"/>
      <c r="Q151" s="31" t="n"/>
      <c r="R151" s="31" t="n"/>
      <c r="S151" s="31" t="n"/>
      <c r="T151" s="31" t="n"/>
      <c r="U151" s="31" t="n"/>
      <c r="V151" s="31" t="n"/>
      <c r="W151" s="30" t="n"/>
      <c r="X151" s="31" t="n"/>
      <c r="Y151" s="35" t="n"/>
      <c r="Z151" s="35" t="n"/>
      <c r="AA151" s="35" t="n"/>
      <c r="AB151" s="35" t="n"/>
      <c r="AC151" s="35" t="n"/>
      <c r="AD151" s="35" t="n"/>
      <c r="AE151" s="35" t="n"/>
      <c r="AF151" s="35" t="n"/>
      <c r="AG151" s="36">
        <f>IF(A151="","",IF(V151&lt;&gt;"",V151-B151,TODAY()-B151))</f>
        <v/>
      </c>
      <c r="AH151" s="36">
        <f>IF(OR(A151="",I151=""),"",MAX(0,IF(V151&lt;&gt;"",V151-I151,TODAY()-I151)))</f>
        <v/>
      </c>
      <c r="AI151" s="37">
        <f>IF(A151="","",IF(OR(K151="Closed",V151&lt;&gt;""),"Closed",IF(AH151&gt;=AgeCrit,"Critical",IF(AH151&gt;=AgeFu,"For Follow-up",IF(AH151&gt;=AgeMonitor,"Monitor","Within Standard")))))</f>
        <v/>
      </c>
      <c r="AJ151" s="38">
        <f>IF(A151="","",IFERROR(INDEX(StgPct,MATCH(H151,StgList,0)),0))</f>
        <v/>
      </c>
      <c r="AK151" s="38">
        <f>IF(A151="","",IFERROR(COUNTIF(Y151:AF151,"Y")/(COUNTIF(Y151:AF151,"Y")+COUNTIF(Y151:AF151,"N")),0))</f>
        <v/>
      </c>
      <c r="AL151" s="36">
        <f>IF(OR(A151="",X151=""),"",MAX(0,IF(V151&lt;&gt;"",V151,TODAY())-X151))</f>
        <v/>
      </c>
      <c r="AM151" s="32" t="n"/>
      <c r="AN151" s="33">
        <f>IF(A151="","",LOWER(AI151)&amp;"|"&amp;AH151&amp;"|"&amp;AJ151&amp;"|"&amp;AK151)</f>
        <v/>
      </c>
      <c r="AO151" s="33">
        <f>IF(OR(A151="",T151=""),"",T151-TODAY())</f>
        <v/>
      </c>
      <c r="AP151" s="33">
        <f>IF(OR(A151="",V151&lt;&gt;""),"",(TODAY()-B151)+ROW()/1000000)</f>
        <v/>
      </c>
    </row>
    <row r="152" ht="27" customHeight="1">
      <c r="A152" s="30" t="n"/>
      <c r="B152" s="31" t="n"/>
      <c r="C152" s="32" t="n"/>
      <c r="D152" s="32" t="n"/>
      <c r="E152" s="32" t="n"/>
      <c r="F152" s="32" t="n"/>
      <c r="G152" s="33">
        <f>IF(A152="","",IFERROR(INDEX(OffCat,MATCH(F152,OffList,0)),"Unlisted"))</f>
        <v/>
      </c>
      <c r="H152" s="30" t="n"/>
      <c r="I152" s="31" t="n"/>
      <c r="J152" s="34" t="n"/>
      <c r="K152" s="34" t="n"/>
      <c r="L152" s="34" t="n"/>
      <c r="M152" s="30" t="n"/>
      <c r="N152" s="30" t="n"/>
      <c r="O152" s="30" t="n"/>
      <c r="P152" s="30" t="n"/>
      <c r="Q152" s="31" t="n"/>
      <c r="R152" s="31" t="n"/>
      <c r="S152" s="31" t="n"/>
      <c r="T152" s="31" t="n"/>
      <c r="U152" s="31" t="n"/>
      <c r="V152" s="31" t="n"/>
      <c r="W152" s="30" t="n"/>
      <c r="X152" s="31" t="n"/>
      <c r="Y152" s="35" t="n"/>
      <c r="Z152" s="35" t="n"/>
      <c r="AA152" s="35" t="n"/>
      <c r="AB152" s="35" t="n"/>
      <c r="AC152" s="35" t="n"/>
      <c r="AD152" s="35" t="n"/>
      <c r="AE152" s="35" t="n"/>
      <c r="AF152" s="35" t="n"/>
      <c r="AG152" s="36">
        <f>IF(A152="","",IF(V152&lt;&gt;"",V152-B152,TODAY()-B152))</f>
        <v/>
      </c>
      <c r="AH152" s="36">
        <f>IF(OR(A152="",I152=""),"",MAX(0,IF(V152&lt;&gt;"",V152-I152,TODAY()-I152)))</f>
        <v/>
      </c>
      <c r="AI152" s="37">
        <f>IF(A152="","",IF(OR(K152="Closed",V152&lt;&gt;""),"Closed",IF(AH152&gt;=AgeCrit,"Critical",IF(AH152&gt;=AgeFu,"For Follow-up",IF(AH152&gt;=AgeMonitor,"Monitor","Within Standard")))))</f>
        <v/>
      </c>
      <c r="AJ152" s="38">
        <f>IF(A152="","",IFERROR(INDEX(StgPct,MATCH(H152,StgList,0)),0))</f>
        <v/>
      </c>
      <c r="AK152" s="38">
        <f>IF(A152="","",IFERROR(COUNTIF(Y152:AF152,"Y")/(COUNTIF(Y152:AF152,"Y")+COUNTIF(Y152:AF152,"N")),0))</f>
        <v/>
      </c>
      <c r="AL152" s="36">
        <f>IF(OR(A152="",X152=""),"",MAX(0,IF(V152&lt;&gt;"",V152,TODAY())-X152))</f>
        <v/>
      </c>
      <c r="AM152" s="32" t="n"/>
      <c r="AN152" s="33">
        <f>IF(A152="","",LOWER(AI152)&amp;"|"&amp;AH152&amp;"|"&amp;AJ152&amp;"|"&amp;AK152)</f>
        <v/>
      </c>
      <c r="AO152" s="33">
        <f>IF(OR(A152="",T152=""),"",T152-TODAY())</f>
        <v/>
      </c>
      <c r="AP152" s="33">
        <f>IF(OR(A152="",V152&lt;&gt;""),"",(TODAY()-B152)+ROW()/1000000)</f>
        <v/>
      </c>
    </row>
    <row r="153" ht="27" customHeight="1">
      <c r="A153" s="30" t="n"/>
      <c r="B153" s="31" t="n"/>
      <c r="C153" s="32" t="n"/>
      <c r="D153" s="32" t="n"/>
      <c r="E153" s="32" t="n"/>
      <c r="F153" s="32" t="n"/>
      <c r="G153" s="33">
        <f>IF(A153="","",IFERROR(INDEX(OffCat,MATCH(F153,OffList,0)),"Unlisted"))</f>
        <v/>
      </c>
      <c r="H153" s="30" t="n"/>
      <c r="I153" s="31" t="n"/>
      <c r="J153" s="34" t="n"/>
      <c r="K153" s="34" t="n"/>
      <c r="L153" s="34" t="n"/>
      <c r="M153" s="30" t="n"/>
      <c r="N153" s="30" t="n"/>
      <c r="O153" s="30" t="n"/>
      <c r="P153" s="30" t="n"/>
      <c r="Q153" s="31" t="n"/>
      <c r="R153" s="31" t="n"/>
      <c r="S153" s="31" t="n"/>
      <c r="T153" s="31" t="n"/>
      <c r="U153" s="31" t="n"/>
      <c r="V153" s="31" t="n"/>
      <c r="W153" s="30" t="n"/>
      <c r="X153" s="31" t="n"/>
      <c r="Y153" s="35" t="n"/>
      <c r="Z153" s="35" t="n"/>
      <c r="AA153" s="35" t="n"/>
      <c r="AB153" s="35" t="n"/>
      <c r="AC153" s="35" t="n"/>
      <c r="AD153" s="35" t="n"/>
      <c r="AE153" s="35" t="n"/>
      <c r="AF153" s="35" t="n"/>
      <c r="AG153" s="36">
        <f>IF(A153="","",IF(V153&lt;&gt;"",V153-B153,TODAY()-B153))</f>
        <v/>
      </c>
      <c r="AH153" s="36">
        <f>IF(OR(A153="",I153=""),"",MAX(0,IF(V153&lt;&gt;"",V153-I153,TODAY()-I153)))</f>
        <v/>
      </c>
      <c r="AI153" s="37">
        <f>IF(A153="","",IF(OR(K153="Closed",V153&lt;&gt;""),"Closed",IF(AH153&gt;=AgeCrit,"Critical",IF(AH153&gt;=AgeFu,"For Follow-up",IF(AH153&gt;=AgeMonitor,"Monitor","Within Standard")))))</f>
        <v/>
      </c>
      <c r="AJ153" s="38">
        <f>IF(A153="","",IFERROR(INDEX(StgPct,MATCH(H153,StgList,0)),0))</f>
        <v/>
      </c>
      <c r="AK153" s="38">
        <f>IF(A153="","",IFERROR(COUNTIF(Y153:AF153,"Y")/(COUNTIF(Y153:AF153,"Y")+COUNTIF(Y153:AF153,"N")),0))</f>
        <v/>
      </c>
      <c r="AL153" s="36">
        <f>IF(OR(A153="",X153=""),"",MAX(0,IF(V153&lt;&gt;"",V153,TODAY())-X153))</f>
        <v/>
      </c>
      <c r="AM153" s="32" t="n"/>
      <c r="AN153" s="33">
        <f>IF(A153="","",LOWER(AI153)&amp;"|"&amp;AH153&amp;"|"&amp;AJ153&amp;"|"&amp;AK153)</f>
        <v/>
      </c>
      <c r="AO153" s="33">
        <f>IF(OR(A153="",T153=""),"",T153-TODAY())</f>
        <v/>
      </c>
      <c r="AP153" s="33">
        <f>IF(OR(A153="",V153&lt;&gt;""),"",(TODAY()-B153)+ROW()/1000000)</f>
        <v/>
      </c>
    </row>
    <row r="154" ht="27" customHeight="1">
      <c r="A154" s="30" t="n"/>
      <c r="B154" s="31" t="n"/>
      <c r="C154" s="32" t="n"/>
      <c r="D154" s="32" t="n"/>
      <c r="E154" s="32" t="n"/>
      <c r="F154" s="32" t="n"/>
      <c r="G154" s="33">
        <f>IF(A154="","",IFERROR(INDEX(OffCat,MATCH(F154,OffList,0)),"Unlisted"))</f>
        <v/>
      </c>
      <c r="H154" s="30" t="n"/>
      <c r="I154" s="31" t="n"/>
      <c r="J154" s="34" t="n"/>
      <c r="K154" s="34" t="n"/>
      <c r="L154" s="34" t="n"/>
      <c r="M154" s="30" t="n"/>
      <c r="N154" s="30" t="n"/>
      <c r="O154" s="30" t="n"/>
      <c r="P154" s="30" t="n"/>
      <c r="Q154" s="31" t="n"/>
      <c r="R154" s="31" t="n"/>
      <c r="S154" s="31" t="n"/>
      <c r="T154" s="31" t="n"/>
      <c r="U154" s="31" t="n"/>
      <c r="V154" s="31" t="n"/>
      <c r="W154" s="30" t="n"/>
      <c r="X154" s="31" t="n"/>
      <c r="Y154" s="35" t="n"/>
      <c r="Z154" s="35" t="n"/>
      <c r="AA154" s="35" t="n"/>
      <c r="AB154" s="35" t="n"/>
      <c r="AC154" s="35" t="n"/>
      <c r="AD154" s="35" t="n"/>
      <c r="AE154" s="35" t="n"/>
      <c r="AF154" s="35" t="n"/>
      <c r="AG154" s="36">
        <f>IF(A154="","",IF(V154&lt;&gt;"",V154-B154,TODAY()-B154))</f>
        <v/>
      </c>
      <c r="AH154" s="36">
        <f>IF(OR(A154="",I154=""),"",MAX(0,IF(V154&lt;&gt;"",V154-I154,TODAY()-I154)))</f>
        <v/>
      </c>
      <c r="AI154" s="37">
        <f>IF(A154="","",IF(OR(K154="Closed",V154&lt;&gt;""),"Closed",IF(AH154&gt;=AgeCrit,"Critical",IF(AH154&gt;=AgeFu,"For Follow-up",IF(AH154&gt;=AgeMonitor,"Monitor","Within Standard")))))</f>
        <v/>
      </c>
      <c r="AJ154" s="38">
        <f>IF(A154="","",IFERROR(INDEX(StgPct,MATCH(H154,StgList,0)),0))</f>
        <v/>
      </c>
      <c r="AK154" s="38">
        <f>IF(A154="","",IFERROR(COUNTIF(Y154:AF154,"Y")/(COUNTIF(Y154:AF154,"Y")+COUNTIF(Y154:AF154,"N")),0))</f>
        <v/>
      </c>
      <c r="AL154" s="36">
        <f>IF(OR(A154="",X154=""),"",MAX(0,IF(V154&lt;&gt;"",V154,TODAY())-X154))</f>
        <v/>
      </c>
      <c r="AM154" s="32" t="n"/>
      <c r="AN154" s="33">
        <f>IF(A154="","",LOWER(AI154)&amp;"|"&amp;AH154&amp;"|"&amp;AJ154&amp;"|"&amp;AK154)</f>
        <v/>
      </c>
      <c r="AO154" s="33">
        <f>IF(OR(A154="",T154=""),"",T154-TODAY())</f>
        <v/>
      </c>
      <c r="AP154" s="33">
        <f>IF(OR(A154="",V154&lt;&gt;""),"",(TODAY()-B154)+ROW()/1000000)</f>
        <v/>
      </c>
    </row>
    <row r="155" ht="27" customHeight="1">
      <c r="A155" s="30" t="n"/>
      <c r="B155" s="31" t="n"/>
      <c r="C155" s="32" t="n"/>
      <c r="D155" s="32" t="n"/>
      <c r="E155" s="32" t="n"/>
      <c r="F155" s="32" t="n"/>
      <c r="G155" s="33">
        <f>IF(A155="","",IFERROR(INDEX(OffCat,MATCH(F155,OffList,0)),"Unlisted"))</f>
        <v/>
      </c>
      <c r="H155" s="30" t="n"/>
      <c r="I155" s="31" t="n"/>
      <c r="J155" s="34" t="n"/>
      <c r="K155" s="34" t="n"/>
      <c r="L155" s="34" t="n"/>
      <c r="M155" s="30" t="n"/>
      <c r="N155" s="30" t="n"/>
      <c r="O155" s="30" t="n"/>
      <c r="P155" s="30" t="n"/>
      <c r="Q155" s="31" t="n"/>
      <c r="R155" s="31" t="n"/>
      <c r="S155" s="31" t="n"/>
      <c r="T155" s="31" t="n"/>
      <c r="U155" s="31" t="n"/>
      <c r="V155" s="31" t="n"/>
      <c r="W155" s="30" t="n"/>
      <c r="X155" s="31" t="n"/>
      <c r="Y155" s="35" t="n"/>
      <c r="Z155" s="35" t="n"/>
      <c r="AA155" s="35" t="n"/>
      <c r="AB155" s="35" t="n"/>
      <c r="AC155" s="35" t="n"/>
      <c r="AD155" s="35" t="n"/>
      <c r="AE155" s="35" t="n"/>
      <c r="AF155" s="35" t="n"/>
      <c r="AG155" s="36">
        <f>IF(A155="","",IF(V155&lt;&gt;"",V155-B155,TODAY()-B155))</f>
        <v/>
      </c>
      <c r="AH155" s="36">
        <f>IF(OR(A155="",I155=""),"",MAX(0,IF(V155&lt;&gt;"",V155-I155,TODAY()-I155)))</f>
        <v/>
      </c>
      <c r="AI155" s="37">
        <f>IF(A155="","",IF(OR(K155="Closed",V155&lt;&gt;""),"Closed",IF(AH155&gt;=AgeCrit,"Critical",IF(AH155&gt;=AgeFu,"For Follow-up",IF(AH155&gt;=AgeMonitor,"Monitor","Within Standard")))))</f>
        <v/>
      </c>
      <c r="AJ155" s="38">
        <f>IF(A155="","",IFERROR(INDEX(StgPct,MATCH(H155,StgList,0)),0))</f>
        <v/>
      </c>
      <c r="AK155" s="38">
        <f>IF(A155="","",IFERROR(COUNTIF(Y155:AF155,"Y")/(COUNTIF(Y155:AF155,"Y")+COUNTIF(Y155:AF155,"N")),0))</f>
        <v/>
      </c>
      <c r="AL155" s="36">
        <f>IF(OR(A155="",X155=""),"",MAX(0,IF(V155&lt;&gt;"",V155,TODAY())-X155))</f>
        <v/>
      </c>
      <c r="AM155" s="32" t="n"/>
      <c r="AN155" s="33">
        <f>IF(A155="","",LOWER(AI155)&amp;"|"&amp;AH155&amp;"|"&amp;AJ155&amp;"|"&amp;AK155)</f>
        <v/>
      </c>
      <c r="AO155" s="33">
        <f>IF(OR(A155="",T155=""),"",T155-TODAY())</f>
        <v/>
      </c>
      <c r="AP155" s="33">
        <f>IF(OR(A155="",V155&lt;&gt;""),"",(TODAY()-B155)+ROW()/1000000)</f>
        <v/>
      </c>
    </row>
    <row r="156" ht="27" customHeight="1">
      <c r="A156" s="30" t="n"/>
      <c r="B156" s="31" t="n"/>
      <c r="C156" s="32" t="n"/>
      <c r="D156" s="32" t="n"/>
      <c r="E156" s="32" t="n"/>
      <c r="F156" s="32" t="n"/>
      <c r="G156" s="33">
        <f>IF(A156="","",IFERROR(INDEX(OffCat,MATCH(F156,OffList,0)),"Unlisted"))</f>
        <v/>
      </c>
      <c r="H156" s="30" t="n"/>
      <c r="I156" s="31" t="n"/>
      <c r="J156" s="34" t="n"/>
      <c r="K156" s="34" t="n"/>
      <c r="L156" s="34" t="n"/>
      <c r="M156" s="30" t="n"/>
      <c r="N156" s="30" t="n"/>
      <c r="O156" s="30" t="n"/>
      <c r="P156" s="30" t="n"/>
      <c r="Q156" s="31" t="n"/>
      <c r="R156" s="31" t="n"/>
      <c r="S156" s="31" t="n"/>
      <c r="T156" s="31" t="n"/>
      <c r="U156" s="31" t="n"/>
      <c r="V156" s="31" t="n"/>
      <c r="W156" s="30" t="n"/>
      <c r="X156" s="31" t="n"/>
      <c r="Y156" s="35" t="n"/>
      <c r="Z156" s="35" t="n"/>
      <c r="AA156" s="35" t="n"/>
      <c r="AB156" s="35" t="n"/>
      <c r="AC156" s="35" t="n"/>
      <c r="AD156" s="35" t="n"/>
      <c r="AE156" s="35" t="n"/>
      <c r="AF156" s="35" t="n"/>
      <c r="AG156" s="36">
        <f>IF(A156="","",IF(V156&lt;&gt;"",V156-B156,TODAY()-B156))</f>
        <v/>
      </c>
      <c r="AH156" s="36">
        <f>IF(OR(A156="",I156=""),"",MAX(0,IF(V156&lt;&gt;"",V156-I156,TODAY()-I156)))</f>
        <v/>
      </c>
      <c r="AI156" s="37">
        <f>IF(A156="","",IF(OR(K156="Closed",V156&lt;&gt;""),"Closed",IF(AH156&gt;=AgeCrit,"Critical",IF(AH156&gt;=AgeFu,"For Follow-up",IF(AH156&gt;=AgeMonitor,"Monitor","Within Standard")))))</f>
        <v/>
      </c>
      <c r="AJ156" s="38">
        <f>IF(A156="","",IFERROR(INDEX(StgPct,MATCH(H156,StgList,0)),0))</f>
        <v/>
      </c>
      <c r="AK156" s="38">
        <f>IF(A156="","",IFERROR(COUNTIF(Y156:AF156,"Y")/(COUNTIF(Y156:AF156,"Y")+COUNTIF(Y156:AF156,"N")),0))</f>
        <v/>
      </c>
      <c r="AL156" s="36">
        <f>IF(OR(A156="",X156=""),"",MAX(0,IF(V156&lt;&gt;"",V156,TODAY())-X156))</f>
        <v/>
      </c>
      <c r="AM156" s="32" t="n"/>
      <c r="AN156" s="33">
        <f>IF(A156="","",LOWER(AI156)&amp;"|"&amp;AH156&amp;"|"&amp;AJ156&amp;"|"&amp;AK156)</f>
        <v/>
      </c>
      <c r="AO156" s="33">
        <f>IF(OR(A156="",T156=""),"",T156-TODAY())</f>
        <v/>
      </c>
      <c r="AP156" s="33">
        <f>IF(OR(A156="",V156&lt;&gt;""),"",(TODAY()-B156)+ROW()/1000000)</f>
        <v/>
      </c>
    </row>
    <row r="157" ht="27" customHeight="1">
      <c r="A157" s="30" t="n"/>
      <c r="B157" s="31" t="n"/>
      <c r="C157" s="32" t="n"/>
      <c r="D157" s="32" t="n"/>
      <c r="E157" s="32" t="n"/>
      <c r="F157" s="32" t="n"/>
      <c r="G157" s="33">
        <f>IF(A157="","",IFERROR(INDEX(OffCat,MATCH(F157,OffList,0)),"Unlisted"))</f>
        <v/>
      </c>
      <c r="H157" s="30" t="n"/>
      <c r="I157" s="31" t="n"/>
      <c r="J157" s="34" t="n"/>
      <c r="K157" s="34" t="n"/>
      <c r="L157" s="34" t="n"/>
      <c r="M157" s="30" t="n"/>
      <c r="N157" s="30" t="n"/>
      <c r="O157" s="30" t="n"/>
      <c r="P157" s="30" t="n"/>
      <c r="Q157" s="31" t="n"/>
      <c r="R157" s="31" t="n"/>
      <c r="S157" s="31" t="n"/>
      <c r="T157" s="31" t="n"/>
      <c r="U157" s="31" t="n"/>
      <c r="V157" s="31" t="n"/>
      <c r="W157" s="30" t="n"/>
      <c r="X157" s="31" t="n"/>
      <c r="Y157" s="35" t="n"/>
      <c r="Z157" s="35" t="n"/>
      <c r="AA157" s="35" t="n"/>
      <c r="AB157" s="35" t="n"/>
      <c r="AC157" s="35" t="n"/>
      <c r="AD157" s="35" t="n"/>
      <c r="AE157" s="35" t="n"/>
      <c r="AF157" s="35" t="n"/>
      <c r="AG157" s="36">
        <f>IF(A157="","",IF(V157&lt;&gt;"",V157-B157,TODAY()-B157))</f>
        <v/>
      </c>
      <c r="AH157" s="36">
        <f>IF(OR(A157="",I157=""),"",MAX(0,IF(V157&lt;&gt;"",V157-I157,TODAY()-I157)))</f>
        <v/>
      </c>
      <c r="AI157" s="37">
        <f>IF(A157="","",IF(OR(K157="Closed",V157&lt;&gt;""),"Closed",IF(AH157&gt;=AgeCrit,"Critical",IF(AH157&gt;=AgeFu,"For Follow-up",IF(AH157&gt;=AgeMonitor,"Monitor","Within Standard")))))</f>
        <v/>
      </c>
      <c r="AJ157" s="38">
        <f>IF(A157="","",IFERROR(INDEX(StgPct,MATCH(H157,StgList,0)),0))</f>
        <v/>
      </c>
      <c r="AK157" s="38">
        <f>IF(A157="","",IFERROR(COUNTIF(Y157:AF157,"Y")/(COUNTIF(Y157:AF157,"Y")+COUNTIF(Y157:AF157,"N")),0))</f>
        <v/>
      </c>
      <c r="AL157" s="36">
        <f>IF(OR(A157="",X157=""),"",MAX(0,IF(V157&lt;&gt;"",V157,TODAY())-X157))</f>
        <v/>
      </c>
      <c r="AM157" s="32" t="n"/>
      <c r="AN157" s="33">
        <f>IF(A157="","",LOWER(AI157)&amp;"|"&amp;AH157&amp;"|"&amp;AJ157&amp;"|"&amp;AK157)</f>
        <v/>
      </c>
      <c r="AO157" s="33">
        <f>IF(OR(A157="",T157=""),"",T157-TODAY())</f>
        <v/>
      </c>
      <c r="AP157" s="33">
        <f>IF(OR(A157="",V157&lt;&gt;""),"",(TODAY()-B157)+ROW()/1000000)</f>
        <v/>
      </c>
    </row>
    <row r="158" ht="27" customHeight="1">
      <c r="A158" s="30" t="n"/>
      <c r="B158" s="31" t="n"/>
      <c r="C158" s="32" t="n"/>
      <c r="D158" s="32" t="n"/>
      <c r="E158" s="32" t="n"/>
      <c r="F158" s="32" t="n"/>
      <c r="G158" s="33">
        <f>IF(A158="","",IFERROR(INDEX(OffCat,MATCH(F158,OffList,0)),"Unlisted"))</f>
        <v/>
      </c>
      <c r="H158" s="30" t="n"/>
      <c r="I158" s="31" t="n"/>
      <c r="J158" s="34" t="n"/>
      <c r="K158" s="34" t="n"/>
      <c r="L158" s="34" t="n"/>
      <c r="M158" s="30" t="n"/>
      <c r="N158" s="30" t="n"/>
      <c r="O158" s="30" t="n"/>
      <c r="P158" s="30" t="n"/>
      <c r="Q158" s="31" t="n"/>
      <c r="R158" s="31" t="n"/>
      <c r="S158" s="31" t="n"/>
      <c r="T158" s="31" t="n"/>
      <c r="U158" s="31" t="n"/>
      <c r="V158" s="31" t="n"/>
      <c r="W158" s="30" t="n"/>
      <c r="X158" s="31" t="n"/>
      <c r="Y158" s="35" t="n"/>
      <c r="Z158" s="35" t="n"/>
      <c r="AA158" s="35" t="n"/>
      <c r="AB158" s="35" t="n"/>
      <c r="AC158" s="35" t="n"/>
      <c r="AD158" s="35" t="n"/>
      <c r="AE158" s="35" t="n"/>
      <c r="AF158" s="35" t="n"/>
      <c r="AG158" s="36">
        <f>IF(A158="","",IF(V158&lt;&gt;"",V158-B158,TODAY()-B158))</f>
        <v/>
      </c>
      <c r="AH158" s="36">
        <f>IF(OR(A158="",I158=""),"",MAX(0,IF(V158&lt;&gt;"",V158-I158,TODAY()-I158)))</f>
        <v/>
      </c>
      <c r="AI158" s="37">
        <f>IF(A158="","",IF(OR(K158="Closed",V158&lt;&gt;""),"Closed",IF(AH158&gt;=AgeCrit,"Critical",IF(AH158&gt;=AgeFu,"For Follow-up",IF(AH158&gt;=AgeMonitor,"Monitor","Within Standard")))))</f>
        <v/>
      </c>
      <c r="AJ158" s="38">
        <f>IF(A158="","",IFERROR(INDEX(StgPct,MATCH(H158,StgList,0)),0))</f>
        <v/>
      </c>
      <c r="AK158" s="38">
        <f>IF(A158="","",IFERROR(COUNTIF(Y158:AF158,"Y")/(COUNTIF(Y158:AF158,"Y")+COUNTIF(Y158:AF158,"N")),0))</f>
        <v/>
      </c>
      <c r="AL158" s="36">
        <f>IF(OR(A158="",X158=""),"",MAX(0,IF(V158&lt;&gt;"",V158,TODAY())-X158))</f>
        <v/>
      </c>
      <c r="AM158" s="32" t="n"/>
      <c r="AN158" s="33">
        <f>IF(A158="","",LOWER(AI158)&amp;"|"&amp;AH158&amp;"|"&amp;AJ158&amp;"|"&amp;AK158)</f>
        <v/>
      </c>
      <c r="AO158" s="33">
        <f>IF(OR(A158="",T158=""),"",T158-TODAY())</f>
        <v/>
      </c>
      <c r="AP158" s="33">
        <f>IF(OR(A158="",V158&lt;&gt;""),"",(TODAY()-B158)+ROW()/1000000)</f>
        <v/>
      </c>
    </row>
    <row r="159" ht="27" customHeight="1">
      <c r="A159" s="30" t="n"/>
      <c r="B159" s="31" t="n"/>
      <c r="C159" s="32" t="n"/>
      <c r="D159" s="32" t="n"/>
      <c r="E159" s="32" t="n"/>
      <c r="F159" s="32" t="n"/>
      <c r="G159" s="33">
        <f>IF(A159="","",IFERROR(INDEX(OffCat,MATCH(F159,OffList,0)),"Unlisted"))</f>
        <v/>
      </c>
      <c r="H159" s="30" t="n"/>
      <c r="I159" s="31" t="n"/>
      <c r="J159" s="34" t="n"/>
      <c r="K159" s="34" t="n"/>
      <c r="L159" s="34" t="n"/>
      <c r="M159" s="30" t="n"/>
      <c r="N159" s="30" t="n"/>
      <c r="O159" s="30" t="n"/>
      <c r="P159" s="30" t="n"/>
      <c r="Q159" s="31" t="n"/>
      <c r="R159" s="31" t="n"/>
      <c r="S159" s="31" t="n"/>
      <c r="T159" s="31" t="n"/>
      <c r="U159" s="31" t="n"/>
      <c r="V159" s="31" t="n"/>
      <c r="W159" s="30" t="n"/>
      <c r="X159" s="31" t="n"/>
      <c r="Y159" s="35" t="n"/>
      <c r="Z159" s="35" t="n"/>
      <c r="AA159" s="35" t="n"/>
      <c r="AB159" s="35" t="n"/>
      <c r="AC159" s="35" t="n"/>
      <c r="AD159" s="35" t="n"/>
      <c r="AE159" s="35" t="n"/>
      <c r="AF159" s="35" t="n"/>
      <c r="AG159" s="36">
        <f>IF(A159="","",IF(V159&lt;&gt;"",V159-B159,TODAY()-B159))</f>
        <v/>
      </c>
      <c r="AH159" s="36">
        <f>IF(OR(A159="",I159=""),"",MAX(0,IF(V159&lt;&gt;"",V159-I159,TODAY()-I159)))</f>
        <v/>
      </c>
      <c r="AI159" s="37">
        <f>IF(A159="","",IF(OR(K159="Closed",V159&lt;&gt;""),"Closed",IF(AH159&gt;=AgeCrit,"Critical",IF(AH159&gt;=AgeFu,"For Follow-up",IF(AH159&gt;=AgeMonitor,"Monitor","Within Standard")))))</f>
        <v/>
      </c>
      <c r="AJ159" s="38">
        <f>IF(A159="","",IFERROR(INDEX(StgPct,MATCH(H159,StgList,0)),0))</f>
        <v/>
      </c>
      <c r="AK159" s="38">
        <f>IF(A159="","",IFERROR(COUNTIF(Y159:AF159,"Y")/(COUNTIF(Y159:AF159,"Y")+COUNTIF(Y159:AF159,"N")),0))</f>
        <v/>
      </c>
      <c r="AL159" s="36">
        <f>IF(OR(A159="",X159=""),"",MAX(0,IF(V159&lt;&gt;"",V159,TODAY())-X159))</f>
        <v/>
      </c>
      <c r="AM159" s="32" t="n"/>
      <c r="AN159" s="33">
        <f>IF(A159="","",LOWER(AI159)&amp;"|"&amp;AH159&amp;"|"&amp;AJ159&amp;"|"&amp;AK159)</f>
        <v/>
      </c>
      <c r="AO159" s="33">
        <f>IF(OR(A159="",T159=""),"",T159-TODAY())</f>
        <v/>
      </c>
      <c r="AP159" s="33">
        <f>IF(OR(A159="",V159&lt;&gt;""),"",(TODAY()-B159)+ROW()/1000000)</f>
        <v/>
      </c>
    </row>
    <row r="160" ht="27" customHeight="1">
      <c r="A160" s="30" t="n"/>
      <c r="B160" s="31" t="n"/>
      <c r="C160" s="32" t="n"/>
      <c r="D160" s="32" t="n"/>
      <c r="E160" s="32" t="n"/>
      <c r="F160" s="32" t="n"/>
      <c r="G160" s="33">
        <f>IF(A160="","",IFERROR(INDEX(OffCat,MATCH(F160,OffList,0)),"Unlisted"))</f>
        <v/>
      </c>
      <c r="H160" s="30" t="n"/>
      <c r="I160" s="31" t="n"/>
      <c r="J160" s="34" t="n"/>
      <c r="K160" s="34" t="n"/>
      <c r="L160" s="34" t="n"/>
      <c r="M160" s="30" t="n"/>
      <c r="N160" s="30" t="n"/>
      <c r="O160" s="30" t="n"/>
      <c r="P160" s="30" t="n"/>
      <c r="Q160" s="31" t="n"/>
      <c r="R160" s="31" t="n"/>
      <c r="S160" s="31" t="n"/>
      <c r="T160" s="31" t="n"/>
      <c r="U160" s="31" t="n"/>
      <c r="V160" s="31" t="n"/>
      <c r="W160" s="30" t="n"/>
      <c r="X160" s="31" t="n"/>
      <c r="Y160" s="35" t="n"/>
      <c r="Z160" s="35" t="n"/>
      <c r="AA160" s="35" t="n"/>
      <c r="AB160" s="35" t="n"/>
      <c r="AC160" s="35" t="n"/>
      <c r="AD160" s="35" t="n"/>
      <c r="AE160" s="35" t="n"/>
      <c r="AF160" s="35" t="n"/>
      <c r="AG160" s="36">
        <f>IF(A160="","",IF(V160&lt;&gt;"",V160-B160,TODAY()-B160))</f>
        <v/>
      </c>
      <c r="AH160" s="36">
        <f>IF(OR(A160="",I160=""),"",MAX(0,IF(V160&lt;&gt;"",V160-I160,TODAY()-I160)))</f>
        <v/>
      </c>
      <c r="AI160" s="37">
        <f>IF(A160="","",IF(OR(K160="Closed",V160&lt;&gt;""),"Closed",IF(AH160&gt;=AgeCrit,"Critical",IF(AH160&gt;=AgeFu,"For Follow-up",IF(AH160&gt;=AgeMonitor,"Monitor","Within Standard")))))</f>
        <v/>
      </c>
      <c r="AJ160" s="38">
        <f>IF(A160="","",IFERROR(INDEX(StgPct,MATCH(H160,StgList,0)),0))</f>
        <v/>
      </c>
      <c r="AK160" s="38">
        <f>IF(A160="","",IFERROR(COUNTIF(Y160:AF160,"Y")/(COUNTIF(Y160:AF160,"Y")+COUNTIF(Y160:AF160,"N")),0))</f>
        <v/>
      </c>
      <c r="AL160" s="36">
        <f>IF(OR(A160="",X160=""),"",MAX(0,IF(V160&lt;&gt;"",V160,TODAY())-X160))</f>
        <v/>
      </c>
      <c r="AM160" s="32" t="n"/>
      <c r="AN160" s="33">
        <f>IF(A160="","",LOWER(AI160)&amp;"|"&amp;AH160&amp;"|"&amp;AJ160&amp;"|"&amp;AK160)</f>
        <v/>
      </c>
      <c r="AO160" s="33">
        <f>IF(OR(A160="",T160=""),"",T160-TODAY())</f>
        <v/>
      </c>
      <c r="AP160" s="33">
        <f>IF(OR(A160="",V160&lt;&gt;""),"",(TODAY()-B160)+ROW()/1000000)</f>
        <v/>
      </c>
    </row>
    <row r="161" ht="27" customHeight="1">
      <c r="A161" s="30" t="n"/>
      <c r="B161" s="31" t="n"/>
      <c r="C161" s="32" t="n"/>
      <c r="D161" s="32" t="n"/>
      <c r="E161" s="32" t="n"/>
      <c r="F161" s="32" t="n"/>
      <c r="G161" s="33">
        <f>IF(A161="","",IFERROR(INDEX(OffCat,MATCH(F161,OffList,0)),"Unlisted"))</f>
        <v/>
      </c>
      <c r="H161" s="30" t="n"/>
      <c r="I161" s="31" t="n"/>
      <c r="J161" s="34" t="n"/>
      <c r="K161" s="34" t="n"/>
      <c r="L161" s="34" t="n"/>
      <c r="M161" s="30" t="n"/>
      <c r="N161" s="30" t="n"/>
      <c r="O161" s="30" t="n"/>
      <c r="P161" s="30" t="n"/>
      <c r="Q161" s="31" t="n"/>
      <c r="R161" s="31" t="n"/>
      <c r="S161" s="31" t="n"/>
      <c r="T161" s="31" t="n"/>
      <c r="U161" s="31" t="n"/>
      <c r="V161" s="31" t="n"/>
      <c r="W161" s="30" t="n"/>
      <c r="X161" s="31" t="n"/>
      <c r="Y161" s="35" t="n"/>
      <c r="Z161" s="35" t="n"/>
      <c r="AA161" s="35" t="n"/>
      <c r="AB161" s="35" t="n"/>
      <c r="AC161" s="35" t="n"/>
      <c r="AD161" s="35" t="n"/>
      <c r="AE161" s="35" t="n"/>
      <c r="AF161" s="35" t="n"/>
      <c r="AG161" s="36">
        <f>IF(A161="","",IF(V161&lt;&gt;"",V161-B161,TODAY()-B161))</f>
        <v/>
      </c>
      <c r="AH161" s="36">
        <f>IF(OR(A161="",I161=""),"",MAX(0,IF(V161&lt;&gt;"",V161-I161,TODAY()-I161)))</f>
        <v/>
      </c>
      <c r="AI161" s="37">
        <f>IF(A161="","",IF(OR(K161="Closed",V161&lt;&gt;""),"Closed",IF(AH161&gt;=AgeCrit,"Critical",IF(AH161&gt;=AgeFu,"For Follow-up",IF(AH161&gt;=AgeMonitor,"Monitor","Within Standard")))))</f>
        <v/>
      </c>
      <c r="AJ161" s="38">
        <f>IF(A161="","",IFERROR(INDEX(StgPct,MATCH(H161,StgList,0)),0))</f>
        <v/>
      </c>
      <c r="AK161" s="38">
        <f>IF(A161="","",IFERROR(COUNTIF(Y161:AF161,"Y")/(COUNTIF(Y161:AF161,"Y")+COUNTIF(Y161:AF161,"N")),0))</f>
        <v/>
      </c>
      <c r="AL161" s="36">
        <f>IF(OR(A161="",X161=""),"",MAX(0,IF(V161&lt;&gt;"",V161,TODAY())-X161))</f>
        <v/>
      </c>
      <c r="AM161" s="32" t="n"/>
      <c r="AN161" s="33">
        <f>IF(A161="","",LOWER(AI161)&amp;"|"&amp;AH161&amp;"|"&amp;AJ161&amp;"|"&amp;AK161)</f>
        <v/>
      </c>
      <c r="AO161" s="33">
        <f>IF(OR(A161="",T161=""),"",T161-TODAY())</f>
        <v/>
      </c>
      <c r="AP161" s="33">
        <f>IF(OR(A161="",V161&lt;&gt;""),"",(TODAY()-B161)+ROW()/1000000)</f>
        <v/>
      </c>
    </row>
    <row r="162" ht="27" customHeight="1">
      <c r="A162" s="30" t="n"/>
      <c r="B162" s="31" t="n"/>
      <c r="C162" s="32" t="n"/>
      <c r="D162" s="32" t="n"/>
      <c r="E162" s="32" t="n"/>
      <c r="F162" s="32" t="n"/>
      <c r="G162" s="33">
        <f>IF(A162="","",IFERROR(INDEX(OffCat,MATCH(F162,OffList,0)),"Unlisted"))</f>
        <v/>
      </c>
      <c r="H162" s="30" t="n"/>
      <c r="I162" s="31" t="n"/>
      <c r="J162" s="34" t="n"/>
      <c r="K162" s="34" t="n"/>
      <c r="L162" s="34" t="n"/>
      <c r="M162" s="30" t="n"/>
      <c r="N162" s="30" t="n"/>
      <c r="O162" s="30" t="n"/>
      <c r="P162" s="30" t="n"/>
      <c r="Q162" s="31" t="n"/>
      <c r="R162" s="31" t="n"/>
      <c r="S162" s="31" t="n"/>
      <c r="T162" s="31" t="n"/>
      <c r="U162" s="31" t="n"/>
      <c r="V162" s="31" t="n"/>
      <c r="W162" s="30" t="n"/>
      <c r="X162" s="31" t="n"/>
      <c r="Y162" s="35" t="n"/>
      <c r="Z162" s="35" t="n"/>
      <c r="AA162" s="35" t="n"/>
      <c r="AB162" s="35" t="n"/>
      <c r="AC162" s="35" t="n"/>
      <c r="AD162" s="35" t="n"/>
      <c r="AE162" s="35" t="n"/>
      <c r="AF162" s="35" t="n"/>
      <c r="AG162" s="36">
        <f>IF(A162="","",IF(V162&lt;&gt;"",V162-B162,TODAY()-B162))</f>
        <v/>
      </c>
      <c r="AH162" s="36">
        <f>IF(OR(A162="",I162=""),"",MAX(0,IF(V162&lt;&gt;"",V162-I162,TODAY()-I162)))</f>
        <v/>
      </c>
      <c r="AI162" s="37">
        <f>IF(A162="","",IF(OR(K162="Closed",V162&lt;&gt;""),"Closed",IF(AH162&gt;=AgeCrit,"Critical",IF(AH162&gt;=AgeFu,"For Follow-up",IF(AH162&gt;=AgeMonitor,"Monitor","Within Standard")))))</f>
        <v/>
      </c>
      <c r="AJ162" s="38">
        <f>IF(A162="","",IFERROR(INDEX(StgPct,MATCH(H162,StgList,0)),0))</f>
        <v/>
      </c>
      <c r="AK162" s="38">
        <f>IF(A162="","",IFERROR(COUNTIF(Y162:AF162,"Y")/(COUNTIF(Y162:AF162,"Y")+COUNTIF(Y162:AF162,"N")),0))</f>
        <v/>
      </c>
      <c r="AL162" s="36">
        <f>IF(OR(A162="",X162=""),"",MAX(0,IF(V162&lt;&gt;"",V162,TODAY())-X162))</f>
        <v/>
      </c>
      <c r="AM162" s="32" t="n"/>
      <c r="AN162" s="33">
        <f>IF(A162="","",LOWER(AI162)&amp;"|"&amp;AH162&amp;"|"&amp;AJ162&amp;"|"&amp;AK162)</f>
        <v/>
      </c>
      <c r="AO162" s="33">
        <f>IF(OR(A162="",T162=""),"",T162-TODAY())</f>
        <v/>
      </c>
      <c r="AP162" s="33">
        <f>IF(OR(A162="",V162&lt;&gt;""),"",(TODAY()-B162)+ROW()/1000000)</f>
        <v/>
      </c>
    </row>
    <row r="163" ht="27" customHeight="1">
      <c r="A163" s="30" t="n"/>
      <c r="B163" s="31" t="n"/>
      <c r="C163" s="32" t="n"/>
      <c r="D163" s="32" t="n"/>
      <c r="E163" s="32" t="n"/>
      <c r="F163" s="32" t="n"/>
      <c r="G163" s="33">
        <f>IF(A163="","",IFERROR(INDEX(OffCat,MATCH(F163,OffList,0)),"Unlisted"))</f>
        <v/>
      </c>
      <c r="H163" s="30" t="n"/>
      <c r="I163" s="31" t="n"/>
      <c r="J163" s="34" t="n"/>
      <c r="K163" s="34" t="n"/>
      <c r="L163" s="34" t="n"/>
      <c r="M163" s="30" t="n"/>
      <c r="N163" s="30" t="n"/>
      <c r="O163" s="30" t="n"/>
      <c r="P163" s="30" t="n"/>
      <c r="Q163" s="31" t="n"/>
      <c r="R163" s="31" t="n"/>
      <c r="S163" s="31" t="n"/>
      <c r="T163" s="31" t="n"/>
      <c r="U163" s="31" t="n"/>
      <c r="V163" s="31" t="n"/>
      <c r="W163" s="30" t="n"/>
      <c r="X163" s="31" t="n"/>
      <c r="Y163" s="35" t="n"/>
      <c r="Z163" s="35" t="n"/>
      <c r="AA163" s="35" t="n"/>
      <c r="AB163" s="35" t="n"/>
      <c r="AC163" s="35" t="n"/>
      <c r="AD163" s="35" t="n"/>
      <c r="AE163" s="35" t="n"/>
      <c r="AF163" s="35" t="n"/>
      <c r="AG163" s="36">
        <f>IF(A163="","",IF(V163&lt;&gt;"",V163-B163,TODAY()-B163))</f>
        <v/>
      </c>
      <c r="AH163" s="36">
        <f>IF(OR(A163="",I163=""),"",MAX(0,IF(V163&lt;&gt;"",V163-I163,TODAY()-I163)))</f>
        <v/>
      </c>
      <c r="AI163" s="37">
        <f>IF(A163="","",IF(OR(K163="Closed",V163&lt;&gt;""),"Closed",IF(AH163&gt;=AgeCrit,"Critical",IF(AH163&gt;=AgeFu,"For Follow-up",IF(AH163&gt;=AgeMonitor,"Monitor","Within Standard")))))</f>
        <v/>
      </c>
      <c r="AJ163" s="38">
        <f>IF(A163="","",IFERROR(INDEX(StgPct,MATCH(H163,StgList,0)),0))</f>
        <v/>
      </c>
      <c r="AK163" s="38">
        <f>IF(A163="","",IFERROR(COUNTIF(Y163:AF163,"Y")/(COUNTIF(Y163:AF163,"Y")+COUNTIF(Y163:AF163,"N")),0))</f>
        <v/>
      </c>
      <c r="AL163" s="36">
        <f>IF(OR(A163="",X163=""),"",MAX(0,IF(V163&lt;&gt;"",V163,TODAY())-X163))</f>
        <v/>
      </c>
      <c r="AM163" s="32" t="n"/>
      <c r="AN163" s="33">
        <f>IF(A163="","",LOWER(AI163)&amp;"|"&amp;AH163&amp;"|"&amp;AJ163&amp;"|"&amp;AK163)</f>
        <v/>
      </c>
      <c r="AO163" s="33">
        <f>IF(OR(A163="",T163=""),"",T163-TODAY())</f>
        <v/>
      </c>
      <c r="AP163" s="33">
        <f>IF(OR(A163="",V163&lt;&gt;""),"",(TODAY()-B163)+ROW()/1000000)</f>
        <v/>
      </c>
    </row>
    <row r="164" ht="27" customHeight="1">
      <c r="A164" s="30" t="n"/>
      <c r="B164" s="31" t="n"/>
      <c r="C164" s="32" t="n"/>
      <c r="D164" s="32" t="n"/>
      <c r="E164" s="32" t="n"/>
      <c r="F164" s="32" t="n"/>
      <c r="G164" s="33">
        <f>IF(A164="","",IFERROR(INDEX(OffCat,MATCH(F164,OffList,0)),"Unlisted"))</f>
        <v/>
      </c>
      <c r="H164" s="30" t="n"/>
      <c r="I164" s="31" t="n"/>
      <c r="J164" s="34" t="n"/>
      <c r="K164" s="34" t="n"/>
      <c r="L164" s="34" t="n"/>
      <c r="M164" s="30" t="n"/>
      <c r="N164" s="30" t="n"/>
      <c r="O164" s="30" t="n"/>
      <c r="P164" s="30" t="n"/>
      <c r="Q164" s="31" t="n"/>
      <c r="R164" s="31" t="n"/>
      <c r="S164" s="31" t="n"/>
      <c r="T164" s="31" t="n"/>
      <c r="U164" s="31" t="n"/>
      <c r="V164" s="31" t="n"/>
      <c r="W164" s="30" t="n"/>
      <c r="X164" s="31" t="n"/>
      <c r="Y164" s="35" t="n"/>
      <c r="Z164" s="35" t="n"/>
      <c r="AA164" s="35" t="n"/>
      <c r="AB164" s="35" t="n"/>
      <c r="AC164" s="35" t="n"/>
      <c r="AD164" s="35" t="n"/>
      <c r="AE164" s="35" t="n"/>
      <c r="AF164" s="35" t="n"/>
      <c r="AG164" s="36">
        <f>IF(A164="","",IF(V164&lt;&gt;"",V164-B164,TODAY()-B164))</f>
        <v/>
      </c>
      <c r="AH164" s="36">
        <f>IF(OR(A164="",I164=""),"",MAX(0,IF(V164&lt;&gt;"",V164-I164,TODAY()-I164)))</f>
        <v/>
      </c>
      <c r="AI164" s="37">
        <f>IF(A164="","",IF(OR(K164="Closed",V164&lt;&gt;""),"Closed",IF(AH164&gt;=AgeCrit,"Critical",IF(AH164&gt;=AgeFu,"For Follow-up",IF(AH164&gt;=AgeMonitor,"Monitor","Within Standard")))))</f>
        <v/>
      </c>
      <c r="AJ164" s="38">
        <f>IF(A164="","",IFERROR(INDEX(StgPct,MATCH(H164,StgList,0)),0))</f>
        <v/>
      </c>
      <c r="AK164" s="38">
        <f>IF(A164="","",IFERROR(COUNTIF(Y164:AF164,"Y")/(COUNTIF(Y164:AF164,"Y")+COUNTIF(Y164:AF164,"N")),0))</f>
        <v/>
      </c>
      <c r="AL164" s="36">
        <f>IF(OR(A164="",X164=""),"",MAX(0,IF(V164&lt;&gt;"",V164,TODAY())-X164))</f>
        <v/>
      </c>
      <c r="AM164" s="32" t="n"/>
      <c r="AN164" s="33">
        <f>IF(A164="","",LOWER(AI164)&amp;"|"&amp;AH164&amp;"|"&amp;AJ164&amp;"|"&amp;AK164)</f>
        <v/>
      </c>
      <c r="AO164" s="33">
        <f>IF(OR(A164="",T164=""),"",T164-TODAY())</f>
        <v/>
      </c>
      <c r="AP164" s="33">
        <f>IF(OR(A164="",V164&lt;&gt;""),"",(TODAY()-B164)+ROW()/1000000)</f>
        <v/>
      </c>
    </row>
    <row r="165" ht="27" customHeight="1">
      <c r="A165" s="30" t="n"/>
      <c r="B165" s="31" t="n"/>
      <c r="C165" s="32" t="n"/>
      <c r="D165" s="32" t="n"/>
      <c r="E165" s="32" t="n"/>
      <c r="F165" s="32" t="n"/>
      <c r="G165" s="33">
        <f>IF(A165="","",IFERROR(INDEX(OffCat,MATCH(F165,OffList,0)),"Unlisted"))</f>
        <v/>
      </c>
      <c r="H165" s="30" t="n"/>
      <c r="I165" s="31" t="n"/>
      <c r="J165" s="34" t="n"/>
      <c r="K165" s="34" t="n"/>
      <c r="L165" s="34" t="n"/>
      <c r="M165" s="30" t="n"/>
      <c r="N165" s="30" t="n"/>
      <c r="O165" s="30" t="n"/>
      <c r="P165" s="30" t="n"/>
      <c r="Q165" s="31" t="n"/>
      <c r="R165" s="31" t="n"/>
      <c r="S165" s="31" t="n"/>
      <c r="T165" s="31" t="n"/>
      <c r="U165" s="31" t="n"/>
      <c r="V165" s="31" t="n"/>
      <c r="W165" s="30" t="n"/>
      <c r="X165" s="31" t="n"/>
      <c r="Y165" s="35" t="n"/>
      <c r="Z165" s="35" t="n"/>
      <c r="AA165" s="35" t="n"/>
      <c r="AB165" s="35" t="n"/>
      <c r="AC165" s="35" t="n"/>
      <c r="AD165" s="35" t="n"/>
      <c r="AE165" s="35" t="n"/>
      <c r="AF165" s="35" t="n"/>
      <c r="AG165" s="36">
        <f>IF(A165="","",IF(V165&lt;&gt;"",V165-B165,TODAY()-B165))</f>
        <v/>
      </c>
      <c r="AH165" s="36">
        <f>IF(OR(A165="",I165=""),"",MAX(0,IF(V165&lt;&gt;"",V165-I165,TODAY()-I165)))</f>
        <v/>
      </c>
      <c r="AI165" s="37">
        <f>IF(A165="","",IF(OR(K165="Closed",V165&lt;&gt;""),"Closed",IF(AH165&gt;=AgeCrit,"Critical",IF(AH165&gt;=AgeFu,"For Follow-up",IF(AH165&gt;=AgeMonitor,"Monitor","Within Standard")))))</f>
        <v/>
      </c>
      <c r="AJ165" s="38">
        <f>IF(A165="","",IFERROR(INDEX(StgPct,MATCH(H165,StgList,0)),0))</f>
        <v/>
      </c>
      <c r="AK165" s="38">
        <f>IF(A165="","",IFERROR(COUNTIF(Y165:AF165,"Y")/(COUNTIF(Y165:AF165,"Y")+COUNTIF(Y165:AF165,"N")),0))</f>
        <v/>
      </c>
      <c r="AL165" s="36">
        <f>IF(OR(A165="",X165=""),"",MAX(0,IF(V165&lt;&gt;"",V165,TODAY())-X165))</f>
        <v/>
      </c>
      <c r="AM165" s="32" t="n"/>
      <c r="AN165" s="33">
        <f>IF(A165="","",LOWER(AI165)&amp;"|"&amp;AH165&amp;"|"&amp;AJ165&amp;"|"&amp;AK165)</f>
        <v/>
      </c>
      <c r="AO165" s="33">
        <f>IF(OR(A165="",T165=""),"",T165-TODAY())</f>
        <v/>
      </c>
      <c r="AP165" s="33">
        <f>IF(OR(A165="",V165&lt;&gt;""),"",(TODAY()-B165)+ROW()/1000000)</f>
        <v/>
      </c>
    </row>
    <row r="166" ht="27" customHeight="1">
      <c r="A166" s="30" t="n"/>
      <c r="B166" s="31" t="n"/>
      <c r="C166" s="32" t="n"/>
      <c r="D166" s="32" t="n"/>
      <c r="E166" s="32" t="n"/>
      <c r="F166" s="32" t="n"/>
      <c r="G166" s="33">
        <f>IF(A166="","",IFERROR(INDEX(OffCat,MATCH(F166,OffList,0)),"Unlisted"))</f>
        <v/>
      </c>
      <c r="H166" s="30" t="n"/>
      <c r="I166" s="31" t="n"/>
      <c r="J166" s="34" t="n"/>
      <c r="K166" s="34" t="n"/>
      <c r="L166" s="34" t="n"/>
      <c r="M166" s="30" t="n"/>
      <c r="N166" s="30" t="n"/>
      <c r="O166" s="30" t="n"/>
      <c r="P166" s="30" t="n"/>
      <c r="Q166" s="31" t="n"/>
      <c r="R166" s="31" t="n"/>
      <c r="S166" s="31" t="n"/>
      <c r="T166" s="31" t="n"/>
      <c r="U166" s="31" t="n"/>
      <c r="V166" s="31" t="n"/>
      <c r="W166" s="30" t="n"/>
      <c r="X166" s="31" t="n"/>
      <c r="Y166" s="35" t="n"/>
      <c r="Z166" s="35" t="n"/>
      <c r="AA166" s="35" t="n"/>
      <c r="AB166" s="35" t="n"/>
      <c r="AC166" s="35" t="n"/>
      <c r="AD166" s="35" t="n"/>
      <c r="AE166" s="35" t="n"/>
      <c r="AF166" s="35" t="n"/>
      <c r="AG166" s="36">
        <f>IF(A166="","",IF(V166&lt;&gt;"",V166-B166,TODAY()-B166))</f>
        <v/>
      </c>
      <c r="AH166" s="36">
        <f>IF(OR(A166="",I166=""),"",MAX(0,IF(V166&lt;&gt;"",V166-I166,TODAY()-I166)))</f>
        <v/>
      </c>
      <c r="AI166" s="37">
        <f>IF(A166="","",IF(OR(K166="Closed",V166&lt;&gt;""),"Closed",IF(AH166&gt;=AgeCrit,"Critical",IF(AH166&gt;=AgeFu,"For Follow-up",IF(AH166&gt;=AgeMonitor,"Monitor","Within Standard")))))</f>
        <v/>
      </c>
      <c r="AJ166" s="38">
        <f>IF(A166="","",IFERROR(INDEX(StgPct,MATCH(H166,StgList,0)),0))</f>
        <v/>
      </c>
      <c r="AK166" s="38">
        <f>IF(A166="","",IFERROR(COUNTIF(Y166:AF166,"Y")/(COUNTIF(Y166:AF166,"Y")+COUNTIF(Y166:AF166,"N")),0))</f>
        <v/>
      </c>
      <c r="AL166" s="36">
        <f>IF(OR(A166="",X166=""),"",MAX(0,IF(V166&lt;&gt;"",V166,TODAY())-X166))</f>
        <v/>
      </c>
      <c r="AM166" s="32" t="n"/>
      <c r="AN166" s="33">
        <f>IF(A166="","",LOWER(AI166)&amp;"|"&amp;AH166&amp;"|"&amp;AJ166&amp;"|"&amp;AK166)</f>
        <v/>
      </c>
      <c r="AO166" s="33">
        <f>IF(OR(A166="",T166=""),"",T166-TODAY())</f>
        <v/>
      </c>
      <c r="AP166" s="33">
        <f>IF(OR(A166="",V166&lt;&gt;""),"",(TODAY()-B166)+ROW()/1000000)</f>
        <v/>
      </c>
    </row>
    <row r="167" ht="27" customHeight="1">
      <c r="A167" s="30" t="n"/>
      <c r="B167" s="31" t="n"/>
      <c r="C167" s="32" t="n"/>
      <c r="D167" s="32" t="n"/>
      <c r="E167" s="32" t="n"/>
      <c r="F167" s="32" t="n"/>
      <c r="G167" s="33">
        <f>IF(A167="","",IFERROR(INDEX(OffCat,MATCH(F167,OffList,0)),"Unlisted"))</f>
        <v/>
      </c>
      <c r="H167" s="30" t="n"/>
      <c r="I167" s="31" t="n"/>
      <c r="J167" s="34" t="n"/>
      <c r="K167" s="34" t="n"/>
      <c r="L167" s="34" t="n"/>
      <c r="M167" s="30" t="n"/>
      <c r="N167" s="30" t="n"/>
      <c r="O167" s="30" t="n"/>
      <c r="P167" s="30" t="n"/>
      <c r="Q167" s="31" t="n"/>
      <c r="R167" s="31" t="n"/>
      <c r="S167" s="31" t="n"/>
      <c r="T167" s="31" t="n"/>
      <c r="U167" s="31" t="n"/>
      <c r="V167" s="31" t="n"/>
      <c r="W167" s="30" t="n"/>
      <c r="X167" s="31" t="n"/>
      <c r="Y167" s="35" t="n"/>
      <c r="Z167" s="35" t="n"/>
      <c r="AA167" s="35" t="n"/>
      <c r="AB167" s="35" t="n"/>
      <c r="AC167" s="35" t="n"/>
      <c r="AD167" s="35" t="n"/>
      <c r="AE167" s="35" t="n"/>
      <c r="AF167" s="35" t="n"/>
      <c r="AG167" s="36">
        <f>IF(A167="","",IF(V167&lt;&gt;"",V167-B167,TODAY()-B167))</f>
        <v/>
      </c>
      <c r="AH167" s="36">
        <f>IF(OR(A167="",I167=""),"",MAX(0,IF(V167&lt;&gt;"",V167-I167,TODAY()-I167)))</f>
        <v/>
      </c>
      <c r="AI167" s="37">
        <f>IF(A167="","",IF(OR(K167="Closed",V167&lt;&gt;""),"Closed",IF(AH167&gt;=AgeCrit,"Critical",IF(AH167&gt;=AgeFu,"For Follow-up",IF(AH167&gt;=AgeMonitor,"Monitor","Within Standard")))))</f>
        <v/>
      </c>
      <c r="AJ167" s="38">
        <f>IF(A167="","",IFERROR(INDEX(StgPct,MATCH(H167,StgList,0)),0))</f>
        <v/>
      </c>
      <c r="AK167" s="38">
        <f>IF(A167="","",IFERROR(COUNTIF(Y167:AF167,"Y")/(COUNTIF(Y167:AF167,"Y")+COUNTIF(Y167:AF167,"N")),0))</f>
        <v/>
      </c>
      <c r="AL167" s="36">
        <f>IF(OR(A167="",X167=""),"",MAX(0,IF(V167&lt;&gt;"",V167,TODAY())-X167))</f>
        <v/>
      </c>
      <c r="AM167" s="32" t="n"/>
      <c r="AN167" s="33">
        <f>IF(A167="","",LOWER(AI167)&amp;"|"&amp;AH167&amp;"|"&amp;AJ167&amp;"|"&amp;AK167)</f>
        <v/>
      </c>
      <c r="AO167" s="33">
        <f>IF(OR(A167="",T167=""),"",T167-TODAY())</f>
        <v/>
      </c>
      <c r="AP167" s="33">
        <f>IF(OR(A167="",V167&lt;&gt;""),"",(TODAY()-B167)+ROW()/1000000)</f>
        <v/>
      </c>
    </row>
    <row r="168" ht="27" customHeight="1">
      <c r="A168" s="30" t="n"/>
      <c r="B168" s="31" t="n"/>
      <c r="C168" s="32" t="n"/>
      <c r="D168" s="32" t="n"/>
      <c r="E168" s="32" t="n"/>
      <c r="F168" s="32" t="n"/>
      <c r="G168" s="33">
        <f>IF(A168="","",IFERROR(INDEX(OffCat,MATCH(F168,OffList,0)),"Unlisted"))</f>
        <v/>
      </c>
      <c r="H168" s="30" t="n"/>
      <c r="I168" s="31" t="n"/>
      <c r="J168" s="34" t="n"/>
      <c r="K168" s="34" t="n"/>
      <c r="L168" s="34" t="n"/>
      <c r="M168" s="30" t="n"/>
      <c r="N168" s="30" t="n"/>
      <c r="O168" s="30" t="n"/>
      <c r="P168" s="30" t="n"/>
      <c r="Q168" s="31" t="n"/>
      <c r="R168" s="31" t="n"/>
      <c r="S168" s="31" t="n"/>
      <c r="T168" s="31" t="n"/>
      <c r="U168" s="31" t="n"/>
      <c r="V168" s="31" t="n"/>
      <c r="W168" s="30" t="n"/>
      <c r="X168" s="31" t="n"/>
      <c r="Y168" s="35" t="n"/>
      <c r="Z168" s="35" t="n"/>
      <c r="AA168" s="35" t="n"/>
      <c r="AB168" s="35" t="n"/>
      <c r="AC168" s="35" t="n"/>
      <c r="AD168" s="35" t="n"/>
      <c r="AE168" s="35" t="n"/>
      <c r="AF168" s="35" t="n"/>
      <c r="AG168" s="36">
        <f>IF(A168="","",IF(V168&lt;&gt;"",V168-B168,TODAY()-B168))</f>
        <v/>
      </c>
      <c r="AH168" s="36">
        <f>IF(OR(A168="",I168=""),"",MAX(0,IF(V168&lt;&gt;"",V168-I168,TODAY()-I168)))</f>
        <v/>
      </c>
      <c r="AI168" s="37">
        <f>IF(A168="","",IF(OR(K168="Closed",V168&lt;&gt;""),"Closed",IF(AH168&gt;=AgeCrit,"Critical",IF(AH168&gt;=AgeFu,"For Follow-up",IF(AH168&gt;=AgeMonitor,"Monitor","Within Standard")))))</f>
        <v/>
      </c>
      <c r="AJ168" s="38">
        <f>IF(A168="","",IFERROR(INDEX(StgPct,MATCH(H168,StgList,0)),0))</f>
        <v/>
      </c>
      <c r="AK168" s="38">
        <f>IF(A168="","",IFERROR(COUNTIF(Y168:AF168,"Y")/(COUNTIF(Y168:AF168,"Y")+COUNTIF(Y168:AF168,"N")),0))</f>
        <v/>
      </c>
      <c r="AL168" s="36">
        <f>IF(OR(A168="",X168=""),"",MAX(0,IF(V168&lt;&gt;"",V168,TODAY())-X168))</f>
        <v/>
      </c>
      <c r="AM168" s="32" t="n"/>
      <c r="AN168" s="33">
        <f>IF(A168="","",LOWER(AI168)&amp;"|"&amp;AH168&amp;"|"&amp;AJ168&amp;"|"&amp;AK168)</f>
        <v/>
      </c>
      <c r="AO168" s="33">
        <f>IF(OR(A168="",T168=""),"",T168-TODAY())</f>
        <v/>
      </c>
      <c r="AP168" s="33">
        <f>IF(OR(A168="",V168&lt;&gt;""),"",(TODAY()-B168)+ROW()/1000000)</f>
        <v/>
      </c>
    </row>
    <row r="169" ht="27" customHeight="1">
      <c r="A169" s="30" t="n"/>
      <c r="B169" s="31" t="n"/>
      <c r="C169" s="32" t="n"/>
      <c r="D169" s="32" t="n"/>
      <c r="E169" s="32" t="n"/>
      <c r="F169" s="32" t="n"/>
      <c r="G169" s="33">
        <f>IF(A169="","",IFERROR(INDEX(OffCat,MATCH(F169,OffList,0)),"Unlisted"))</f>
        <v/>
      </c>
      <c r="H169" s="30" t="n"/>
      <c r="I169" s="31" t="n"/>
      <c r="J169" s="34" t="n"/>
      <c r="K169" s="34" t="n"/>
      <c r="L169" s="34" t="n"/>
      <c r="M169" s="30" t="n"/>
      <c r="N169" s="30" t="n"/>
      <c r="O169" s="30" t="n"/>
      <c r="P169" s="30" t="n"/>
      <c r="Q169" s="31" t="n"/>
      <c r="R169" s="31" t="n"/>
      <c r="S169" s="31" t="n"/>
      <c r="T169" s="31" t="n"/>
      <c r="U169" s="31" t="n"/>
      <c r="V169" s="31" t="n"/>
      <c r="W169" s="30" t="n"/>
      <c r="X169" s="31" t="n"/>
      <c r="Y169" s="35" t="n"/>
      <c r="Z169" s="35" t="n"/>
      <c r="AA169" s="35" t="n"/>
      <c r="AB169" s="35" t="n"/>
      <c r="AC169" s="35" t="n"/>
      <c r="AD169" s="35" t="n"/>
      <c r="AE169" s="35" t="n"/>
      <c r="AF169" s="35" t="n"/>
      <c r="AG169" s="36">
        <f>IF(A169="","",IF(V169&lt;&gt;"",V169-B169,TODAY()-B169))</f>
        <v/>
      </c>
      <c r="AH169" s="36">
        <f>IF(OR(A169="",I169=""),"",MAX(0,IF(V169&lt;&gt;"",V169-I169,TODAY()-I169)))</f>
        <v/>
      </c>
      <c r="AI169" s="37">
        <f>IF(A169="","",IF(OR(K169="Closed",V169&lt;&gt;""),"Closed",IF(AH169&gt;=AgeCrit,"Critical",IF(AH169&gt;=AgeFu,"For Follow-up",IF(AH169&gt;=AgeMonitor,"Monitor","Within Standard")))))</f>
        <v/>
      </c>
      <c r="AJ169" s="38">
        <f>IF(A169="","",IFERROR(INDEX(StgPct,MATCH(H169,StgList,0)),0))</f>
        <v/>
      </c>
      <c r="AK169" s="38">
        <f>IF(A169="","",IFERROR(COUNTIF(Y169:AF169,"Y")/(COUNTIF(Y169:AF169,"Y")+COUNTIF(Y169:AF169,"N")),0))</f>
        <v/>
      </c>
      <c r="AL169" s="36">
        <f>IF(OR(A169="",X169=""),"",MAX(0,IF(V169&lt;&gt;"",V169,TODAY())-X169))</f>
        <v/>
      </c>
      <c r="AM169" s="32" t="n"/>
      <c r="AN169" s="33">
        <f>IF(A169="","",LOWER(AI169)&amp;"|"&amp;AH169&amp;"|"&amp;AJ169&amp;"|"&amp;AK169)</f>
        <v/>
      </c>
      <c r="AO169" s="33">
        <f>IF(OR(A169="",T169=""),"",T169-TODAY())</f>
        <v/>
      </c>
      <c r="AP169" s="33">
        <f>IF(OR(A169="",V169&lt;&gt;""),"",(TODAY()-B169)+ROW()/1000000)</f>
        <v/>
      </c>
    </row>
    <row r="170" ht="27" customHeight="1">
      <c r="A170" s="30" t="n"/>
      <c r="B170" s="31" t="n"/>
      <c r="C170" s="32" t="n"/>
      <c r="D170" s="32" t="n"/>
      <c r="E170" s="32" t="n"/>
      <c r="F170" s="32" t="n"/>
      <c r="G170" s="33">
        <f>IF(A170="","",IFERROR(INDEX(OffCat,MATCH(F170,OffList,0)),"Unlisted"))</f>
        <v/>
      </c>
      <c r="H170" s="30" t="n"/>
      <c r="I170" s="31" t="n"/>
      <c r="J170" s="34" t="n"/>
      <c r="K170" s="34" t="n"/>
      <c r="L170" s="34" t="n"/>
      <c r="M170" s="30" t="n"/>
      <c r="N170" s="30" t="n"/>
      <c r="O170" s="30" t="n"/>
      <c r="P170" s="30" t="n"/>
      <c r="Q170" s="31" t="n"/>
      <c r="R170" s="31" t="n"/>
      <c r="S170" s="31" t="n"/>
      <c r="T170" s="31" t="n"/>
      <c r="U170" s="31" t="n"/>
      <c r="V170" s="31" t="n"/>
      <c r="W170" s="30" t="n"/>
      <c r="X170" s="31" t="n"/>
      <c r="Y170" s="35" t="n"/>
      <c r="Z170" s="35" t="n"/>
      <c r="AA170" s="35" t="n"/>
      <c r="AB170" s="35" t="n"/>
      <c r="AC170" s="35" t="n"/>
      <c r="AD170" s="35" t="n"/>
      <c r="AE170" s="35" t="n"/>
      <c r="AF170" s="35" t="n"/>
      <c r="AG170" s="36">
        <f>IF(A170="","",IF(V170&lt;&gt;"",V170-B170,TODAY()-B170))</f>
        <v/>
      </c>
      <c r="AH170" s="36">
        <f>IF(OR(A170="",I170=""),"",MAX(0,IF(V170&lt;&gt;"",V170-I170,TODAY()-I170)))</f>
        <v/>
      </c>
      <c r="AI170" s="37">
        <f>IF(A170="","",IF(OR(K170="Closed",V170&lt;&gt;""),"Closed",IF(AH170&gt;=AgeCrit,"Critical",IF(AH170&gt;=AgeFu,"For Follow-up",IF(AH170&gt;=AgeMonitor,"Monitor","Within Standard")))))</f>
        <v/>
      </c>
      <c r="AJ170" s="38">
        <f>IF(A170="","",IFERROR(INDEX(StgPct,MATCH(H170,StgList,0)),0))</f>
        <v/>
      </c>
      <c r="AK170" s="38">
        <f>IF(A170="","",IFERROR(COUNTIF(Y170:AF170,"Y")/(COUNTIF(Y170:AF170,"Y")+COUNTIF(Y170:AF170,"N")),0))</f>
        <v/>
      </c>
      <c r="AL170" s="36">
        <f>IF(OR(A170="",X170=""),"",MAX(0,IF(V170&lt;&gt;"",V170,TODAY())-X170))</f>
        <v/>
      </c>
      <c r="AM170" s="32" t="n"/>
      <c r="AN170" s="33">
        <f>IF(A170="","",LOWER(AI170)&amp;"|"&amp;AH170&amp;"|"&amp;AJ170&amp;"|"&amp;AK170)</f>
        <v/>
      </c>
      <c r="AO170" s="33">
        <f>IF(OR(A170="",T170=""),"",T170-TODAY())</f>
        <v/>
      </c>
      <c r="AP170" s="33">
        <f>IF(OR(A170="",V170&lt;&gt;""),"",(TODAY()-B170)+ROW()/1000000)</f>
        <v/>
      </c>
    </row>
    <row r="171" ht="27" customHeight="1">
      <c r="A171" s="30" t="n"/>
      <c r="B171" s="31" t="n"/>
      <c r="C171" s="32" t="n"/>
      <c r="D171" s="32" t="n"/>
      <c r="E171" s="32" t="n"/>
      <c r="F171" s="32" t="n"/>
      <c r="G171" s="33">
        <f>IF(A171="","",IFERROR(INDEX(OffCat,MATCH(F171,OffList,0)),"Unlisted"))</f>
        <v/>
      </c>
      <c r="H171" s="30" t="n"/>
      <c r="I171" s="31" t="n"/>
      <c r="J171" s="34" t="n"/>
      <c r="K171" s="34" t="n"/>
      <c r="L171" s="34" t="n"/>
      <c r="M171" s="30" t="n"/>
      <c r="N171" s="30" t="n"/>
      <c r="O171" s="30" t="n"/>
      <c r="P171" s="30" t="n"/>
      <c r="Q171" s="31" t="n"/>
      <c r="R171" s="31" t="n"/>
      <c r="S171" s="31" t="n"/>
      <c r="T171" s="31" t="n"/>
      <c r="U171" s="31" t="n"/>
      <c r="V171" s="31" t="n"/>
      <c r="W171" s="30" t="n"/>
      <c r="X171" s="31" t="n"/>
      <c r="Y171" s="35" t="n"/>
      <c r="Z171" s="35" t="n"/>
      <c r="AA171" s="35" t="n"/>
      <c r="AB171" s="35" t="n"/>
      <c r="AC171" s="35" t="n"/>
      <c r="AD171" s="35" t="n"/>
      <c r="AE171" s="35" t="n"/>
      <c r="AF171" s="35" t="n"/>
      <c r="AG171" s="36">
        <f>IF(A171="","",IF(V171&lt;&gt;"",V171-B171,TODAY()-B171))</f>
        <v/>
      </c>
      <c r="AH171" s="36">
        <f>IF(OR(A171="",I171=""),"",MAX(0,IF(V171&lt;&gt;"",V171-I171,TODAY()-I171)))</f>
        <v/>
      </c>
      <c r="AI171" s="37">
        <f>IF(A171="","",IF(OR(K171="Closed",V171&lt;&gt;""),"Closed",IF(AH171&gt;=AgeCrit,"Critical",IF(AH171&gt;=AgeFu,"For Follow-up",IF(AH171&gt;=AgeMonitor,"Monitor","Within Standard")))))</f>
        <v/>
      </c>
      <c r="AJ171" s="38">
        <f>IF(A171="","",IFERROR(INDEX(StgPct,MATCH(H171,StgList,0)),0))</f>
        <v/>
      </c>
      <c r="AK171" s="38">
        <f>IF(A171="","",IFERROR(COUNTIF(Y171:AF171,"Y")/(COUNTIF(Y171:AF171,"Y")+COUNTIF(Y171:AF171,"N")),0))</f>
        <v/>
      </c>
      <c r="AL171" s="36">
        <f>IF(OR(A171="",X171=""),"",MAX(0,IF(V171&lt;&gt;"",V171,TODAY())-X171))</f>
        <v/>
      </c>
      <c r="AM171" s="32" t="n"/>
      <c r="AN171" s="33">
        <f>IF(A171="","",LOWER(AI171)&amp;"|"&amp;AH171&amp;"|"&amp;AJ171&amp;"|"&amp;AK171)</f>
        <v/>
      </c>
      <c r="AO171" s="33">
        <f>IF(OR(A171="",T171=""),"",T171-TODAY())</f>
        <v/>
      </c>
      <c r="AP171" s="33">
        <f>IF(OR(A171="",V171&lt;&gt;""),"",(TODAY()-B171)+ROW()/1000000)</f>
        <v/>
      </c>
    </row>
    <row r="172" ht="27" customHeight="1">
      <c r="A172" s="30" t="n"/>
      <c r="B172" s="31" t="n"/>
      <c r="C172" s="32" t="n"/>
      <c r="D172" s="32" t="n"/>
      <c r="E172" s="32" t="n"/>
      <c r="F172" s="32" t="n"/>
      <c r="G172" s="33">
        <f>IF(A172="","",IFERROR(INDEX(OffCat,MATCH(F172,OffList,0)),"Unlisted"))</f>
        <v/>
      </c>
      <c r="H172" s="30" t="n"/>
      <c r="I172" s="31" t="n"/>
      <c r="J172" s="34" t="n"/>
      <c r="K172" s="34" t="n"/>
      <c r="L172" s="34" t="n"/>
      <c r="M172" s="30" t="n"/>
      <c r="N172" s="30" t="n"/>
      <c r="O172" s="30" t="n"/>
      <c r="P172" s="30" t="n"/>
      <c r="Q172" s="31" t="n"/>
      <c r="R172" s="31" t="n"/>
      <c r="S172" s="31" t="n"/>
      <c r="T172" s="31" t="n"/>
      <c r="U172" s="31" t="n"/>
      <c r="V172" s="31" t="n"/>
      <c r="W172" s="30" t="n"/>
      <c r="X172" s="31" t="n"/>
      <c r="Y172" s="35" t="n"/>
      <c r="Z172" s="35" t="n"/>
      <c r="AA172" s="35" t="n"/>
      <c r="AB172" s="35" t="n"/>
      <c r="AC172" s="35" t="n"/>
      <c r="AD172" s="35" t="n"/>
      <c r="AE172" s="35" t="n"/>
      <c r="AF172" s="35" t="n"/>
      <c r="AG172" s="36">
        <f>IF(A172="","",IF(V172&lt;&gt;"",V172-B172,TODAY()-B172))</f>
        <v/>
      </c>
      <c r="AH172" s="36">
        <f>IF(OR(A172="",I172=""),"",MAX(0,IF(V172&lt;&gt;"",V172-I172,TODAY()-I172)))</f>
        <v/>
      </c>
      <c r="AI172" s="37">
        <f>IF(A172="","",IF(OR(K172="Closed",V172&lt;&gt;""),"Closed",IF(AH172&gt;=AgeCrit,"Critical",IF(AH172&gt;=AgeFu,"For Follow-up",IF(AH172&gt;=AgeMonitor,"Monitor","Within Standard")))))</f>
        <v/>
      </c>
      <c r="AJ172" s="38">
        <f>IF(A172="","",IFERROR(INDEX(StgPct,MATCH(H172,StgList,0)),0))</f>
        <v/>
      </c>
      <c r="AK172" s="38">
        <f>IF(A172="","",IFERROR(COUNTIF(Y172:AF172,"Y")/(COUNTIF(Y172:AF172,"Y")+COUNTIF(Y172:AF172,"N")),0))</f>
        <v/>
      </c>
      <c r="AL172" s="36">
        <f>IF(OR(A172="",X172=""),"",MAX(0,IF(V172&lt;&gt;"",V172,TODAY())-X172))</f>
        <v/>
      </c>
      <c r="AM172" s="32" t="n"/>
      <c r="AN172" s="33">
        <f>IF(A172="","",LOWER(AI172)&amp;"|"&amp;AH172&amp;"|"&amp;AJ172&amp;"|"&amp;AK172)</f>
        <v/>
      </c>
      <c r="AO172" s="33">
        <f>IF(OR(A172="",T172=""),"",T172-TODAY())</f>
        <v/>
      </c>
      <c r="AP172" s="33">
        <f>IF(OR(A172="",V172&lt;&gt;""),"",(TODAY()-B172)+ROW()/1000000)</f>
        <v/>
      </c>
    </row>
    <row r="173" ht="27" customHeight="1">
      <c r="A173" s="30" t="n"/>
      <c r="B173" s="31" t="n"/>
      <c r="C173" s="32" t="n"/>
      <c r="D173" s="32" t="n"/>
      <c r="E173" s="32" t="n"/>
      <c r="F173" s="32" t="n"/>
      <c r="G173" s="33">
        <f>IF(A173="","",IFERROR(INDEX(OffCat,MATCH(F173,OffList,0)),"Unlisted"))</f>
        <v/>
      </c>
      <c r="H173" s="30" t="n"/>
      <c r="I173" s="31" t="n"/>
      <c r="J173" s="34" t="n"/>
      <c r="K173" s="34" t="n"/>
      <c r="L173" s="34" t="n"/>
      <c r="M173" s="30" t="n"/>
      <c r="N173" s="30" t="n"/>
      <c r="O173" s="30" t="n"/>
      <c r="P173" s="30" t="n"/>
      <c r="Q173" s="31" t="n"/>
      <c r="R173" s="31" t="n"/>
      <c r="S173" s="31" t="n"/>
      <c r="T173" s="31" t="n"/>
      <c r="U173" s="31" t="n"/>
      <c r="V173" s="31" t="n"/>
      <c r="W173" s="30" t="n"/>
      <c r="X173" s="31" t="n"/>
      <c r="Y173" s="35" t="n"/>
      <c r="Z173" s="35" t="n"/>
      <c r="AA173" s="35" t="n"/>
      <c r="AB173" s="35" t="n"/>
      <c r="AC173" s="35" t="n"/>
      <c r="AD173" s="35" t="n"/>
      <c r="AE173" s="35" t="n"/>
      <c r="AF173" s="35" t="n"/>
      <c r="AG173" s="36">
        <f>IF(A173="","",IF(V173&lt;&gt;"",V173-B173,TODAY()-B173))</f>
        <v/>
      </c>
      <c r="AH173" s="36">
        <f>IF(OR(A173="",I173=""),"",MAX(0,IF(V173&lt;&gt;"",V173-I173,TODAY()-I173)))</f>
        <v/>
      </c>
      <c r="AI173" s="37">
        <f>IF(A173="","",IF(OR(K173="Closed",V173&lt;&gt;""),"Closed",IF(AH173&gt;=AgeCrit,"Critical",IF(AH173&gt;=AgeFu,"For Follow-up",IF(AH173&gt;=AgeMonitor,"Monitor","Within Standard")))))</f>
        <v/>
      </c>
      <c r="AJ173" s="38">
        <f>IF(A173="","",IFERROR(INDEX(StgPct,MATCH(H173,StgList,0)),0))</f>
        <v/>
      </c>
      <c r="AK173" s="38">
        <f>IF(A173="","",IFERROR(COUNTIF(Y173:AF173,"Y")/(COUNTIF(Y173:AF173,"Y")+COUNTIF(Y173:AF173,"N")),0))</f>
        <v/>
      </c>
      <c r="AL173" s="36">
        <f>IF(OR(A173="",X173=""),"",MAX(0,IF(V173&lt;&gt;"",V173,TODAY())-X173))</f>
        <v/>
      </c>
      <c r="AM173" s="32" t="n"/>
      <c r="AN173" s="33">
        <f>IF(A173="","",LOWER(AI173)&amp;"|"&amp;AH173&amp;"|"&amp;AJ173&amp;"|"&amp;AK173)</f>
        <v/>
      </c>
      <c r="AO173" s="33">
        <f>IF(OR(A173="",T173=""),"",T173-TODAY())</f>
        <v/>
      </c>
      <c r="AP173" s="33">
        <f>IF(OR(A173="",V173&lt;&gt;""),"",(TODAY()-B173)+ROW()/1000000)</f>
        <v/>
      </c>
    </row>
    <row r="174" ht="27" customHeight="1">
      <c r="A174" s="30" t="n"/>
      <c r="B174" s="31" t="n"/>
      <c r="C174" s="32" t="n"/>
      <c r="D174" s="32" t="n"/>
      <c r="E174" s="32" t="n"/>
      <c r="F174" s="32" t="n"/>
      <c r="G174" s="33">
        <f>IF(A174="","",IFERROR(INDEX(OffCat,MATCH(F174,OffList,0)),"Unlisted"))</f>
        <v/>
      </c>
      <c r="H174" s="30" t="n"/>
      <c r="I174" s="31" t="n"/>
      <c r="J174" s="34" t="n"/>
      <c r="K174" s="34" t="n"/>
      <c r="L174" s="34" t="n"/>
      <c r="M174" s="30" t="n"/>
      <c r="N174" s="30" t="n"/>
      <c r="O174" s="30" t="n"/>
      <c r="P174" s="30" t="n"/>
      <c r="Q174" s="31" t="n"/>
      <c r="R174" s="31" t="n"/>
      <c r="S174" s="31" t="n"/>
      <c r="T174" s="31" t="n"/>
      <c r="U174" s="31" t="n"/>
      <c r="V174" s="31" t="n"/>
      <c r="W174" s="30" t="n"/>
      <c r="X174" s="31" t="n"/>
      <c r="Y174" s="35" t="n"/>
      <c r="Z174" s="35" t="n"/>
      <c r="AA174" s="35" t="n"/>
      <c r="AB174" s="35" t="n"/>
      <c r="AC174" s="35" t="n"/>
      <c r="AD174" s="35" t="n"/>
      <c r="AE174" s="35" t="n"/>
      <c r="AF174" s="35" t="n"/>
      <c r="AG174" s="36">
        <f>IF(A174="","",IF(V174&lt;&gt;"",V174-B174,TODAY()-B174))</f>
        <v/>
      </c>
      <c r="AH174" s="36">
        <f>IF(OR(A174="",I174=""),"",MAX(0,IF(V174&lt;&gt;"",V174-I174,TODAY()-I174)))</f>
        <v/>
      </c>
      <c r="AI174" s="37">
        <f>IF(A174="","",IF(OR(K174="Closed",V174&lt;&gt;""),"Closed",IF(AH174&gt;=AgeCrit,"Critical",IF(AH174&gt;=AgeFu,"For Follow-up",IF(AH174&gt;=AgeMonitor,"Monitor","Within Standard")))))</f>
        <v/>
      </c>
      <c r="AJ174" s="38">
        <f>IF(A174="","",IFERROR(INDEX(StgPct,MATCH(H174,StgList,0)),0))</f>
        <v/>
      </c>
      <c r="AK174" s="38">
        <f>IF(A174="","",IFERROR(COUNTIF(Y174:AF174,"Y")/(COUNTIF(Y174:AF174,"Y")+COUNTIF(Y174:AF174,"N")),0))</f>
        <v/>
      </c>
      <c r="AL174" s="36">
        <f>IF(OR(A174="",X174=""),"",MAX(0,IF(V174&lt;&gt;"",V174,TODAY())-X174))</f>
        <v/>
      </c>
      <c r="AM174" s="32" t="n"/>
      <c r="AN174" s="33">
        <f>IF(A174="","",LOWER(AI174)&amp;"|"&amp;AH174&amp;"|"&amp;AJ174&amp;"|"&amp;AK174)</f>
        <v/>
      </c>
      <c r="AO174" s="33">
        <f>IF(OR(A174="",T174=""),"",T174-TODAY())</f>
        <v/>
      </c>
      <c r="AP174" s="33">
        <f>IF(OR(A174="",V174&lt;&gt;""),"",(TODAY()-B174)+ROW()/1000000)</f>
        <v/>
      </c>
    </row>
    <row r="175" ht="27" customHeight="1">
      <c r="A175" s="30" t="n"/>
      <c r="B175" s="31" t="n"/>
      <c r="C175" s="32" t="n"/>
      <c r="D175" s="32" t="n"/>
      <c r="E175" s="32" t="n"/>
      <c r="F175" s="32" t="n"/>
      <c r="G175" s="33">
        <f>IF(A175="","",IFERROR(INDEX(OffCat,MATCH(F175,OffList,0)),"Unlisted"))</f>
        <v/>
      </c>
      <c r="H175" s="30" t="n"/>
      <c r="I175" s="31" t="n"/>
      <c r="J175" s="34" t="n"/>
      <c r="K175" s="34" t="n"/>
      <c r="L175" s="34" t="n"/>
      <c r="M175" s="30" t="n"/>
      <c r="N175" s="30" t="n"/>
      <c r="O175" s="30" t="n"/>
      <c r="P175" s="30" t="n"/>
      <c r="Q175" s="31" t="n"/>
      <c r="R175" s="31" t="n"/>
      <c r="S175" s="31" t="n"/>
      <c r="T175" s="31" t="n"/>
      <c r="U175" s="31" t="n"/>
      <c r="V175" s="31" t="n"/>
      <c r="W175" s="30" t="n"/>
      <c r="X175" s="31" t="n"/>
      <c r="Y175" s="35" t="n"/>
      <c r="Z175" s="35" t="n"/>
      <c r="AA175" s="35" t="n"/>
      <c r="AB175" s="35" t="n"/>
      <c r="AC175" s="35" t="n"/>
      <c r="AD175" s="35" t="n"/>
      <c r="AE175" s="35" t="n"/>
      <c r="AF175" s="35" t="n"/>
      <c r="AG175" s="36">
        <f>IF(A175="","",IF(V175&lt;&gt;"",V175-B175,TODAY()-B175))</f>
        <v/>
      </c>
      <c r="AH175" s="36">
        <f>IF(OR(A175="",I175=""),"",MAX(0,IF(V175&lt;&gt;"",V175-I175,TODAY()-I175)))</f>
        <v/>
      </c>
      <c r="AI175" s="37">
        <f>IF(A175="","",IF(OR(K175="Closed",V175&lt;&gt;""),"Closed",IF(AH175&gt;=AgeCrit,"Critical",IF(AH175&gt;=AgeFu,"For Follow-up",IF(AH175&gt;=AgeMonitor,"Monitor","Within Standard")))))</f>
        <v/>
      </c>
      <c r="AJ175" s="38">
        <f>IF(A175="","",IFERROR(INDEX(StgPct,MATCH(H175,StgList,0)),0))</f>
        <v/>
      </c>
      <c r="AK175" s="38">
        <f>IF(A175="","",IFERROR(COUNTIF(Y175:AF175,"Y")/(COUNTIF(Y175:AF175,"Y")+COUNTIF(Y175:AF175,"N")),0))</f>
        <v/>
      </c>
      <c r="AL175" s="36">
        <f>IF(OR(A175="",X175=""),"",MAX(0,IF(V175&lt;&gt;"",V175,TODAY())-X175))</f>
        <v/>
      </c>
      <c r="AM175" s="32" t="n"/>
      <c r="AN175" s="33">
        <f>IF(A175="","",LOWER(AI175)&amp;"|"&amp;AH175&amp;"|"&amp;AJ175&amp;"|"&amp;AK175)</f>
        <v/>
      </c>
      <c r="AO175" s="33">
        <f>IF(OR(A175="",T175=""),"",T175-TODAY())</f>
        <v/>
      </c>
      <c r="AP175" s="33">
        <f>IF(OR(A175="",V175&lt;&gt;""),"",(TODAY()-B175)+ROW()/1000000)</f>
        <v/>
      </c>
    </row>
    <row r="176" ht="27" customHeight="1">
      <c r="A176" s="30" t="n"/>
      <c r="B176" s="31" t="n"/>
      <c r="C176" s="32" t="n"/>
      <c r="D176" s="32" t="n"/>
      <c r="E176" s="32" t="n"/>
      <c r="F176" s="32" t="n"/>
      <c r="G176" s="33">
        <f>IF(A176="","",IFERROR(INDEX(OffCat,MATCH(F176,OffList,0)),"Unlisted"))</f>
        <v/>
      </c>
      <c r="H176" s="30" t="n"/>
      <c r="I176" s="31" t="n"/>
      <c r="J176" s="34" t="n"/>
      <c r="K176" s="34" t="n"/>
      <c r="L176" s="34" t="n"/>
      <c r="M176" s="30" t="n"/>
      <c r="N176" s="30" t="n"/>
      <c r="O176" s="30" t="n"/>
      <c r="P176" s="30" t="n"/>
      <c r="Q176" s="31" t="n"/>
      <c r="R176" s="31" t="n"/>
      <c r="S176" s="31" t="n"/>
      <c r="T176" s="31" t="n"/>
      <c r="U176" s="31" t="n"/>
      <c r="V176" s="31" t="n"/>
      <c r="W176" s="30" t="n"/>
      <c r="X176" s="31" t="n"/>
      <c r="Y176" s="35" t="n"/>
      <c r="Z176" s="35" t="n"/>
      <c r="AA176" s="35" t="n"/>
      <c r="AB176" s="35" t="n"/>
      <c r="AC176" s="35" t="n"/>
      <c r="AD176" s="35" t="n"/>
      <c r="AE176" s="35" t="n"/>
      <c r="AF176" s="35" t="n"/>
      <c r="AG176" s="36">
        <f>IF(A176="","",IF(V176&lt;&gt;"",V176-B176,TODAY()-B176))</f>
        <v/>
      </c>
      <c r="AH176" s="36">
        <f>IF(OR(A176="",I176=""),"",MAX(0,IF(V176&lt;&gt;"",V176-I176,TODAY()-I176)))</f>
        <v/>
      </c>
      <c r="AI176" s="37">
        <f>IF(A176="","",IF(OR(K176="Closed",V176&lt;&gt;""),"Closed",IF(AH176&gt;=AgeCrit,"Critical",IF(AH176&gt;=AgeFu,"For Follow-up",IF(AH176&gt;=AgeMonitor,"Monitor","Within Standard")))))</f>
        <v/>
      </c>
      <c r="AJ176" s="38">
        <f>IF(A176="","",IFERROR(INDEX(StgPct,MATCH(H176,StgList,0)),0))</f>
        <v/>
      </c>
      <c r="AK176" s="38">
        <f>IF(A176="","",IFERROR(COUNTIF(Y176:AF176,"Y")/(COUNTIF(Y176:AF176,"Y")+COUNTIF(Y176:AF176,"N")),0))</f>
        <v/>
      </c>
      <c r="AL176" s="36">
        <f>IF(OR(A176="",X176=""),"",MAX(0,IF(V176&lt;&gt;"",V176,TODAY())-X176))</f>
        <v/>
      </c>
      <c r="AM176" s="32" t="n"/>
      <c r="AN176" s="33">
        <f>IF(A176="","",LOWER(AI176)&amp;"|"&amp;AH176&amp;"|"&amp;AJ176&amp;"|"&amp;AK176)</f>
        <v/>
      </c>
      <c r="AO176" s="33">
        <f>IF(OR(A176="",T176=""),"",T176-TODAY())</f>
        <v/>
      </c>
      <c r="AP176" s="33">
        <f>IF(OR(A176="",V176&lt;&gt;""),"",(TODAY()-B176)+ROW()/1000000)</f>
        <v/>
      </c>
    </row>
    <row r="177" ht="27" customHeight="1">
      <c r="A177" s="30" t="n"/>
      <c r="B177" s="31" t="n"/>
      <c r="C177" s="32" t="n"/>
      <c r="D177" s="32" t="n"/>
      <c r="E177" s="32" t="n"/>
      <c r="F177" s="32" t="n"/>
      <c r="G177" s="33">
        <f>IF(A177="","",IFERROR(INDEX(OffCat,MATCH(F177,OffList,0)),"Unlisted"))</f>
        <v/>
      </c>
      <c r="H177" s="30" t="n"/>
      <c r="I177" s="31" t="n"/>
      <c r="J177" s="34" t="n"/>
      <c r="K177" s="34" t="n"/>
      <c r="L177" s="34" t="n"/>
      <c r="M177" s="30" t="n"/>
      <c r="N177" s="30" t="n"/>
      <c r="O177" s="30" t="n"/>
      <c r="P177" s="30" t="n"/>
      <c r="Q177" s="31" t="n"/>
      <c r="R177" s="31" t="n"/>
      <c r="S177" s="31" t="n"/>
      <c r="T177" s="31" t="n"/>
      <c r="U177" s="31" t="n"/>
      <c r="V177" s="31" t="n"/>
      <c r="W177" s="30" t="n"/>
      <c r="X177" s="31" t="n"/>
      <c r="Y177" s="35" t="n"/>
      <c r="Z177" s="35" t="n"/>
      <c r="AA177" s="35" t="n"/>
      <c r="AB177" s="35" t="n"/>
      <c r="AC177" s="35" t="n"/>
      <c r="AD177" s="35" t="n"/>
      <c r="AE177" s="35" t="n"/>
      <c r="AF177" s="35" t="n"/>
      <c r="AG177" s="36">
        <f>IF(A177="","",IF(V177&lt;&gt;"",V177-B177,TODAY()-B177))</f>
        <v/>
      </c>
      <c r="AH177" s="36">
        <f>IF(OR(A177="",I177=""),"",MAX(0,IF(V177&lt;&gt;"",V177-I177,TODAY()-I177)))</f>
        <v/>
      </c>
      <c r="AI177" s="37">
        <f>IF(A177="","",IF(OR(K177="Closed",V177&lt;&gt;""),"Closed",IF(AH177&gt;=AgeCrit,"Critical",IF(AH177&gt;=AgeFu,"For Follow-up",IF(AH177&gt;=AgeMonitor,"Monitor","Within Standard")))))</f>
        <v/>
      </c>
      <c r="AJ177" s="38">
        <f>IF(A177="","",IFERROR(INDEX(StgPct,MATCH(H177,StgList,0)),0))</f>
        <v/>
      </c>
      <c r="AK177" s="38">
        <f>IF(A177="","",IFERROR(COUNTIF(Y177:AF177,"Y")/(COUNTIF(Y177:AF177,"Y")+COUNTIF(Y177:AF177,"N")),0))</f>
        <v/>
      </c>
      <c r="AL177" s="36">
        <f>IF(OR(A177="",X177=""),"",MAX(0,IF(V177&lt;&gt;"",V177,TODAY())-X177))</f>
        <v/>
      </c>
      <c r="AM177" s="32" t="n"/>
      <c r="AN177" s="33">
        <f>IF(A177="","",LOWER(AI177)&amp;"|"&amp;AH177&amp;"|"&amp;AJ177&amp;"|"&amp;AK177)</f>
        <v/>
      </c>
      <c r="AO177" s="33">
        <f>IF(OR(A177="",T177=""),"",T177-TODAY())</f>
        <v/>
      </c>
      <c r="AP177" s="33">
        <f>IF(OR(A177="",V177&lt;&gt;""),"",(TODAY()-B177)+ROW()/1000000)</f>
        <v/>
      </c>
    </row>
    <row r="178" ht="27" customHeight="1">
      <c r="A178" s="30" t="n"/>
      <c r="B178" s="31" t="n"/>
      <c r="C178" s="32" t="n"/>
      <c r="D178" s="32" t="n"/>
      <c r="E178" s="32" t="n"/>
      <c r="F178" s="32" t="n"/>
      <c r="G178" s="33">
        <f>IF(A178="","",IFERROR(INDEX(OffCat,MATCH(F178,OffList,0)),"Unlisted"))</f>
        <v/>
      </c>
      <c r="H178" s="30" t="n"/>
      <c r="I178" s="31" t="n"/>
      <c r="J178" s="34" t="n"/>
      <c r="K178" s="34" t="n"/>
      <c r="L178" s="34" t="n"/>
      <c r="M178" s="30" t="n"/>
      <c r="N178" s="30" t="n"/>
      <c r="O178" s="30" t="n"/>
      <c r="P178" s="30" t="n"/>
      <c r="Q178" s="31" t="n"/>
      <c r="R178" s="31" t="n"/>
      <c r="S178" s="31" t="n"/>
      <c r="T178" s="31" t="n"/>
      <c r="U178" s="31" t="n"/>
      <c r="V178" s="31" t="n"/>
      <c r="W178" s="30" t="n"/>
      <c r="X178" s="31" t="n"/>
      <c r="Y178" s="35" t="n"/>
      <c r="Z178" s="35" t="n"/>
      <c r="AA178" s="35" t="n"/>
      <c r="AB178" s="35" t="n"/>
      <c r="AC178" s="35" t="n"/>
      <c r="AD178" s="35" t="n"/>
      <c r="AE178" s="35" t="n"/>
      <c r="AF178" s="35" t="n"/>
      <c r="AG178" s="36">
        <f>IF(A178="","",IF(V178&lt;&gt;"",V178-B178,TODAY()-B178))</f>
        <v/>
      </c>
      <c r="AH178" s="36">
        <f>IF(OR(A178="",I178=""),"",MAX(0,IF(V178&lt;&gt;"",V178-I178,TODAY()-I178)))</f>
        <v/>
      </c>
      <c r="AI178" s="37">
        <f>IF(A178="","",IF(OR(K178="Closed",V178&lt;&gt;""),"Closed",IF(AH178&gt;=AgeCrit,"Critical",IF(AH178&gt;=AgeFu,"For Follow-up",IF(AH178&gt;=AgeMonitor,"Monitor","Within Standard")))))</f>
        <v/>
      </c>
      <c r="AJ178" s="38">
        <f>IF(A178="","",IFERROR(INDEX(StgPct,MATCH(H178,StgList,0)),0))</f>
        <v/>
      </c>
      <c r="AK178" s="38">
        <f>IF(A178="","",IFERROR(COUNTIF(Y178:AF178,"Y")/(COUNTIF(Y178:AF178,"Y")+COUNTIF(Y178:AF178,"N")),0))</f>
        <v/>
      </c>
      <c r="AL178" s="36">
        <f>IF(OR(A178="",X178=""),"",MAX(0,IF(V178&lt;&gt;"",V178,TODAY())-X178))</f>
        <v/>
      </c>
      <c r="AM178" s="32" t="n"/>
      <c r="AN178" s="33">
        <f>IF(A178="","",LOWER(AI178)&amp;"|"&amp;AH178&amp;"|"&amp;AJ178&amp;"|"&amp;AK178)</f>
        <v/>
      </c>
      <c r="AO178" s="33">
        <f>IF(OR(A178="",T178=""),"",T178-TODAY())</f>
        <v/>
      </c>
      <c r="AP178" s="33">
        <f>IF(OR(A178="",V178&lt;&gt;""),"",(TODAY()-B178)+ROW()/1000000)</f>
        <v/>
      </c>
    </row>
    <row r="179" ht="27" customHeight="1">
      <c r="A179" s="30" t="n"/>
      <c r="B179" s="31" t="n"/>
      <c r="C179" s="32" t="n"/>
      <c r="D179" s="32" t="n"/>
      <c r="E179" s="32" t="n"/>
      <c r="F179" s="32" t="n"/>
      <c r="G179" s="33">
        <f>IF(A179="","",IFERROR(INDEX(OffCat,MATCH(F179,OffList,0)),"Unlisted"))</f>
        <v/>
      </c>
      <c r="H179" s="30" t="n"/>
      <c r="I179" s="31" t="n"/>
      <c r="J179" s="34" t="n"/>
      <c r="K179" s="34" t="n"/>
      <c r="L179" s="34" t="n"/>
      <c r="M179" s="30" t="n"/>
      <c r="N179" s="30" t="n"/>
      <c r="O179" s="30" t="n"/>
      <c r="P179" s="30" t="n"/>
      <c r="Q179" s="31" t="n"/>
      <c r="R179" s="31" t="n"/>
      <c r="S179" s="31" t="n"/>
      <c r="T179" s="31" t="n"/>
      <c r="U179" s="31" t="n"/>
      <c r="V179" s="31" t="n"/>
      <c r="W179" s="30" t="n"/>
      <c r="X179" s="31" t="n"/>
      <c r="Y179" s="35" t="n"/>
      <c r="Z179" s="35" t="n"/>
      <c r="AA179" s="35" t="n"/>
      <c r="AB179" s="35" t="n"/>
      <c r="AC179" s="35" t="n"/>
      <c r="AD179" s="35" t="n"/>
      <c r="AE179" s="35" t="n"/>
      <c r="AF179" s="35" t="n"/>
      <c r="AG179" s="36">
        <f>IF(A179="","",IF(V179&lt;&gt;"",V179-B179,TODAY()-B179))</f>
        <v/>
      </c>
      <c r="AH179" s="36">
        <f>IF(OR(A179="",I179=""),"",MAX(0,IF(V179&lt;&gt;"",V179-I179,TODAY()-I179)))</f>
        <v/>
      </c>
      <c r="AI179" s="37">
        <f>IF(A179="","",IF(OR(K179="Closed",V179&lt;&gt;""),"Closed",IF(AH179&gt;=AgeCrit,"Critical",IF(AH179&gt;=AgeFu,"For Follow-up",IF(AH179&gt;=AgeMonitor,"Monitor","Within Standard")))))</f>
        <v/>
      </c>
      <c r="AJ179" s="38">
        <f>IF(A179="","",IFERROR(INDEX(StgPct,MATCH(H179,StgList,0)),0))</f>
        <v/>
      </c>
      <c r="AK179" s="38">
        <f>IF(A179="","",IFERROR(COUNTIF(Y179:AF179,"Y")/(COUNTIF(Y179:AF179,"Y")+COUNTIF(Y179:AF179,"N")),0))</f>
        <v/>
      </c>
      <c r="AL179" s="36">
        <f>IF(OR(A179="",X179=""),"",MAX(0,IF(V179&lt;&gt;"",V179,TODAY())-X179))</f>
        <v/>
      </c>
      <c r="AM179" s="32" t="n"/>
      <c r="AN179" s="33">
        <f>IF(A179="","",LOWER(AI179)&amp;"|"&amp;AH179&amp;"|"&amp;AJ179&amp;"|"&amp;AK179)</f>
        <v/>
      </c>
      <c r="AO179" s="33">
        <f>IF(OR(A179="",T179=""),"",T179-TODAY())</f>
        <v/>
      </c>
      <c r="AP179" s="33">
        <f>IF(OR(A179="",V179&lt;&gt;""),"",(TODAY()-B179)+ROW()/1000000)</f>
        <v/>
      </c>
    </row>
    <row r="180" ht="27" customHeight="1">
      <c r="A180" s="30" t="n"/>
      <c r="B180" s="31" t="n"/>
      <c r="C180" s="32" t="n"/>
      <c r="D180" s="32" t="n"/>
      <c r="E180" s="32" t="n"/>
      <c r="F180" s="32" t="n"/>
      <c r="G180" s="33">
        <f>IF(A180="","",IFERROR(INDEX(OffCat,MATCH(F180,OffList,0)),"Unlisted"))</f>
        <v/>
      </c>
      <c r="H180" s="30" t="n"/>
      <c r="I180" s="31" t="n"/>
      <c r="J180" s="34" t="n"/>
      <c r="K180" s="34" t="n"/>
      <c r="L180" s="34" t="n"/>
      <c r="M180" s="30" t="n"/>
      <c r="N180" s="30" t="n"/>
      <c r="O180" s="30" t="n"/>
      <c r="P180" s="30" t="n"/>
      <c r="Q180" s="31" t="n"/>
      <c r="R180" s="31" t="n"/>
      <c r="S180" s="31" t="n"/>
      <c r="T180" s="31" t="n"/>
      <c r="U180" s="31" t="n"/>
      <c r="V180" s="31" t="n"/>
      <c r="W180" s="30" t="n"/>
      <c r="X180" s="31" t="n"/>
      <c r="Y180" s="35" t="n"/>
      <c r="Z180" s="35" t="n"/>
      <c r="AA180" s="35" t="n"/>
      <c r="AB180" s="35" t="n"/>
      <c r="AC180" s="35" t="n"/>
      <c r="AD180" s="35" t="n"/>
      <c r="AE180" s="35" t="n"/>
      <c r="AF180" s="35" t="n"/>
      <c r="AG180" s="36">
        <f>IF(A180="","",IF(V180&lt;&gt;"",V180-B180,TODAY()-B180))</f>
        <v/>
      </c>
      <c r="AH180" s="36">
        <f>IF(OR(A180="",I180=""),"",MAX(0,IF(V180&lt;&gt;"",V180-I180,TODAY()-I180)))</f>
        <v/>
      </c>
      <c r="AI180" s="37">
        <f>IF(A180="","",IF(OR(K180="Closed",V180&lt;&gt;""),"Closed",IF(AH180&gt;=AgeCrit,"Critical",IF(AH180&gt;=AgeFu,"For Follow-up",IF(AH180&gt;=AgeMonitor,"Monitor","Within Standard")))))</f>
        <v/>
      </c>
      <c r="AJ180" s="38">
        <f>IF(A180="","",IFERROR(INDEX(StgPct,MATCH(H180,StgList,0)),0))</f>
        <v/>
      </c>
      <c r="AK180" s="38">
        <f>IF(A180="","",IFERROR(COUNTIF(Y180:AF180,"Y")/(COUNTIF(Y180:AF180,"Y")+COUNTIF(Y180:AF180,"N")),0))</f>
        <v/>
      </c>
      <c r="AL180" s="36">
        <f>IF(OR(A180="",X180=""),"",MAX(0,IF(V180&lt;&gt;"",V180,TODAY())-X180))</f>
        <v/>
      </c>
      <c r="AM180" s="32" t="n"/>
      <c r="AN180" s="33">
        <f>IF(A180="","",LOWER(AI180)&amp;"|"&amp;AH180&amp;"|"&amp;AJ180&amp;"|"&amp;AK180)</f>
        <v/>
      </c>
      <c r="AO180" s="33">
        <f>IF(OR(A180="",T180=""),"",T180-TODAY())</f>
        <v/>
      </c>
      <c r="AP180" s="33">
        <f>IF(OR(A180="",V180&lt;&gt;""),"",(TODAY()-B180)+ROW()/1000000)</f>
        <v/>
      </c>
    </row>
    <row r="181" ht="27" customHeight="1">
      <c r="A181" s="30" t="n"/>
      <c r="B181" s="31" t="n"/>
      <c r="C181" s="32" t="n"/>
      <c r="D181" s="32" t="n"/>
      <c r="E181" s="32" t="n"/>
      <c r="F181" s="32" t="n"/>
      <c r="G181" s="33">
        <f>IF(A181="","",IFERROR(INDEX(OffCat,MATCH(F181,OffList,0)),"Unlisted"))</f>
        <v/>
      </c>
      <c r="H181" s="30" t="n"/>
      <c r="I181" s="31" t="n"/>
      <c r="J181" s="34" t="n"/>
      <c r="K181" s="34" t="n"/>
      <c r="L181" s="34" t="n"/>
      <c r="M181" s="30" t="n"/>
      <c r="N181" s="30" t="n"/>
      <c r="O181" s="30" t="n"/>
      <c r="P181" s="30" t="n"/>
      <c r="Q181" s="31" t="n"/>
      <c r="R181" s="31" t="n"/>
      <c r="S181" s="31" t="n"/>
      <c r="T181" s="31" t="n"/>
      <c r="U181" s="31" t="n"/>
      <c r="V181" s="31" t="n"/>
      <c r="W181" s="30" t="n"/>
      <c r="X181" s="31" t="n"/>
      <c r="Y181" s="35" t="n"/>
      <c r="Z181" s="35" t="n"/>
      <c r="AA181" s="35" t="n"/>
      <c r="AB181" s="35" t="n"/>
      <c r="AC181" s="35" t="n"/>
      <c r="AD181" s="35" t="n"/>
      <c r="AE181" s="35" t="n"/>
      <c r="AF181" s="35" t="n"/>
      <c r="AG181" s="36">
        <f>IF(A181="","",IF(V181&lt;&gt;"",V181-B181,TODAY()-B181))</f>
        <v/>
      </c>
      <c r="AH181" s="36">
        <f>IF(OR(A181="",I181=""),"",MAX(0,IF(V181&lt;&gt;"",V181-I181,TODAY()-I181)))</f>
        <v/>
      </c>
      <c r="AI181" s="37">
        <f>IF(A181="","",IF(OR(K181="Closed",V181&lt;&gt;""),"Closed",IF(AH181&gt;=AgeCrit,"Critical",IF(AH181&gt;=AgeFu,"For Follow-up",IF(AH181&gt;=AgeMonitor,"Monitor","Within Standard")))))</f>
        <v/>
      </c>
      <c r="AJ181" s="38">
        <f>IF(A181="","",IFERROR(INDEX(StgPct,MATCH(H181,StgList,0)),0))</f>
        <v/>
      </c>
      <c r="AK181" s="38">
        <f>IF(A181="","",IFERROR(COUNTIF(Y181:AF181,"Y")/(COUNTIF(Y181:AF181,"Y")+COUNTIF(Y181:AF181,"N")),0))</f>
        <v/>
      </c>
      <c r="AL181" s="36">
        <f>IF(OR(A181="",X181=""),"",MAX(0,IF(V181&lt;&gt;"",V181,TODAY())-X181))</f>
        <v/>
      </c>
      <c r="AM181" s="32" t="n"/>
      <c r="AN181" s="33">
        <f>IF(A181="","",LOWER(AI181)&amp;"|"&amp;AH181&amp;"|"&amp;AJ181&amp;"|"&amp;AK181)</f>
        <v/>
      </c>
      <c r="AO181" s="33">
        <f>IF(OR(A181="",T181=""),"",T181-TODAY())</f>
        <v/>
      </c>
      <c r="AP181" s="33">
        <f>IF(OR(A181="",V181&lt;&gt;""),"",(TODAY()-B181)+ROW()/1000000)</f>
        <v/>
      </c>
    </row>
    <row r="182" ht="27" customHeight="1">
      <c r="A182" s="30" t="n"/>
      <c r="B182" s="31" t="n"/>
      <c r="C182" s="32" t="n"/>
      <c r="D182" s="32" t="n"/>
      <c r="E182" s="32" t="n"/>
      <c r="F182" s="32" t="n"/>
      <c r="G182" s="33">
        <f>IF(A182="","",IFERROR(INDEX(OffCat,MATCH(F182,OffList,0)),"Unlisted"))</f>
        <v/>
      </c>
      <c r="H182" s="30" t="n"/>
      <c r="I182" s="31" t="n"/>
      <c r="J182" s="34" t="n"/>
      <c r="K182" s="34" t="n"/>
      <c r="L182" s="34" t="n"/>
      <c r="M182" s="30" t="n"/>
      <c r="N182" s="30" t="n"/>
      <c r="O182" s="30" t="n"/>
      <c r="P182" s="30" t="n"/>
      <c r="Q182" s="31" t="n"/>
      <c r="R182" s="31" t="n"/>
      <c r="S182" s="31" t="n"/>
      <c r="T182" s="31" t="n"/>
      <c r="U182" s="31" t="n"/>
      <c r="V182" s="31" t="n"/>
      <c r="W182" s="30" t="n"/>
      <c r="X182" s="31" t="n"/>
      <c r="Y182" s="35" t="n"/>
      <c r="Z182" s="35" t="n"/>
      <c r="AA182" s="35" t="n"/>
      <c r="AB182" s="35" t="n"/>
      <c r="AC182" s="35" t="n"/>
      <c r="AD182" s="35" t="n"/>
      <c r="AE182" s="35" t="n"/>
      <c r="AF182" s="35" t="n"/>
      <c r="AG182" s="36">
        <f>IF(A182="","",IF(V182&lt;&gt;"",V182-B182,TODAY()-B182))</f>
        <v/>
      </c>
      <c r="AH182" s="36">
        <f>IF(OR(A182="",I182=""),"",MAX(0,IF(V182&lt;&gt;"",V182-I182,TODAY()-I182)))</f>
        <v/>
      </c>
      <c r="AI182" s="37">
        <f>IF(A182="","",IF(OR(K182="Closed",V182&lt;&gt;""),"Closed",IF(AH182&gt;=AgeCrit,"Critical",IF(AH182&gt;=AgeFu,"For Follow-up",IF(AH182&gt;=AgeMonitor,"Monitor","Within Standard")))))</f>
        <v/>
      </c>
      <c r="AJ182" s="38">
        <f>IF(A182="","",IFERROR(INDEX(StgPct,MATCH(H182,StgList,0)),0))</f>
        <v/>
      </c>
      <c r="AK182" s="38">
        <f>IF(A182="","",IFERROR(COUNTIF(Y182:AF182,"Y")/(COUNTIF(Y182:AF182,"Y")+COUNTIF(Y182:AF182,"N")),0))</f>
        <v/>
      </c>
      <c r="AL182" s="36">
        <f>IF(OR(A182="",X182=""),"",MAX(0,IF(V182&lt;&gt;"",V182,TODAY())-X182))</f>
        <v/>
      </c>
      <c r="AM182" s="32" t="n"/>
      <c r="AN182" s="33">
        <f>IF(A182="","",LOWER(AI182)&amp;"|"&amp;AH182&amp;"|"&amp;AJ182&amp;"|"&amp;AK182)</f>
        <v/>
      </c>
      <c r="AO182" s="33">
        <f>IF(OR(A182="",T182=""),"",T182-TODAY())</f>
        <v/>
      </c>
      <c r="AP182" s="33">
        <f>IF(OR(A182="",V182&lt;&gt;""),"",(TODAY()-B182)+ROW()/1000000)</f>
        <v/>
      </c>
    </row>
    <row r="183" ht="27" customHeight="1">
      <c r="A183" s="30" t="n"/>
      <c r="B183" s="31" t="n"/>
      <c r="C183" s="32" t="n"/>
      <c r="D183" s="32" t="n"/>
      <c r="E183" s="32" t="n"/>
      <c r="F183" s="32" t="n"/>
      <c r="G183" s="33">
        <f>IF(A183="","",IFERROR(INDEX(OffCat,MATCH(F183,OffList,0)),"Unlisted"))</f>
        <v/>
      </c>
      <c r="H183" s="30" t="n"/>
      <c r="I183" s="31" t="n"/>
      <c r="J183" s="34" t="n"/>
      <c r="K183" s="34" t="n"/>
      <c r="L183" s="34" t="n"/>
      <c r="M183" s="30" t="n"/>
      <c r="N183" s="30" t="n"/>
      <c r="O183" s="30" t="n"/>
      <c r="P183" s="30" t="n"/>
      <c r="Q183" s="31" t="n"/>
      <c r="R183" s="31" t="n"/>
      <c r="S183" s="31" t="n"/>
      <c r="T183" s="31" t="n"/>
      <c r="U183" s="31" t="n"/>
      <c r="V183" s="31" t="n"/>
      <c r="W183" s="30" t="n"/>
      <c r="X183" s="31" t="n"/>
      <c r="Y183" s="35" t="n"/>
      <c r="Z183" s="35" t="n"/>
      <c r="AA183" s="35" t="n"/>
      <c r="AB183" s="35" t="n"/>
      <c r="AC183" s="35" t="n"/>
      <c r="AD183" s="35" t="n"/>
      <c r="AE183" s="35" t="n"/>
      <c r="AF183" s="35" t="n"/>
      <c r="AG183" s="36">
        <f>IF(A183="","",IF(V183&lt;&gt;"",V183-B183,TODAY()-B183))</f>
        <v/>
      </c>
      <c r="AH183" s="36">
        <f>IF(OR(A183="",I183=""),"",MAX(0,IF(V183&lt;&gt;"",V183-I183,TODAY()-I183)))</f>
        <v/>
      </c>
      <c r="AI183" s="37">
        <f>IF(A183="","",IF(OR(K183="Closed",V183&lt;&gt;""),"Closed",IF(AH183&gt;=AgeCrit,"Critical",IF(AH183&gt;=AgeFu,"For Follow-up",IF(AH183&gt;=AgeMonitor,"Monitor","Within Standard")))))</f>
        <v/>
      </c>
      <c r="AJ183" s="38">
        <f>IF(A183="","",IFERROR(INDEX(StgPct,MATCH(H183,StgList,0)),0))</f>
        <v/>
      </c>
      <c r="AK183" s="38">
        <f>IF(A183="","",IFERROR(COUNTIF(Y183:AF183,"Y")/(COUNTIF(Y183:AF183,"Y")+COUNTIF(Y183:AF183,"N")),0))</f>
        <v/>
      </c>
      <c r="AL183" s="36">
        <f>IF(OR(A183="",X183=""),"",MAX(0,IF(V183&lt;&gt;"",V183,TODAY())-X183))</f>
        <v/>
      </c>
      <c r="AM183" s="32" t="n"/>
      <c r="AN183" s="33">
        <f>IF(A183="","",LOWER(AI183)&amp;"|"&amp;AH183&amp;"|"&amp;AJ183&amp;"|"&amp;AK183)</f>
        <v/>
      </c>
      <c r="AO183" s="33">
        <f>IF(OR(A183="",T183=""),"",T183-TODAY())</f>
        <v/>
      </c>
      <c r="AP183" s="33">
        <f>IF(OR(A183="",V183&lt;&gt;""),"",(TODAY()-B183)+ROW()/1000000)</f>
        <v/>
      </c>
    </row>
    <row r="184" ht="27" customHeight="1">
      <c r="A184" s="30" t="n"/>
      <c r="B184" s="31" t="n"/>
      <c r="C184" s="32" t="n"/>
      <c r="D184" s="32" t="n"/>
      <c r="E184" s="32" t="n"/>
      <c r="F184" s="32" t="n"/>
      <c r="G184" s="33">
        <f>IF(A184="","",IFERROR(INDEX(OffCat,MATCH(F184,OffList,0)),"Unlisted"))</f>
        <v/>
      </c>
      <c r="H184" s="30" t="n"/>
      <c r="I184" s="31" t="n"/>
      <c r="J184" s="34" t="n"/>
      <c r="K184" s="34" t="n"/>
      <c r="L184" s="34" t="n"/>
      <c r="M184" s="30" t="n"/>
      <c r="N184" s="30" t="n"/>
      <c r="O184" s="30" t="n"/>
      <c r="P184" s="30" t="n"/>
      <c r="Q184" s="31" t="n"/>
      <c r="R184" s="31" t="n"/>
      <c r="S184" s="31" t="n"/>
      <c r="T184" s="31" t="n"/>
      <c r="U184" s="31" t="n"/>
      <c r="V184" s="31" t="n"/>
      <c r="W184" s="30" t="n"/>
      <c r="X184" s="31" t="n"/>
      <c r="Y184" s="35" t="n"/>
      <c r="Z184" s="35" t="n"/>
      <c r="AA184" s="35" t="n"/>
      <c r="AB184" s="35" t="n"/>
      <c r="AC184" s="35" t="n"/>
      <c r="AD184" s="35" t="n"/>
      <c r="AE184" s="35" t="n"/>
      <c r="AF184" s="35" t="n"/>
      <c r="AG184" s="36">
        <f>IF(A184="","",IF(V184&lt;&gt;"",V184-B184,TODAY()-B184))</f>
        <v/>
      </c>
      <c r="AH184" s="36">
        <f>IF(OR(A184="",I184=""),"",MAX(0,IF(V184&lt;&gt;"",V184-I184,TODAY()-I184)))</f>
        <v/>
      </c>
      <c r="AI184" s="37">
        <f>IF(A184="","",IF(OR(K184="Closed",V184&lt;&gt;""),"Closed",IF(AH184&gt;=AgeCrit,"Critical",IF(AH184&gt;=AgeFu,"For Follow-up",IF(AH184&gt;=AgeMonitor,"Monitor","Within Standard")))))</f>
        <v/>
      </c>
      <c r="AJ184" s="38">
        <f>IF(A184="","",IFERROR(INDEX(StgPct,MATCH(H184,StgList,0)),0))</f>
        <v/>
      </c>
      <c r="AK184" s="38">
        <f>IF(A184="","",IFERROR(COUNTIF(Y184:AF184,"Y")/(COUNTIF(Y184:AF184,"Y")+COUNTIF(Y184:AF184,"N")),0))</f>
        <v/>
      </c>
      <c r="AL184" s="36">
        <f>IF(OR(A184="",X184=""),"",MAX(0,IF(V184&lt;&gt;"",V184,TODAY())-X184))</f>
        <v/>
      </c>
      <c r="AM184" s="32" t="n"/>
      <c r="AN184" s="33">
        <f>IF(A184="","",LOWER(AI184)&amp;"|"&amp;AH184&amp;"|"&amp;AJ184&amp;"|"&amp;AK184)</f>
        <v/>
      </c>
      <c r="AO184" s="33">
        <f>IF(OR(A184="",T184=""),"",T184-TODAY())</f>
        <v/>
      </c>
      <c r="AP184" s="33">
        <f>IF(OR(A184="",V184&lt;&gt;""),"",(TODAY()-B184)+ROW()/1000000)</f>
        <v/>
      </c>
    </row>
    <row r="185" ht="27" customHeight="1">
      <c r="A185" s="30" t="n"/>
      <c r="B185" s="31" t="n"/>
      <c r="C185" s="32" t="n"/>
      <c r="D185" s="32" t="n"/>
      <c r="E185" s="32" t="n"/>
      <c r="F185" s="32" t="n"/>
      <c r="G185" s="33">
        <f>IF(A185="","",IFERROR(INDEX(OffCat,MATCH(F185,OffList,0)),"Unlisted"))</f>
        <v/>
      </c>
      <c r="H185" s="30" t="n"/>
      <c r="I185" s="31" t="n"/>
      <c r="J185" s="34" t="n"/>
      <c r="K185" s="34" t="n"/>
      <c r="L185" s="34" t="n"/>
      <c r="M185" s="30" t="n"/>
      <c r="N185" s="30" t="n"/>
      <c r="O185" s="30" t="n"/>
      <c r="P185" s="30" t="n"/>
      <c r="Q185" s="31" t="n"/>
      <c r="R185" s="31" t="n"/>
      <c r="S185" s="31" t="n"/>
      <c r="T185" s="31" t="n"/>
      <c r="U185" s="31" t="n"/>
      <c r="V185" s="31" t="n"/>
      <c r="W185" s="30" t="n"/>
      <c r="X185" s="31" t="n"/>
      <c r="Y185" s="35" t="n"/>
      <c r="Z185" s="35" t="n"/>
      <c r="AA185" s="35" t="n"/>
      <c r="AB185" s="35" t="n"/>
      <c r="AC185" s="35" t="n"/>
      <c r="AD185" s="35" t="n"/>
      <c r="AE185" s="35" t="n"/>
      <c r="AF185" s="35" t="n"/>
      <c r="AG185" s="36">
        <f>IF(A185="","",IF(V185&lt;&gt;"",V185-B185,TODAY()-B185))</f>
        <v/>
      </c>
      <c r="AH185" s="36">
        <f>IF(OR(A185="",I185=""),"",MAX(0,IF(V185&lt;&gt;"",V185-I185,TODAY()-I185)))</f>
        <v/>
      </c>
      <c r="AI185" s="37">
        <f>IF(A185="","",IF(OR(K185="Closed",V185&lt;&gt;""),"Closed",IF(AH185&gt;=AgeCrit,"Critical",IF(AH185&gt;=AgeFu,"For Follow-up",IF(AH185&gt;=AgeMonitor,"Monitor","Within Standard")))))</f>
        <v/>
      </c>
      <c r="AJ185" s="38">
        <f>IF(A185="","",IFERROR(INDEX(StgPct,MATCH(H185,StgList,0)),0))</f>
        <v/>
      </c>
      <c r="AK185" s="38">
        <f>IF(A185="","",IFERROR(COUNTIF(Y185:AF185,"Y")/(COUNTIF(Y185:AF185,"Y")+COUNTIF(Y185:AF185,"N")),0))</f>
        <v/>
      </c>
      <c r="AL185" s="36">
        <f>IF(OR(A185="",X185=""),"",MAX(0,IF(V185&lt;&gt;"",V185,TODAY())-X185))</f>
        <v/>
      </c>
      <c r="AM185" s="32" t="n"/>
      <c r="AN185" s="33">
        <f>IF(A185="","",LOWER(AI185)&amp;"|"&amp;AH185&amp;"|"&amp;AJ185&amp;"|"&amp;AK185)</f>
        <v/>
      </c>
      <c r="AO185" s="33">
        <f>IF(OR(A185="",T185=""),"",T185-TODAY())</f>
        <v/>
      </c>
      <c r="AP185" s="33">
        <f>IF(OR(A185="",V185&lt;&gt;""),"",(TODAY()-B185)+ROW()/1000000)</f>
        <v/>
      </c>
    </row>
    <row r="186" ht="27" customHeight="1">
      <c r="A186" s="30" t="n"/>
      <c r="B186" s="31" t="n"/>
      <c r="C186" s="32" t="n"/>
      <c r="D186" s="32" t="n"/>
      <c r="E186" s="32" t="n"/>
      <c r="F186" s="32" t="n"/>
      <c r="G186" s="33">
        <f>IF(A186="","",IFERROR(INDEX(OffCat,MATCH(F186,OffList,0)),"Unlisted"))</f>
        <v/>
      </c>
      <c r="H186" s="30" t="n"/>
      <c r="I186" s="31" t="n"/>
      <c r="J186" s="34" t="n"/>
      <c r="K186" s="34" t="n"/>
      <c r="L186" s="34" t="n"/>
      <c r="M186" s="30" t="n"/>
      <c r="N186" s="30" t="n"/>
      <c r="O186" s="30" t="n"/>
      <c r="P186" s="30" t="n"/>
      <c r="Q186" s="31" t="n"/>
      <c r="R186" s="31" t="n"/>
      <c r="S186" s="31" t="n"/>
      <c r="T186" s="31" t="n"/>
      <c r="U186" s="31" t="n"/>
      <c r="V186" s="31" t="n"/>
      <c r="W186" s="30" t="n"/>
      <c r="X186" s="31" t="n"/>
      <c r="Y186" s="35" t="n"/>
      <c r="Z186" s="35" t="n"/>
      <c r="AA186" s="35" t="n"/>
      <c r="AB186" s="35" t="n"/>
      <c r="AC186" s="35" t="n"/>
      <c r="AD186" s="35" t="n"/>
      <c r="AE186" s="35" t="n"/>
      <c r="AF186" s="35" t="n"/>
      <c r="AG186" s="36">
        <f>IF(A186="","",IF(V186&lt;&gt;"",V186-B186,TODAY()-B186))</f>
        <v/>
      </c>
      <c r="AH186" s="36">
        <f>IF(OR(A186="",I186=""),"",MAX(0,IF(V186&lt;&gt;"",V186-I186,TODAY()-I186)))</f>
        <v/>
      </c>
      <c r="AI186" s="37">
        <f>IF(A186="","",IF(OR(K186="Closed",V186&lt;&gt;""),"Closed",IF(AH186&gt;=AgeCrit,"Critical",IF(AH186&gt;=AgeFu,"For Follow-up",IF(AH186&gt;=AgeMonitor,"Monitor","Within Standard")))))</f>
        <v/>
      </c>
      <c r="AJ186" s="38">
        <f>IF(A186="","",IFERROR(INDEX(StgPct,MATCH(H186,StgList,0)),0))</f>
        <v/>
      </c>
      <c r="AK186" s="38">
        <f>IF(A186="","",IFERROR(COUNTIF(Y186:AF186,"Y")/(COUNTIF(Y186:AF186,"Y")+COUNTIF(Y186:AF186,"N")),0))</f>
        <v/>
      </c>
      <c r="AL186" s="36">
        <f>IF(OR(A186="",X186=""),"",MAX(0,IF(V186&lt;&gt;"",V186,TODAY())-X186))</f>
        <v/>
      </c>
      <c r="AM186" s="32" t="n"/>
      <c r="AN186" s="33">
        <f>IF(A186="","",LOWER(AI186)&amp;"|"&amp;AH186&amp;"|"&amp;AJ186&amp;"|"&amp;AK186)</f>
        <v/>
      </c>
      <c r="AO186" s="33">
        <f>IF(OR(A186="",T186=""),"",T186-TODAY())</f>
        <v/>
      </c>
      <c r="AP186" s="33">
        <f>IF(OR(A186="",V186&lt;&gt;""),"",(TODAY()-B186)+ROW()/1000000)</f>
        <v/>
      </c>
    </row>
    <row r="187" ht="27" customHeight="1">
      <c r="A187" s="30" t="n"/>
      <c r="B187" s="31" t="n"/>
      <c r="C187" s="32" t="n"/>
      <c r="D187" s="32" t="n"/>
      <c r="E187" s="32" t="n"/>
      <c r="F187" s="32" t="n"/>
      <c r="G187" s="33">
        <f>IF(A187="","",IFERROR(INDEX(OffCat,MATCH(F187,OffList,0)),"Unlisted"))</f>
        <v/>
      </c>
      <c r="H187" s="30" t="n"/>
      <c r="I187" s="31" t="n"/>
      <c r="J187" s="34" t="n"/>
      <c r="K187" s="34" t="n"/>
      <c r="L187" s="34" t="n"/>
      <c r="M187" s="30" t="n"/>
      <c r="N187" s="30" t="n"/>
      <c r="O187" s="30" t="n"/>
      <c r="P187" s="30" t="n"/>
      <c r="Q187" s="31" t="n"/>
      <c r="R187" s="31" t="n"/>
      <c r="S187" s="31" t="n"/>
      <c r="T187" s="31" t="n"/>
      <c r="U187" s="31" t="n"/>
      <c r="V187" s="31" t="n"/>
      <c r="W187" s="30" t="n"/>
      <c r="X187" s="31" t="n"/>
      <c r="Y187" s="35" t="n"/>
      <c r="Z187" s="35" t="n"/>
      <c r="AA187" s="35" t="n"/>
      <c r="AB187" s="35" t="n"/>
      <c r="AC187" s="35" t="n"/>
      <c r="AD187" s="35" t="n"/>
      <c r="AE187" s="35" t="n"/>
      <c r="AF187" s="35" t="n"/>
      <c r="AG187" s="36">
        <f>IF(A187="","",IF(V187&lt;&gt;"",V187-B187,TODAY()-B187))</f>
        <v/>
      </c>
      <c r="AH187" s="36">
        <f>IF(OR(A187="",I187=""),"",MAX(0,IF(V187&lt;&gt;"",V187-I187,TODAY()-I187)))</f>
        <v/>
      </c>
      <c r="AI187" s="37">
        <f>IF(A187="","",IF(OR(K187="Closed",V187&lt;&gt;""),"Closed",IF(AH187&gt;=AgeCrit,"Critical",IF(AH187&gt;=AgeFu,"For Follow-up",IF(AH187&gt;=AgeMonitor,"Monitor","Within Standard")))))</f>
        <v/>
      </c>
      <c r="AJ187" s="38">
        <f>IF(A187="","",IFERROR(INDEX(StgPct,MATCH(H187,StgList,0)),0))</f>
        <v/>
      </c>
      <c r="AK187" s="38">
        <f>IF(A187="","",IFERROR(COUNTIF(Y187:AF187,"Y")/(COUNTIF(Y187:AF187,"Y")+COUNTIF(Y187:AF187,"N")),0))</f>
        <v/>
      </c>
      <c r="AL187" s="36">
        <f>IF(OR(A187="",X187=""),"",MAX(0,IF(V187&lt;&gt;"",V187,TODAY())-X187))</f>
        <v/>
      </c>
      <c r="AM187" s="32" t="n"/>
      <c r="AN187" s="33">
        <f>IF(A187="","",LOWER(AI187)&amp;"|"&amp;AH187&amp;"|"&amp;AJ187&amp;"|"&amp;AK187)</f>
        <v/>
      </c>
      <c r="AO187" s="33">
        <f>IF(OR(A187="",T187=""),"",T187-TODAY())</f>
        <v/>
      </c>
      <c r="AP187" s="33">
        <f>IF(OR(A187="",V187&lt;&gt;""),"",(TODAY()-B187)+ROW()/1000000)</f>
        <v/>
      </c>
    </row>
    <row r="188" ht="27" customHeight="1">
      <c r="A188" s="30" t="n"/>
      <c r="B188" s="31" t="n"/>
      <c r="C188" s="32" t="n"/>
      <c r="D188" s="32" t="n"/>
      <c r="E188" s="32" t="n"/>
      <c r="F188" s="32" t="n"/>
      <c r="G188" s="33">
        <f>IF(A188="","",IFERROR(INDEX(OffCat,MATCH(F188,OffList,0)),"Unlisted"))</f>
        <v/>
      </c>
      <c r="H188" s="30" t="n"/>
      <c r="I188" s="31" t="n"/>
      <c r="J188" s="34" t="n"/>
      <c r="K188" s="34" t="n"/>
      <c r="L188" s="34" t="n"/>
      <c r="M188" s="30" t="n"/>
      <c r="N188" s="30" t="n"/>
      <c r="O188" s="30" t="n"/>
      <c r="P188" s="30" t="n"/>
      <c r="Q188" s="31" t="n"/>
      <c r="R188" s="31" t="n"/>
      <c r="S188" s="31" t="n"/>
      <c r="T188" s="31" t="n"/>
      <c r="U188" s="31" t="n"/>
      <c r="V188" s="31" t="n"/>
      <c r="W188" s="30" t="n"/>
      <c r="X188" s="31" t="n"/>
      <c r="Y188" s="35" t="n"/>
      <c r="Z188" s="35" t="n"/>
      <c r="AA188" s="35" t="n"/>
      <c r="AB188" s="35" t="n"/>
      <c r="AC188" s="35" t="n"/>
      <c r="AD188" s="35" t="n"/>
      <c r="AE188" s="35" t="n"/>
      <c r="AF188" s="35" t="n"/>
      <c r="AG188" s="36">
        <f>IF(A188="","",IF(V188&lt;&gt;"",V188-B188,TODAY()-B188))</f>
        <v/>
      </c>
      <c r="AH188" s="36">
        <f>IF(OR(A188="",I188=""),"",MAX(0,IF(V188&lt;&gt;"",V188-I188,TODAY()-I188)))</f>
        <v/>
      </c>
      <c r="AI188" s="37">
        <f>IF(A188="","",IF(OR(K188="Closed",V188&lt;&gt;""),"Closed",IF(AH188&gt;=AgeCrit,"Critical",IF(AH188&gt;=AgeFu,"For Follow-up",IF(AH188&gt;=AgeMonitor,"Monitor","Within Standard")))))</f>
        <v/>
      </c>
      <c r="AJ188" s="38">
        <f>IF(A188="","",IFERROR(INDEX(StgPct,MATCH(H188,StgList,0)),0))</f>
        <v/>
      </c>
      <c r="AK188" s="38">
        <f>IF(A188="","",IFERROR(COUNTIF(Y188:AF188,"Y")/(COUNTIF(Y188:AF188,"Y")+COUNTIF(Y188:AF188,"N")),0))</f>
        <v/>
      </c>
      <c r="AL188" s="36">
        <f>IF(OR(A188="",X188=""),"",MAX(0,IF(V188&lt;&gt;"",V188,TODAY())-X188))</f>
        <v/>
      </c>
      <c r="AM188" s="32" t="n"/>
      <c r="AN188" s="33">
        <f>IF(A188="","",LOWER(AI188)&amp;"|"&amp;AH188&amp;"|"&amp;AJ188&amp;"|"&amp;AK188)</f>
        <v/>
      </c>
      <c r="AO188" s="33">
        <f>IF(OR(A188="",T188=""),"",T188-TODAY())</f>
        <v/>
      </c>
      <c r="AP188" s="33">
        <f>IF(OR(A188="",V188&lt;&gt;""),"",(TODAY()-B188)+ROW()/1000000)</f>
        <v/>
      </c>
    </row>
    <row r="189" ht="27" customHeight="1">
      <c r="A189" s="30" t="n"/>
      <c r="B189" s="31" t="n"/>
      <c r="C189" s="32" t="n"/>
      <c r="D189" s="32" t="n"/>
      <c r="E189" s="32" t="n"/>
      <c r="F189" s="32" t="n"/>
      <c r="G189" s="33">
        <f>IF(A189="","",IFERROR(INDEX(OffCat,MATCH(F189,OffList,0)),"Unlisted"))</f>
        <v/>
      </c>
      <c r="H189" s="30" t="n"/>
      <c r="I189" s="31" t="n"/>
      <c r="J189" s="34" t="n"/>
      <c r="K189" s="34" t="n"/>
      <c r="L189" s="34" t="n"/>
      <c r="M189" s="30" t="n"/>
      <c r="N189" s="30" t="n"/>
      <c r="O189" s="30" t="n"/>
      <c r="P189" s="30" t="n"/>
      <c r="Q189" s="31" t="n"/>
      <c r="R189" s="31" t="n"/>
      <c r="S189" s="31" t="n"/>
      <c r="T189" s="31" t="n"/>
      <c r="U189" s="31" t="n"/>
      <c r="V189" s="31" t="n"/>
      <c r="W189" s="30" t="n"/>
      <c r="X189" s="31" t="n"/>
      <c r="Y189" s="35" t="n"/>
      <c r="Z189" s="35" t="n"/>
      <c r="AA189" s="35" t="n"/>
      <c r="AB189" s="35" t="n"/>
      <c r="AC189" s="35" t="n"/>
      <c r="AD189" s="35" t="n"/>
      <c r="AE189" s="35" t="n"/>
      <c r="AF189" s="35" t="n"/>
      <c r="AG189" s="36">
        <f>IF(A189="","",IF(V189&lt;&gt;"",V189-B189,TODAY()-B189))</f>
        <v/>
      </c>
      <c r="AH189" s="36">
        <f>IF(OR(A189="",I189=""),"",MAX(0,IF(V189&lt;&gt;"",V189-I189,TODAY()-I189)))</f>
        <v/>
      </c>
      <c r="AI189" s="37">
        <f>IF(A189="","",IF(OR(K189="Closed",V189&lt;&gt;""),"Closed",IF(AH189&gt;=AgeCrit,"Critical",IF(AH189&gt;=AgeFu,"For Follow-up",IF(AH189&gt;=AgeMonitor,"Monitor","Within Standard")))))</f>
        <v/>
      </c>
      <c r="AJ189" s="38">
        <f>IF(A189="","",IFERROR(INDEX(StgPct,MATCH(H189,StgList,0)),0))</f>
        <v/>
      </c>
      <c r="AK189" s="38">
        <f>IF(A189="","",IFERROR(COUNTIF(Y189:AF189,"Y")/(COUNTIF(Y189:AF189,"Y")+COUNTIF(Y189:AF189,"N")),0))</f>
        <v/>
      </c>
      <c r="AL189" s="36">
        <f>IF(OR(A189="",X189=""),"",MAX(0,IF(V189&lt;&gt;"",V189,TODAY())-X189))</f>
        <v/>
      </c>
      <c r="AM189" s="32" t="n"/>
      <c r="AN189" s="33">
        <f>IF(A189="","",LOWER(AI189)&amp;"|"&amp;AH189&amp;"|"&amp;AJ189&amp;"|"&amp;AK189)</f>
        <v/>
      </c>
      <c r="AO189" s="33">
        <f>IF(OR(A189="",T189=""),"",T189-TODAY())</f>
        <v/>
      </c>
      <c r="AP189" s="33">
        <f>IF(OR(A189="",V189&lt;&gt;""),"",(TODAY()-B189)+ROW()/1000000)</f>
        <v/>
      </c>
    </row>
    <row r="190" ht="27" customHeight="1">
      <c r="A190" s="30" t="n"/>
      <c r="B190" s="31" t="n"/>
      <c r="C190" s="32" t="n"/>
      <c r="D190" s="32" t="n"/>
      <c r="E190" s="32" t="n"/>
      <c r="F190" s="32" t="n"/>
      <c r="G190" s="33">
        <f>IF(A190="","",IFERROR(INDEX(OffCat,MATCH(F190,OffList,0)),"Unlisted"))</f>
        <v/>
      </c>
      <c r="H190" s="30" t="n"/>
      <c r="I190" s="31" t="n"/>
      <c r="J190" s="34" t="n"/>
      <c r="K190" s="34" t="n"/>
      <c r="L190" s="34" t="n"/>
      <c r="M190" s="30" t="n"/>
      <c r="N190" s="30" t="n"/>
      <c r="O190" s="30" t="n"/>
      <c r="P190" s="30" t="n"/>
      <c r="Q190" s="31" t="n"/>
      <c r="R190" s="31" t="n"/>
      <c r="S190" s="31" t="n"/>
      <c r="T190" s="31" t="n"/>
      <c r="U190" s="31" t="n"/>
      <c r="V190" s="31" t="n"/>
      <c r="W190" s="30" t="n"/>
      <c r="X190" s="31" t="n"/>
      <c r="Y190" s="35" t="n"/>
      <c r="Z190" s="35" t="n"/>
      <c r="AA190" s="35" t="n"/>
      <c r="AB190" s="35" t="n"/>
      <c r="AC190" s="35" t="n"/>
      <c r="AD190" s="35" t="n"/>
      <c r="AE190" s="35" t="n"/>
      <c r="AF190" s="35" t="n"/>
      <c r="AG190" s="36">
        <f>IF(A190="","",IF(V190&lt;&gt;"",V190-B190,TODAY()-B190))</f>
        <v/>
      </c>
      <c r="AH190" s="36">
        <f>IF(OR(A190="",I190=""),"",MAX(0,IF(V190&lt;&gt;"",V190-I190,TODAY()-I190)))</f>
        <v/>
      </c>
      <c r="AI190" s="37">
        <f>IF(A190="","",IF(OR(K190="Closed",V190&lt;&gt;""),"Closed",IF(AH190&gt;=AgeCrit,"Critical",IF(AH190&gt;=AgeFu,"For Follow-up",IF(AH190&gt;=AgeMonitor,"Monitor","Within Standard")))))</f>
        <v/>
      </c>
      <c r="AJ190" s="38">
        <f>IF(A190="","",IFERROR(INDEX(StgPct,MATCH(H190,StgList,0)),0))</f>
        <v/>
      </c>
      <c r="AK190" s="38">
        <f>IF(A190="","",IFERROR(COUNTIF(Y190:AF190,"Y")/(COUNTIF(Y190:AF190,"Y")+COUNTIF(Y190:AF190,"N")),0))</f>
        <v/>
      </c>
      <c r="AL190" s="36">
        <f>IF(OR(A190="",X190=""),"",MAX(0,IF(V190&lt;&gt;"",V190,TODAY())-X190))</f>
        <v/>
      </c>
      <c r="AM190" s="32" t="n"/>
      <c r="AN190" s="33">
        <f>IF(A190="","",LOWER(AI190)&amp;"|"&amp;AH190&amp;"|"&amp;AJ190&amp;"|"&amp;AK190)</f>
        <v/>
      </c>
      <c r="AO190" s="33">
        <f>IF(OR(A190="",T190=""),"",T190-TODAY())</f>
        <v/>
      </c>
      <c r="AP190" s="33">
        <f>IF(OR(A190="",V190&lt;&gt;""),"",(TODAY()-B190)+ROW()/1000000)</f>
        <v/>
      </c>
    </row>
    <row r="191" ht="27" customHeight="1">
      <c r="A191" s="30" t="n"/>
      <c r="B191" s="31" t="n"/>
      <c r="C191" s="32" t="n"/>
      <c r="D191" s="32" t="n"/>
      <c r="E191" s="32" t="n"/>
      <c r="F191" s="32" t="n"/>
      <c r="G191" s="33">
        <f>IF(A191="","",IFERROR(INDEX(OffCat,MATCH(F191,OffList,0)),"Unlisted"))</f>
        <v/>
      </c>
      <c r="H191" s="30" t="n"/>
      <c r="I191" s="31" t="n"/>
      <c r="J191" s="34" t="n"/>
      <c r="K191" s="34" t="n"/>
      <c r="L191" s="34" t="n"/>
      <c r="M191" s="30" t="n"/>
      <c r="N191" s="30" t="n"/>
      <c r="O191" s="30" t="n"/>
      <c r="P191" s="30" t="n"/>
      <c r="Q191" s="31" t="n"/>
      <c r="R191" s="31" t="n"/>
      <c r="S191" s="31" t="n"/>
      <c r="T191" s="31" t="n"/>
      <c r="U191" s="31" t="n"/>
      <c r="V191" s="31" t="n"/>
      <c r="W191" s="30" t="n"/>
      <c r="X191" s="31" t="n"/>
      <c r="Y191" s="35" t="n"/>
      <c r="Z191" s="35" t="n"/>
      <c r="AA191" s="35" t="n"/>
      <c r="AB191" s="35" t="n"/>
      <c r="AC191" s="35" t="n"/>
      <c r="AD191" s="35" t="n"/>
      <c r="AE191" s="35" t="n"/>
      <c r="AF191" s="35" t="n"/>
      <c r="AG191" s="36">
        <f>IF(A191="","",IF(V191&lt;&gt;"",V191-B191,TODAY()-B191))</f>
        <v/>
      </c>
      <c r="AH191" s="36">
        <f>IF(OR(A191="",I191=""),"",MAX(0,IF(V191&lt;&gt;"",V191-I191,TODAY()-I191)))</f>
        <v/>
      </c>
      <c r="AI191" s="37">
        <f>IF(A191="","",IF(OR(K191="Closed",V191&lt;&gt;""),"Closed",IF(AH191&gt;=AgeCrit,"Critical",IF(AH191&gt;=AgeFu,"For Follow-up",IF(AH191&gt;=AgeMonitor,"Monitor","Within Standard")))))</f>
        <v/>
      </c>
      <c r="AJ191" s="38">
        <f>IF(A191="","",IFERROR(INDEX(StgPct,MATCH(H191,StgList,0)),0))</f>
        <v/>
      </c>
      <c r="AK191" s="38">
        <f>IF(A191="","",IFERROR(COUNTIF(Y191:AF191,"Y")/(COUNTIF(Y191:AF191,"Y")+COUNTIF(Y191:AF191,"N")),0))</f>
        <v/>
      </c>
      <c r="AL191" s="36">
        <f>IF(OR(A191="",X191=""),"",MAX(0,IF(V191&lt;&gt;"",V191,TODAY())-X191))</f>
        <v/>
      </c>
      <c r="AM191" s="32" t="n"/>
      <c r="AN191" s="33">
        <f>IF(A191="","",LOWER(AI191)&amp;"|"&amp;AH191&amp;"|"&amp;AJ191&amp;"|"&amp;AK191)</f>
        <v/>
      </c>
      <c r="AO191" s="33">
        <f>IF(OR(A191="",T191=""),"",T191-TODAY())</f>
        <v/>
      </c>
      <c r="AP191" s="33">
        <f>IF(OR(A191="",V191&lt;&gt;""),"",(TODAY()-B191)+ROW()/1000000)</f>
        <v/>
      </c>
    </row>
    <row r="192" ht="27" customHeight="1">
      <c r="A192" s="30" t="n"/>
      <c r="B192" s="31" t="n"/>
      <c r="C192" s="32" t="n"/>
      <c r="D192" s="32" t="n"/>
      <c r="E192" s="32" t="n"/>
      <c r="F192" s="32" t="n"/>
      <c r="G192" s="33">
        <f>IF(A192="","",IFERROR(INDEX(OffCat,MATCH(F192,OffList,0)),"Unlisted"))</f>
        <v/>
      </c>
      <c r="H192" s="30" t="n"/>
      <c r="I192" s="31" t="n"/>
      <c r="J192" s="34" t="n"/>
      <c r="K192" s="34" t="n"/>
      <c r="L192" s="34" t="n"/>
      <c r="M192" s="30" t="n"/>
      <c r="N192" s="30" t="n"/>
      <c r="O192" s="30" t="n"/>
      <c r="P192" s="30" t="n"/>
      <c r="Q192" s="31" t="n"/>
      <c r="R192" s="31" t="n"/>
      <c r="S192" s="31" t="n"/>
      <c r="T192" s="31" t="n"/>
      <c r="U192" s="31" t="n"/>
      <c r="V192" s="31" t="n"/>
      <c r="W192" s="30" t="n"/>
      <c r="X192" s="31" t="n"/>
      <c r="Y192" s="35" t="n"/>
      <c r="Z192" s="35" t="n"/>
      <c r="AA192" s="35" t="n"/>
      <c r="AB192" s="35" t="n"/>
      <c r="AC192" s="35" t="n"/>
      <c r="AD192" s="35" t="n"/>
      <c r="AE192" s="35" t="n"/>
      <c r="AF192" s="35" t="n"/>
      <c r="AG192" s="36">
        <f>IF(A192="","",IF(V192&lt;&gt;"",V192-B192,TODAY()-B192))</f>
        <v/>
      </c>
      <c r="AH192" s="36">
        <f>IF(OR(A192="",I192=""),"",MAX(0,IF(V192&lt;&gt;"",V192-I192,TODAY()-I192)))</f>
        <v/>
      </c>
      <c r="AI192" s="37">
        <f>IF(A192="","",IF(OR(K192="Closed",V192&lt;&gt;""),"Closed",IF(AH192&gt;=AgeCrit,"Critical",IF(AH192&gt;=AgeFu,"For Follow-up",IF(AH192&gt;=AgeMonitor,"Monitor","Within Standard")))))</f>
        <v/>
      </c>
      <c r="AJ192" s="38">
        <f>IF(A192="","",IFERROR(INDEX(StgPct,MATCH(H192,StgList,0)),0))</f>
        <v/>
      </c>
      <c r="AK192" s="38">
        <f>IF(A192="","",IFERROR(COUNTIF(Y192:AF192,"Y")/(COUNTIF(Y192:AF192,"Y")+COUNTIF(Y192:AF192,"N")),0))</f>
        <v/>
      </c>
      <c r="AL192" s="36">
        <f>IF(OR(A192="",X192=""),"",MAX(0,IF(V192&lt;&gt;"",V192,TODAY())-X192))</f>
        <v/>
      </c>
      <c r="AM192" s="32" t="n"/>
      <c r="AN192" s="33">
        <f>IF(A192="","",LOWER(AI192)&amp;"|"&amp;AH192&amp;"|"&amp;AJ192&amp;"|"&amp;AK192)</f>
        <v/>
      </c>
      <c r="AO192" s="33">
        <f>IF(OR(A192="",T192=""),"",T192-TODAY())</f>
        <v/>
      </c>
      <c r="AP192" s="33">
        <f>IF(OR(A192="",V192&lt;&gt;""),"",(TODAY()-B192)+ROW()/1000000)</f>
        <v/>
      </c>
    </row>
    <row r="193" ht="27" customHeight="1">
      <c r="A193" s="30" t="n"/>
      <c r="B193" s="31" t="n"/>
      <c r="C193" s="32" t="n"/>
      <c r="D193" s="32" t="n"/>
      <c r="E193" s="32" t="n"/>
      <c r="F193" s="32" t="n"/>
      <c r="G193" s="33">
        <f>IF(A193="","",IFERROR(INDEX(OffCat,MATCH(F193,OffList,0)),"Unlisted"))</f>
        <v/>
      </c>
      <c r="H193" s="30" t="n"/>
      <c r="I193" s="31" t="n"/>
      <c r="J193" s="34" t="n"/>
      <c r="K193" s="34" t="n"/>
      <c r="L193" s="34" t="n"/>
      <c r="M193" s="30" t="n"/>
      <c r="N193" s="30" t="n"/>
      <c r="O193" s="30" t="n"/>
      <c r="P193" s="30" t="n"/>
      <c r="Q193" s="31" t="n"/>
      <c r="R193" s="31" t="n"/>
      <c r="S193" s="31" t="n"/>
      <c r="T193" s="31" t="n"/>
      <c r="U193" s="31" t="n"/>
      <c r="V193" s="31" t="n"/>
      <c r="W193" s="30" t="n"/>
      <c r="X193" s="31" t="n"/>
      <c r="Y193" s="35" t="n"/>
      <c r="Z193" s="35" t="n"/>
      <c r="AA193" s="35" t="n"/>
      <c r="AB193" s="35" t="n"/>
      <c r="AC193" s="35" t="n"/>
      <c r="AD193" s="35" t="n"/>
      <c r="AE193" s="35" t="n"/>
      <c r="AF193" s="35" t="n"/>
      <c r="AG193" s="36">
        <f>IF(A193="","",IF(V193&lt;&gt;"",V193-B193,TODAY()-B193))</f>
        <v/>
      </c>
      <c r="AH193" s="36">
        <f>IF(OR(A193="",I193=""),"",MAX(0,IF(V193&lt;&gt;"",V193-I193,TODAY()-I193)))</f>
        <v/>
      </c>
      <c r="AI193" s="37">
        <f>IF(A193="","",IF(OR(K193="Closed",V193&lt;&gt;""),"Closed",IF(AH193&gt;=AgeCrit,"Critical",IF(AH193&gt;=AgeFu,"For Follow-up",IF(AH193&gt;=AgeMonitor,"Monitor","Within Standard")))))</f>
        <v/>
      </c>
      <c r="AJ193" s="38">
        <f>IF(A193="","",IFERROR(INDEX(StgPct,MATCH(H193,StgList,0)),0))</f>
        <v/>
      </c>
      <c r="AK193" s="38">
        <f>IF(A193="","",IFERROR(COUNTIF(Y193:AF193,"Y")/(COUNTIF(Y193:AF193,"Y")+COUNTIF(Y193:AF193,"N")),0))</f>
        <v/>
      </c>
      <c r="AL193" s="36">
        <f>IF(OR(A193="",X193=""),"",MAX(0,IF(V193&lt;&gt;"",V193,TODAY())-X193))</f>
        <v/>
      </c>
      <c r="AM193" s="32" t="n"/>
      <c r="AN193" s="33">
        <f>IF(A193="","",LOWER(AI193)&amp;"|"&amp;AH193&amp;"|"&amp;AJ193&amp;"|"&amp;AK193)</f>
        <v/>
      </c>
      <c r="AO193" s="33">
        <f>IF(OR(A193="",T193=""),"",T193-TODAY())</f>
        <v/>
      </c>
      <c r="AP193" s="33">
        <f>IF(OR(A193="",V193&lt;&gt;""),"",(TODAY()-B193)+ROW()/1000000)</f>
        <v/>
      </c>
    </row>
    <row r="194" ht="27" customHeight="1">
      <c r="A194" s="30" t="n"/>
      <c r="B194" s="31" t="n"/>
      <c r="C194" s="32" t="n"/>
      <c r="D194" s="32" t="n"/>
      <c r="E194" s="32" t="n"/>
      <c r="F194" s="32" t="n"/>
      <c r="G194" s="33">
        <f>IF(A194="","",IFERROR(INDEX(OffCat,MATCH(F194,OffList,0)),"Unlisted"))</f>
        <v/>
      </c>
      <c r="H194" s="30" t="n"/>
      <c r="I194" s="31" t="n"/>
      <c r="J194" s="34" t="n"/>
      <c r="K194" s="34" t="n"/>
      <c r="L194" s="34" t="n"/>
      <c r="M194" s="30" t="n"/>
      <c r="N194" s="30" t="n"/>
      <c r="O194" s="30" t="n"/>
      <c r="P194" s="30" t="n"/>
      <c r="Q194" s="31" t="n"/>
      <c r="R194" s="31" t="n"/>
      <c r="S194" s="31" t="n"/>
      <c r="T194" s="31" t="n"/>
      <c r="U194" s="31" t="n"/>
      <c r="V194" s="31" t="n"/>
      <c r="W194" s="30" t="n"/>
      <c r="X194" s="31" t="n"/>
      <c r="Y194" s="35" t="n"/>
      <c r="Z194" s="35" t="n"/>
      <c r="AA194" s="35" t="n"/>
      <c r="AB194" s="35" t="n"/>
      <c r="AC194" s="35" t="n"/>
      <c r="AD194" s="35" t="n"/>
      <c r="AE194" s="35" t="n"/>
      <c r="AF194" s="35" t="n"/>
      <c r="AG194" s="36">
        <f>IF(A194="","",IF(V194&lt;&gt;"",V194-B194,TODAY()-B194))</f>
        <v/>
      </c>
      <c r="AH194" s="36">
        <f>IF(OR(A194="",I194=""),"",MAX(0,IF(V194&lt;&gt;"",V194-I194,TODAY()-I194)))</f>
        <v/>
      </c>
      <c r="AI194" s="37">
        <f>IF(A194="","",IF(OR(K194="Closed",V194&lt;&gt;""),"Closed",IF(AH194&gt;=AgeCrit,"Critical",IF(AH194&gt;=AgeFu,"For Follow-up",IF(AH194&gt;=AgeMonitor,"Monitor","Within Standard")))))</f>
        <v/>
      </c>
      <c r="AJ194" s="38">
        <f>IF(A194="","",IFERROR(INDEX(StgPct,MATCH(H194,StgList,0)),0))</f>
        <v/>
      </c>
      <c r="AK194" s="38">
        <f>IF(A194="","",IFERROR(COUNTIF(Y194:AF194,"Y")/(COUNTIF(Y194:AF194,"Y")+COUNTIF(Y194:AF194,"N")),0))</f>
        <v/>
      </c>
      <c r="AL194" s="36">
        <f>IF(OR(A194="",X194=""),"",MAX(0,IF(V194&lt;&gt;"",V194,TODAY())-X194))</f>
        <v/>
      </c>
      <c r="AM194" s="32" t="n"/>
      <c r="AN194" s="33">
        <f>IF(A194="","",LOWER(AI194)&amp;"|"&amp;AH194&amp;"|"&amp;AJ194&amp;"|"&amp;AK194)</f>
        <v/>
      </c>
      <c r="AO194" s="33">
        <f>IF(OR(A194="",T194=""),"",T194-TODAY())</f>
        <v/>
      </c>
      <c r="AP194" s="33">
        <f>IF(OR(A194="",V194&lt;&gt;""),"",(TODAY()-B194)+ROW()/1000000)</f>
        <v/>
      </c>
    </row>
    <row r="195" ht="27" customHeight="1">
      <c r="A195" s="30" t="n"/>
      <c r="B195" s="31" t="n"/>
      <c r="C195" s="32" t="n"/>
      <c r="D195" s="32" t="n"/>
      <c r="E195" s="32" t="n"/>
      <c r="F195" s="32" t="n"/>
      <c r="G195" s="33">
        <f>IF(A195="","",IFERROR(INDEX(OffCat,MATCH(F195,OffList,0)),"Unlisted"))</f>
        <v/>
      </c>
      <c r="H195" s="30" t="n"/>
      <c r="I195" s="31" t="n"/>
      <c r="J195" s="34" t="n"/>
      <c r="K195" s="34" t="n"/>
      <c r="L195" s="34" t="n"/>
      <c r="M195" s="30" t="n"/>
      <c r="N195" s="30" t="n"/>
      <c r="O195" s="30" t="n"/>
      <c r="P195" s="30" t="n"/>
      <c r="Q195" s="31" t="n"/>
      <c r="R195" s="31" t="n"/>
      <c r="S195" s="31" t="n"/>
      <c r="T195" s="31" t="n"/>
      <c r="U195" s="31" t="n"/>
      <c r="V195" s="31" t="n"/>
      <c r="W195" s="30" t="n"/>
      <c r="X195" s="31" t="n"/>
      <c r="Y195" s="35" t="n"/>
      <c r="Z195" s="35" t="n"/>
      <c r="AA195" s="35" t="n"/>
      <c r="AB195" s="35" t="n"/>
      <c r="AC195" s="35" t="n"/>
      <c r="AD195" s="35" t="n"/>
      <c r="AE195" s="35" t="n"/>
      <c r="AF195" s="35" t="n"/>
      <c r="AG195" s="36">
        <f>IF(A195="","",IF(V195&lt;&gt;"",V195-B195,TODAY()-B195))</f>
        <v/>
      </c>
      <c r="AH195" s="36">
        <f>IF(OR(A195="",I195=""),"",MAX(0,IF(V195&lt;&gt;"",V195-I195,TODAY()-I195)))</f>
        <v/>
      </c>
      <c r="AI195" s="37">
        <f>IF(A195="","",IF(OR(K195="Closed",V195&lt;&gt;""),"Closed",IF(AH195&gt;=AgeCrit,"Critical",IF(AH195&gt;=AgeFu,"For Follow-up",IF(AH195&gt;=AgeMonitor,"Monitor","Within Standard")))))</f>
        <v/>
      </c>
      <c r="AJ195" s="38">
        <f>IF(A195="","",IFERROR(INDEX(StgPct,MATCH(H195,StgList,0)),0))</f>
        <v/>
      </c>
      <c r="AK195" s="38">
        <f>IF(A195="","",IFERROR(COUNTIF(Y195:AF195,"Y")/(COUNTIF(Y195:AF195,"Y")+COUNTIF(Y195:AF195,"N")),0))</f>
        <v/>
      </c>
      <c r="AL195" s="36">
        <f>IF(OR(A195="",X195=""),"",MAX(0,IF(V195&lt;&gt;"",V195,TODAY())-X195))</f>
        <v/>
      </c>
      <c r="AM195" s="32" t="n"/>
      <c r="AN195" s="33">
        <f>IF(A195="","",LOWER(AI195)&amp;"|"&amp;AH195&amp;"|"&amp;AJ195&amp;"|"&amp;AK195)</f>
        <v/>
      </c>
      <c r="AO195" s="33">
        <f>IF(OR(A195="",T195=""),"",T195-TODAY())</f>
        <v/>
      </c>
      <c r="AP195" s="33">
        <f>IF(OR(A195="",V195&lt;&gt;""),"",(TODAY()-B195)+ROW()/1000000)</f>
        <v/>
      </c>
    </row>
    <row r="196" ht="27" customHeight="1">
      <c r="A196" s="30" t="n"/>
      <c r="B196" s="31" t="n"/>
      <c r="C196" s="32" t="n"/>
      <c r="D196" s="32" t="n"/>
      <c r="E196" s="32" t="n"/>
      <c r="F196" s="32" t="n"/>
      <c r="G196" s="33">
        <f>IF(A196="","",IFERROR(INDEX(OffCat,MATCH(F196,OffList,0)),"Unlisted"))</f>
        <v/>
      </c>
      <c r="H196" s="30" t="n"/>
      <c r="I196" s="31" t="n"/>
      <c r="J196" s="34" t="n"/>
      <c r="K196" s="34" t="n"/>
      <c r="L196" s="34" t="n"/>
      <c r="M196" s="30" t="n"/>
      <c r="N196" s="30" t="n"/>
      <c r="O196" s="30" t="n"/>
      <c r="P196" s="30" t="n"/>
      <c r="Q196" s="31" t="n"/>
      <c r="R196" s="31" t="n"/>
      <c r="S196" s="31" t="n"/>
      <c r="T196" s="31" t="n"/>
      <c r="U196" s="31" t="n"/>
      <c r="V196" s="31" t="n"/>
      <c r="W196" s="30" t="n"/>
      <c r="X196" s="31" t="n"/>
      <c r="Y196" s="35" t="n"/>
      <c r="Z196" s="35" t="n"/>
      <c r="AA196" s="35" t="n"/>
      <c r="AB196" s="35" t="n"/>
      <c r="AC196" s="35" t="n"/>
      <c r="AD196" s="35" t="n"/>
      <c r="AE196" s="35" t="n"/>
      <c r="AF196" s="35" t="n"/>
      <c r="AG196" s="36">
        <f>IF(A196="","",IF(V196&lt;&gt;"",V196-B196,TODAY()-B196))</f>
        <v/>
      </c>
      <c r="AH196" s="36">
        <f>IF(OR(A196="",I196=""),"",MAX(0,IF(V196&lt;&gt;"",V196-I196,TODAY()-I196)))</f>
        <v/>
      </c>
      <c r="AI196" s="37">
        <f>IF(A196="","",IF(OR(K196="Closed",V196&lt;&gt;""),"Closed",IF(AH196&gt;=AgeCrit,"Critical",IF(AH196&gt;=AgeFu,"For Follow-up",IF(AH196&gt;=AgeMonitor,"Monitor","Within Standard")))))</f>
        <v/>
      </c>
      <c r="AJ196" s="38">
        <f>IF(A196="","",IFERROR(INDEX(StgPct,MATCH(H196,StgList,0)),0))</f>
        <v/>
      </c>
      <c r="AK196" s="38">
        <f>IF(A196="","",IFERROR(COUNTIF(Y196:AF196,"Y")/(COUNTIF(Y196:AF196,"Y")+COUNTIF(Y196:AF196,"N")),0))</f>
        <v/>
      </c>
      <c r="AL196" s="36">
        <f>IF(OR(A196="",X196=""),"",MAX(0,IF(V196&lt;&gt;"",V196,TODAY())-X196))</f>
        <v/>
      </c>
      <c r="AM196" s="32" t="n"/>
      <c r="AN196" s="33">
        <f>IF(A196="","",LOWER(AI196)&amp;"|"&amp;AH196&amp;"|"&amp;AJ196&amp;"|"&amp;AK196)</f>
        <v/>
      </c>
      <c r="AO196" s="33">
        <f>IF(OR(A196="",T196=""),"",T196-TODAY())</f>
        <v/>
      </c>
      <c r="AP196" s="33">
        <f>IF(OR(A196="",V196&lt;&gt;""),"",(TODAY()-B196)+ROW()/1000000)</f>
        <v/>
      </c>
    </row>
    <row r="197" ht="27" customHeight="1">
      <c r="A197" s="30" t="n"/>
      <c r="B197" s="31" t="n"/>
      <c r="C197" s="32" t="n"/>
      <c r="D197" s="32" t="n"/>
      <c r="E197" s="32" t="n"/>
      <c r="F197" s="32" t="n"/>
      <c r="G197" s="33">
        <f>IF(A197="","",IFERROR(INDEX(OffCat,MATCH(F197,OffList,0)),"Unlisted"))</f>
        <v/>
      </c>
      <c r="H197" s="30" t="n"/>
      <c r="I197" s="31" t="n"/>
      <c r="J197" s="34" t="n"/>
      <c r="K197" s="34" t="n"/>
      <c r="L197" s="34" t="n"/>
      <c r="M197" s="30" t="n"/>
      <c r="N197" s="30" t="n"/>
      <c r="O197" s="30" t="n"/>
      <c r="P197" s="30" t="n"/>
      <c r="Q197" s="31" t="n"/>
      <c r="R197" s="31" t="n"/>
      <c r="S197" s="31" t="n"/>
      <c r="T197" s="31" t="n"/>
      <c r="U197" s="31" t="n"/>
      <c r="V197" s="31" t="n"/>
      <c r="W197" s="30" t="n"/>
      <c r="X197" s="31" t="n"/>
      <c r="Y197" s="35" t="n"/>
      <c r="Z197" s="35" t="n"/>
      <c r="AA197" s="35" t="n"/>
      <c r="AB197" s="35" t="n"/>
      <c r="AC197" s="35" t="n"/>
      <c r="AD197" s="35" t="n"/>
      <c r="AE197" s="35" t="n"/>
      <c r="AF197" s="35" t="n"/>
      <c r="AG197" s="36">
        <f>IF(A197="","",IF(V197&lt;&gt;"",V197-B197,TODAY()-B197))</f>
        <v/>
      </c>
      <c r="AH197" s="36">
        <f>IF(OR(A197="",I197=""),"",MAX(0,IF(V197&lt;&gt;"",V197-I197,TODAY()-I197)))</f>
        <v/>
      </c>
      <c r="AI197" s="37">
        <f>IF(A197="","",IF(OR(K197="Closed",V197&lt;&gt;""),"Closed",IF(AH197&gt;=AgeCrit,"Critical",IF(AH197&gt;=AgeFu,"For Follow-up",IF(AH197&gt;=AgeMonitor,"Monitor","Within Standard")))))</f>
        <v/>
      </c>
      <c r="AJ197" s="38">
        <f>IF(A197="","",IFERROR(INDEX(StgPct,MATCH(H197,StgList,0)),0))</f>
        <v/>
      </c>
      <c r="AK197" s="38">
        <f>IF(A197="","",IFERROR(COUNTIF(Y197:AF197,"Y")/(COUNTIF(Y197:AF197,"Y")+COUNTIF(Y197:AF197,"N")),0))</f>
        <v/>
      </c>
      <c r="AL197" s="36">
        <f>IF(OR(A197="",X197=""),"",MAX(0,IF(V197&lt;&gt;"",V197,TODAY())-X197))</f>
        <v/>
      </c>
      <c r="AM197" s="32" t="n"/>
      <c r="AN197" s="33">
        <f>IF(A197="","",LOWER(AI197)&amp;"|"&amp;AH197&amp;"|"&amp;AJ197&amp;"|"&amp;AK197)</f>
        <v/>
      </c>
      <c r="AO197" s="33">
        <f>IF(OR(A197="",T197=""),"",T197-TODAY())</f>
        <v/>
      </c>
      <c r="AP197" s="33">
        <f>IF(OR(A197="",V197&lt;&gt;""),"",(TODAY()-B197)+ROW()/1000000)</f>
        <v/>
      </c>
    </row>
    <row r="198" ht="27" customHeight="1">
      <c r="A198" s="30" t="n"/>
      <c r="B198" s="31" t="n"/>
      <c r="C198" s="32" t="n"/>
      <c r="D198" s="32" t="n"/>
      <c r="E198" s="32" t="n"/>
      <c r="F198" s="32" t="n"/>
      <c r="G198" s="33">
        <f>IF(A198="","",IFERROR(INDEX(OffCat,MATCH(F198,OffList,0)),"Unlisted"))</f>
        <v/>
      </c>
      <c r="H198" s="30" t="n"/>
      <c r="I198" s="31" t="n"/>
      <c r="J198" s="34" t="n"/>
      <c r="K198" s="34" t="n"/>
      <c r="L198" s="34" t="n"/>
      <c r="M198" s="30" t="n"/>
      <c r="N198" s="30" t="n"/>
      <c r="O198" s="30" t="n"/>
      <c r="P198" s="30" t="n"/>
      <c r="Q198" s="31" t="n"/>
      <c r="R198" s="31" t="n"/>
      <c r="S198" s="31" t="n"/>
      <c r="T198" s="31" t="n"/>
      <c r="U198" s="31" t="n"/>
      <c r="V198" s="31" t="n"/>
      <c r="W198" s="30" t="n"/>
      <c r="X198" s="31" t="n"/>
      <c r="Y198" s="35" t="n"/>
      <c r="Z198" s="35" t="n"/>
      <c r="AA198" s="35" t="n"/>
      <c r="AB198" s="35" t="n"/>
      <c r="AC198" s="35" t="n"/>
      <c r="AD198" s="35" t="n"/>
      <c r="AE198" s="35" t="n"/>
      <c r="AF198" s="35" t="n"/>
      <c r="AG198" s="36">
        <f>IF(A198="","",IF(V198&lt;&gt;"",V198-B198,TODAY()-B198))</f>
        <v/>
      </c>
      <c r="AH198" s="36">
        <f>IF(OR(A198="",I198=""),"",MAX(0,IF(V198&lt;&gt;"",V198-I198,TODAY()-I198)))</f>
        <v/>
      </c>
      <c r="AI198" s="37">
        <f>IF(A198="","",IF(OR(K198="Closed",V198&lt;&gt;""),"Closed",IF(AH198&gt;=AgeCrit,"Critical",IF(AH198&gt;=AgeFu,"For Follow-up",IF(AH198&gt;=AgeMonitor,"Monitor","Within Standard")))))</f>
        <v/>
      </c>
      <c r="AJ198" s="38">
        <f>IF(A198="","",IFERROR(INDEX(StgPct,MATCH(H198,StgList,0)),0))</f>
        <v/>
      </c>
      <c r="AK198" s="38">
        <f>IF(A198="","",IFERROR(COUNTIF(Y198:AF198,"Y")/(COUNTIF(Y198:AF198,"Y")+COUNTIF(Y198:AF198,"N")),0))</f>
        <v/>
      </c>
      <c r="AL198" s="36">
        <f>IF(OR(A198="",X198=""),"",MAX(0,IF(V198&lt;&gt;"",V198,TODAY())-X198))</f>
        <v/>
      </c>
      <c r="AM198" s="32" t="n"/>
      <c r="AN198" s="33">
        <f>IF(A198="","",LOWER(AI198)&amp;"|"&amp;AH198&amp;"|"&amp;AJ198&amp;"|"&amp;AK198)</f>
        <v/>
      </c>
      <c r="AO198" s="33">
        <f>IF(OR(A198="",T198=""),"",T198-TODAY())</f>
        <v/>
      </c>
      <c r="AP198" s="33">
        <f>IF(OR(A198="",V198&lt;&gt;""),"",(TODAY()-B198)+ROW()/1000000)</f>
        <v/>
      </c>
    </row>
    <row r="199" ht="27" customHeight="1">
      <c r="A199" s="30" t="n"/>
      <c r="B199" s="31" t="n"/>
      <c r="C199" s="32" t="n"/>
      <c r="D199" s="32" t="n"/>
      <c r="E199" s="32" t="n"/>
      <c r="F199" s="32" t="n"/>
      <c r="G199" s="33">
        <f>IF(A199="","",IFERROR(INDEX(OffCat,MATCH(F199,OffList,0)),"Unlisted"))</f>
        <v/>
      </c>
      <c r="H199" s="30" t="n"/>
      <c r="I199" s="31" t="n"/>
      <c r="J199" s="34" t="n"/>
      <c r="K199" s="34" t="n"/>
      <c r="L199" s="34" t="n"/>
      <c r="M199" s="30" t="n"/>
      <c r="N199" s="30" t="n"/>
      <c r="O199" s="30" t="n"/>
      <c r="P199" s="30" t="n"/>
      <c r="Q199" s="31" t="n"/>
      <c r="R199" s="31" t="n"/>
      <c r="S199" s="31" t="n"/>
      <c r="T199" s="31" t="n"/>
      <c r="U199" s="31" t="n"/>
      <c r="V199" s="31" t="n"/>
      <c r="W199" s="30" t="n"/>
      <c r="X199" s="31" t="n"/>
      <c r="Y199" s="35" t="n"/>
      <c r="Z199" s="35" t="n"/>
      <c r="AA199" s="35" t="n"/>
      <c r="AB199" s="35" t="n"/>
      <c r="AC199" s="35" t="n"/>
      <c r="AD199" s="35" t="n"/>
      <c r="AE199" s="35" t="n"/>
      <c r="AF199" s="35" t="n"/>
      <c r="AG199" s="36">
        <f>IF(A199="","",IF(V199&lt;&gt;"",V199-B199,TODAY()-B199))</f>
        <v/>
      </c>
      <c r="AH199" s="36">
        <f>IF(OR(A199="",I199=""),"",MAX(0,IF(V199&lt;&gt;"",V199-I199,TODAY()-I199)))</f>
        <v/>
      </c>
      <c r="AI199" s="37">
        <f>IF(A199="","",IF(OR(K199="Closed",V199&lt;&gt;""),"Closed",IF(AH199&gt;=AgeCrit,"Critical",IF(AH199&gt;=AgeFu,"For Follow-up",IF(AH199&gt;=AgeMonitor,"Monitor","Within Standard")))))</f>
        <v/>
      </c>
      <c r="AJ199" s="38">
        <f>IF(A199="","",IFERROR(INDEX(StgPct,MATCH(H199,StgList,0)),0))</f>
        <v/>
      </c>
      <c r="AK199" s="38">
        <f>IF(A199="","",IFERROR(COUNTIF(Y199:AF199,"Y")/(COUNTIF(Y199:AF199,"Y")+COUNTIF(Y199:AF199,"N")),0))</f>
        <v/>
      </c>
      <c r="AL199" s="36">
        <f>IF(OR(A199="",X199=""),"",MAX(0,IF(V199&lt;&gt;"",V199,TODAY())-X199))</f>
        <v/>
      </c>
      <c r="AM199" s="32" t="n"/>
      <c r="AN199" s="33">
        <f>IF(A199="","",LOWER(AI199)&amp;"|"&amp;AH199&amp;"|"&amp;AJ199&amp;"|"&amp;AK199)</f>
        <v/>
      </c>
      <c r="AO199" s="33">
        <f>IF(OR(A199="",T199=""),"",T199-TODAY())</f>
        <v/>
      </c>
      <c r="AP199" s="33">
        <f>IF(OR(A199="",V199&lt;&gt;""),"",(TODAY()-B199)+ROW()/1000000)</f>
        <v/>
      </c>
    </row>
    <row r="200" ht="27" customHeight="1">
      <c r="A200" s="30" t="n"/>
      <c r="B200" s="31" t="n"/>
      <c r="C200" s="32" t="n"/>
      <c r="D200" s="32" t="n"/>
      <c r="E200" s="32" t="n"/>
      <c r="F200" s="32" t="n"/>
      <c r="G200" s="33">
        <f>IF(A200="","",IFERROR(INDEX(OffCat,MATCH(F200,OffList,0)),"Unlisted"))</f>
        <v/>
      </c>
      <c r="H200" s="30" t="n"/>
      <c r="I200" s="31" t="n"/>
      <c r="J200" s="34" t="n"/>
      <c r="K200" s="34" t="n"/>
      <c r="L200" s="34" t="n"/>
      <c r="M200" s="30" t="n"/>
      <c r="N200" s="30" t="n"/>
      <c r="O200" s="30" t="n"/>
      <c r="P200" s="30" t="n"/>
      <c r="Q200" s="31" t="n"/>
      <c r="R200" s="31" t="n"/>
      <c r="S200" s="31" t="n"/>
      <c r="T200" s="31" t="n"/>
      <c r="U200" s="31" t="n"/>
      <c r="V200" s="31" t="n"/>
      <c r="W200" s="30" t="n"/>
      <c r="X200" s="31" t="n"/>
      <c r="Y200" s="35" t="n"/>
      <c r="Z200" s="35" t="n"/>
      <c r="AA200" s="35" t="n"/>
      <c r="AB200" s="35" t="n"/>
      <c r="AC200" s="35" t="n"/>
      <c r="AD200" s="35" t="n"/>
      <c r="AE200" s="35" t="n"/>
      <c r="AF200" s="35" t="n"/>
      <c r="AG200" s="36">
        <f>IF(A200="","",IF(V200&lt;&gt;"",V200-B200,TODAY()-B200))</f>
        <v/>
      </c>
      <c r="AH200" s="36">
        <f>IF(OR(A200="",I200=""),"",MAX(0,IF(V200&lt;&gt;"",V200-I200,TODAY()-I200)))</f>
        <v/>
      </c>
      <c r="AI200" s="37">
        <f>IF(A200="","",IF(OR(K200="Closed",V200&lt;&gt;""),"Closed",IF(AH200&gt;=AgeCrit,"Critical",IF(AH200&gt;=AgeFu,"For Follow-up",IF(AH200&gt;=AgeMonitor,"Monitor","Within Standard")))))</f>
        <v/>
      </c>
      <c r="AJ200" s="38">
        <f>IF(A200="","",IFERROR(INDEX(StgPct,MATCH(H200,StgList,0)),0))</f>
        <v/>
      </c>
      <c r="AK200" s="38">
        <f>IF(A200="","",IFERROR(COUNTIF(Y200:AF200,"Y")/(COUNTIF(Y200:AF200,"Y")+COUNTIF(Y200:AF200,"N")),0))</f>
        <v/>
      </c>
      <c r="AL200" s="36">
        <f>IF(OR(A200="",X200=""),"",MAX(0,IF(V200&lt;&gt;"",V200,TODAY())-X200))</f>
        <v/>
      </c>
      <c r="AM200" s="32" t="n"/>
      <c r="AN200" s="33">
        <f>IF(A200="","",LOWER(AI200)&amp;"|"&amp;AH200&amp;"|"&amp;AJ200&amp;"|"&amp;AK200)</f>
        <v/>
      </c>
      <c r="AO200" s="33">
        <f>IF(OR(A200="",T200=""),"",T200-TODAY())</f>
        <v/>
      </c>
      <c r="AP200" s="33">
        <f>IF(OR(A200="",V200&lt;&gt;""),"",(TODAY()-B200)+ROW()/1000000)</f>
        <v/>
      </c>
    </row>
    <row r="201" ht="27" customHeight="1">
      <c r="A201" s="30" t="n"/>
      <c r="B201" s="31" t="n"/>
      <c r="C201" s="32" t="n"/>
      <c r="D201" s="32" t="n"/>
      <c r="E201" s="32" t="n"/>
      <c r="F201" s="32" t="n"/>
      <c r="G201" s="33">
        <f>IF(A201="","",IFERROR(INDEX(OffCat,MATCH(F201,OffList,0)),"Unlisted"))</f>
        <v/>
      </c>
      <c r="H201" s="30" t="n"/>
      <c r="I201" s="31" t="n"/>
      <c r="J201" s="34" t="n"/>
      <c r="K201" s="34" t="n"/>
      <c r="L201" s="34" t="n"/>
      <c r="M201" s="30" t="n"/>
      <c r="N201" s="30" t="n"/>
      <c r="O201" s="30" t="n"/>
      <c r="P201" s="30" t="n"/>
      <c r="Q201" s="31" t="n"/>
      <c r="R201" s="31" t="n"/>
      <c r="S201" s="31" t="n"/>
      <c r="T201" s="31" t="n"/>
      <c r="U201" s="31" t="n"/>
      <c r="V201" s="31" t="n"/>
      <c r="W201" s="30" t="n"/>
      <c r="X201" s="31" t="n"/>
      <c r="Y201" s="35" t="n"/>
      <c r="Z201" s="35" t="n"/>
      <c r="AA201" s="35" t="n"/>
      <c r="AB201" s="35" t="n"/>
      <c r="AC201" s="35" t="n"/>
      <c r="AD201" s="35" t="n"/>
      <c r="AE201" s="35" t="n"/>
      <c r="AF201" s="35" t="n"/>
      <c r="AG201" s="36">
        <f>IF(A201="","",IF(V201&lt;&gt;"",V201-B201,TODAY()-B201))</f>
        <v/>
      </c>
      <c r="AH201" s="36">
        <f>IF(OR(A201="",I201=""),"",MAX(0,IF(V201&lt;&gt;"",V201-I201,TODAY()-I201)))</f>
        <v/>
      </c>
      <c r="AI201" s="37">
        <f>IF(A201="","",IF(OR(K201="Closed",V201&lt;&gt;""),"Closed",IF(AH201&gt;=AgeCrit,"Critical",IF(AH201&gt;=AgeFu,"For Follow-up",IF(AH201&gt;=AgeMonitor,"Monitor","Within Standard")))))</f>
        <v/>
      </c>
      <c r="AJ201" s="38">
        <f>IF(A201="","",IFERROR(INDEX(StgPct,MATCH(H201,StgList,0)),0))</f>
        <v/>
      </c>
      <c r="AK201" s="38">
        <f>IF(A201="","",IFERROR(COUNTIF(Y201:AF201,"Y")/(COUNTIF(Y201:AF201,"Y")+COUNTIF(Y201:AF201,"N")),0))</f>
        <v/>
      </c>
      <c r="AL201" s="36">
        <f>IF(OR(A201="",X201=""),"",MAX(0,IF(V201&lt;&gt;"",V201,TODAY())-X201))</f>
        <v/>
      </c>
      <c r="AM201" s="32" t="n"/>
      <c r="AN201" s="33">
        <f>IF(A201="","",LOWER(AI201)&amp;"|"&amp;AH201&amp;"|"&amp;AJ201&amp;"|"&amp;AK201)</f>
        <v/>
      </c>
      <c r="AO201" s="33">
        <f>IF(OR(A201="",T201=""),"",T201-TODAY())</f>
        <v/>
      </c>
      <c r="AP201" s="33">
        <f>IF(OR(A201="",V201&lt;&gt;""),"",(TODAY()-B201)+ROW()/1000000)</f>
        <v/>
      </c>
    </row>
    <row r="202" ht="27" customHeight="1">
      <c r="A202" s="30" t="n"/>
      <c r="B202" s="31" t="n"/>
      <c r="C202" s="32" t="n"/>
      <c r="D202" s="32" t="n"/>
      <c r="E202" s="32" t="n"/>
      <c r="F202" s="32" t="n"/>
      <c r="G202" s="33">
        <f>IF(A202="","",IFERROR(INDEX(OffCat,MATCH(F202,OffList,0)),"Unlisted"))</f>
        <v/>
      </c>
      <c r="H202" s="30" t="n"/>
      <c r="I202" s="31" t="n"/>
      <c r="J202" s="34" t="n"/>
      <c r="K202" s="34" t="n"/>
      <c r="L202" s="34" t="n"/>
      <c r="M202" s="30" t="n"/>
      <c r="N202" s="30" t="n"/>
      <c r="O202" s="30" t="n"/>
      <c r="P202" s="30" t="n"/>
      <c r="Q202" s="31" t="n"/>
      <c r="R202" s="31" t="n"/>
      <c r="S202" s="31" t="n"/>
      <c r="T202" s="31" t="n"/>
      <c r="U202" s="31" t="n"/>
      <c r="V202" s="31" t="n"/>
      <c r="W202" s="30" t="n"/>
      <c r="X202" s="31" t="n"/>
      <c r="Y202" s="35" t="n"/>
      <c r="Z202" s="35" t="n"/>
      <c r="AA202" s="35" t="n"/>
      <c r="AB202" s="35" t="n"/>
      <c r="AC202" s="35" t="n"/>
      <c r="AD202" s="35" t="n"/>
      <c r="AE202" s="35" t="n"/>
      <c r="AF202" s="35" t="n"/>
      <c r="AG202" s="36">
        <f>IF(A202="","",IF(V202&lt;&gt;"",V202-B202,TODAY()-B202))</f>
        <v/>
      </c>
      <c r="AH202" s="36">
        <f>IF(OR(A202="",I202=""),"",MAX(0,IF(V202&lt;&gt;"",V202-I202,TODAY()-I202)))</f>
        <v/>
      </c>
      <c r="AI202" s="37">
        <f>IF(A202="","",IF(OR(K202="Closed",V202&lt;&gt;""),"Closed",IF(AH202&gt;=AgeCrit,"Critical",IF(AH202&gt;=AgeFu,"For Follow-up",IF(AH202&gt;=AgeMonitor,"Monitor","Within Standard")))))</f>
        <v/>
      </c>
      <c r="AJ202" s="38">
        <f>IF(A202="","",IFERROR(INDEX(StgPct,MATCH(H202,StgList,0)),0))</f>
        <v/>
      </c>
      <c r="AK202" s="38">
        <f>IF(A202="","",IFERROR(COUNTIF(Y202:AF202,"Y")/(COUNTIF(Y202:AF202,"Y")+COUNTIF(Y202:AF202,"N")),0))</f>
        <v/>
      </c>
      <c r="AL202" s="36">
        <f>IF(OR(A202="",X202=""),"",MAX(0,IF(V202&lt;&gt;"",V202,TODAY())-X202))</f>
        <v/>
      </c>
      <c r="AM202" s="32" t="n"/>
      <c r="AN202" s="33">
        <f>IF(A202="","",LOWER(AI202)&amp;"|"&amp;AH202&amp;"|"&amp;AJ202&amp;"|"&amp;AK202)</f>
        <v/>
      </c>
      <c r="AO202" s="33">
        <f>IF(OR(A202="",T202=""),"",T202-TODAY())</f>
        <v/>
      </c>
      <c r="AP202" s="33">
        <f>IF(OR(A202="",V202&lt;&gt;""),"",(TODAY()-B202)+ROW()/1000000)</f>
        <v/>
      </c>
    </row>
    <row r="203" ht="27" customHeight="1">
      <c r="A203" s="30" t="n"/>
      <c r="B203" s="31" t="n"/>
      <c r="C203" s="32" t="n"/>
      <c r="D203" s="32" t="n"/>
      <c r="E203" s="32" t="n"/>
      <c r="F203" s="32" t="n"/>
      <c r="G203" s="33">
        <f>IF(A203="","",IFERROR(INDEX(OffCat,MATCH(F203,OffList,0)),"Unlisted"))</f>
        <v/>
      </c>
      <c r="H203" s="30" t="n"/>
      <c r="I203" s="31" t="n"/>
      <c r="J203" s="34" t="n"/>
      <c r="K203" s="34" t="n"/>
      <c r="L203" s="34" t="n"/>
      <c r="M203" s="30" t="n"/>
      <c r="N203" s="30" t="n"/>
      <c r="O203" s="30" t="n"/>
      <c r="P203" s="30" t="n"/>
      <c r="Q203" s="31" t="n"/>
      <c r="R203" s="31" t="n"/>
      <c r="S203" s="31" t="n"/>
      <c r="T203" s="31" t="n"/>
      <c r="U203" s="31" t="n"/>
      <c r="V203" s="31" t="n"/>
      <c r="W203" s="30" t="n"/>
      <c r="X203" s="31" t="n"/>
      <c r="Y203" s="35" t="n"/>
      <c r="Z203" s="35" t="n"/>
      <c r="AA203" s="35" t="n"/>
      <c r="AB203" s="35" t="n"/>
      <c r="AC203" s="35" t="n"/>
      <c r="AD203" s="35" t="n"/>
      <c r="AE203" s="35" t="n"/>
      <c r="AF203" s="35" t="n"/>
      <c r="AG203" s="36">
        <f>IF(A203="","",IF(V203&lt;&gt;"",V203-B203,TODAY()-B203))</f>
        <v/>
      </c>
      <c r="AH203" s="36">
        <f>IF(OR(A203="",I203=""),"",MAX(0,IF(V203&lt;&gt;"",V203-I203,TODAY()-I203)))</f>
        <v/>
      </c>
      <c r="AI203" s="37">
        <f>IF(A203="","",IF(OR(K203="Closed",V203&lt;&gt;""),"Closed",IF(AH203&gt;=AgeCrit,"Critical",IF(AH203&gt;=AgeFu,"For Follow-up",IF(AH203&gt;=AgeMonitor,"Monitor","Within Standard")))))</f>
        <v/>
      </c>
      <c r="AJ203" s="38">
        <f>IF(A203="","",IFERROR(INDEX(StgPct,MATCH(H203,StgList,0)),0))</f>
        <v/>
      </c>
      <c r="AK203" s="38">
        <f>IF(A203="","",IFERROR(COUNTIF(Y203:AF203,"Y")/(COUNTIF(Y203:AF203,"Y")+COUNTIF(Y203:AF203,"N")),0))</f>
        <v/>
      </c>
      <c r="AL203" s="36">
        <f>IF(OR(A203="",X203=""),"",MAX(0,IF(V203&lt;&gt;"",V203,TODAY())-X203))</f>
        <v/>
      </c>
      <c r="AM203" s="32" t="n"/>
      <c r="AN203" s="33">
        <f>IF(A203="","",LOWER(AI203)&amp;"|"&amp;AH203&amp;"|"&amp;AJ203&amp;"|"&amp;AK203)</f>
        <v/>
      </c>
      <c r="AO203" s="33">
        <f>IF(OR(A203="",T203=""),"",T203-TODAY())</f>
        <v/>
      </c>
      <c r="AP203" s="33">
        <f>IF(OR(A203="",V203&lt;&gt;""),"",(TODAY()-B203)+ROW()/1000000)</f>
        <v/>
      </c>
    </row>
    <row r="204" ht="27" customHeight="1">
      <c r="A204" s="30" t="n"/>
      <c r="B204" s="31" t="n"/>
      <c r="C204" s="32" t="n"/>
      <c r="D204" s="32" t="n"/>
      <c r="E204" s="32" t="n"/>
      <c r="F204" s="32" t="n"/>
      <c r="G204" s="33">
        <f>IF(A204="","",IFERROR(INDEX(OffCat,MATCH(F204,OffList,0)),"Unlisted"))</f>
        <v/>
      </c>
      <c r="H204" s="30" t="n"/>
      <c r="I204" s="31" t="n"/>
      <c r="J204" s="34" t="n"/>
      <c r="K204" s="34" t="n"/>
      <c r="L204" s="34" t="n"/>
      <c r="M204" s="30" t="n"/>
      <c r="N204" s="30" t="n"/>
      <c r="O204" s="30" t="n"/>
      <c r="P204" s="30" t="n"/>
      <c r="Q204" s="31" t="n"/>
      <c r="R204" s="31" t="n"/>
      <c r="S204" s="31" t="n"/>
      <c r="T204" s="31" t="n"/>
      <c r="U204" s="31" t="n"/>
      <c r="V204" s="31" t="n"/>
      <c r="W204" s="30" t="n"/>
      <c r="X204" s="31" t="n"/>
      <c r="Y204" s="35" t="n"/>
      <c r="Z204" s="35" t="n"/>
      <c r="AA204" s="35" t="n"/>
      <c r="AB204" s="35" t="n"/>
      <c r="AC204" s="35" t="n"/>
      <c r="AD204" s="35" t="n"/>
      <c r="AE204" s="35" t="n"/>
      <c r="AF204" s="35" t="n"/>
      <c r="AG204" s="36">
        <f>IF(A204="","",IF(V204&lt;&gt;"",V204-B204,TODAY()-B204))</f>
        <v/>
      </c>
      <c r="AH204" s="36">
        <f>IF(OR(A204="",I204=""),"",MAX(0,IF(V204&lt;&gt;"",V204-I204,TODAY()-I204)))</f>
        <v/>
      </c>
      <c r="AI204" s="37">
        <f>IF(A204="","",IF(OR(K204="Closed",V204&lt;&gt;""),"Closed",IF(AH204&gt;=AgeCrit,"Critical",IF(AH204&gt;=AgeFu,"For Follow-up",IF(AH204&gt;=AgeMonitor,"Monitor","Within Standard")))))</f>
        <v/>
      </c>
      <c r="AJ204" s="38">
        <f>IF(A204="","",IFERROR(INDEX(StgPct,MATCH(H204,StgList,0)),0))</f>
        <v/>
      </c>
      <c r="AK204" s="38">
        <f>IF(A204="","",IFERROR(COUNTIF(Y204:AF204,"Y")/(COUNTIF(Y204:AF204,"Y")+COUNTIF(Y204:AF204,"N")),0))</f>
        <v/>
      </c>
      <c r="AL204" s="36">
        <f>IF(OR(A204="",X204=""),"",MAX(0,IF(V204&lt;&gt;"",V204,TODAY())-X204))</f>
        <v/>
      </c>
      <c r="AM204" s="32" t="n"/>
      <c r="AN204" s="33">
        <f>IF(A204="","",LOWER(AI204)&amp;"|"&amp;AH204&amp;"|"&amp;AJ204&amp;"|"&amp;AK204)</f>
        <v/>
      </c>
      <c r="AO204" s="33">
        <f>IF(OR(A204="",T204=""),"",T204-TODAY())</f>
        <v/>
      </c>
      <c r="AP204" s="33">
        <f>IF(OR(A204="",V204&lt;&gt;""),"",(TODAY()-B204)+ROW()/1000000)</f>
        <v/>
      </c>
    </row>
    <row r="205" ht="27" customHeight="1">
      <c r="A205" s="30" t="n"/>
      <c r="B205" s="31" t="n"/>
      <c r="C205" s="32" t="n"/>
      <c r="D205" s="32" t="n"/>
      <c r="E205" s="32" t="n"/>
      <c r="F205" s="32" t="n"/>
      <c r="G205" s="33">
        <f>IF(A205="","",IFERROR(INDEX(OffCat,MATCH(F205,OffList,0)),"Unlisted"))</f>
        <v/>
      </c>
      <c r="H205" s="30" t="n"/>
      <c r="I205" s="31" t="n"/>
      <c r="J205" s="34" t="n"/>
      <c r="K205" s="34" t="n"/>
      <c r="L205" s="34" t="n"/>
      <c r="M205" s="30" t="n"/>
      <c r="N205" s="30" t="n"/>
      <c r="O205" s="30" t="n"/>
      <c r="P205" s="30" t="n"/>
      <c r="Q205" s="31" t="n"/>
      <c r="R205" s="31" t="n"/>
      <c r="S205" s="31" t="n"/>
      <c r="T205" s="31" t="n"/>
      <c r="U205" s="31" t="n"/>
      <c r="V205" s="31" t="n"/>
      <c r="W205" s="30" t="n"/>
      <c r="X205" s="31" t="n"/>
      <c r="Y205" s="35" t="n"/>
      <c r="Z205" s="35" t="n"/>
      <c r="AA205" s="35" t="n"/>
      <c r="AB205" s="35" t="n"/>
      <c r="AC205" s="35" t="n"/>
      <c r="AD205" s="35" t="n"/>
      <c r="AE205" s="35" t="n"/>
      <c r="AF205" s="35" t="n"/>
      <c r="AG205" s="36">
        <f>IF(A205="","",IF(V205&lt;&gt;"",V205-B205,TODAY()-B205))</f>
        <v/>
      </c>
      <c r="AH205" s="36">
        <f>IF(OR(A205="",I205=""),"",MAX(0,IF(V205&lt;&gt;"",V205-I205,TODAY()-I205)))</f>
        <v/>
      </c>
      <c r="AI205" s="37">
        <f>IF(A205="","",IF(OR(K205="Closed",V205&lt;&gt;""),"Closed",IF(AH205&gt;=AgeCrit,"Critical",IF(AH205&gt;=AgeFu,"For Follow-up",IF(AH205&gt;=AgeMonitor,"Monitor","Within Standard")))))</f>
        <v/>
      </c>
      <c r="AJ205" s="38">
        <f>IF(A205="","",IFERROR(INDEX(StgPct,MATCH(H205,StgList,0)),0))</f>
        <v/>
      </c>
      <c r="AK205" s="38">
        <f>IF(A205="","",IFERROR(COUNTIF(Y205:AF205,"Y")/(COUNTIF(Y205:AF205,"Y")+COUNTIF(Y205:AF205,"N")),0))</f>
        <v/>
      </c>
      <c r="AL205" s="36">
        <f>IF(OR(A205="",X205=""),"",MAX(0,IF(V205&lt;&gt;"",V205,TODAY())-X205))</f>
        <v/>
      </c>
      <c r="AM205" s="32" t="n"/>
      <c r="AN205" s="33">
        <f>IF(A205="","",LOWER(AI205)&amp;"|"&amp;AH205&amp;"|"&amp;AJ205&amp;"|"&amp;AK205)</f>
        <v/>
      </c>
      <c r="AO205" s="33">
        <f>IF(OR(A205="",T205=""),"",T205-TODAY())</f>
        <v/>
      </c>
      <c r="AP205" s="33">
        <f>IF(OR(A205="",V205&lt;&gt;""),"",(TODAY()-B205)+ROW()/1000000)</f>
        <v/>
      </c>
    </row>
    <row r="206" ht="27" customHeight="1">
      <c r="A206" s="30" t="n"/>
      <c r="B206" s="31" t="n"/>
      <c r="C206" s="32" t="n"/>
      <c r="D206" s="32" t="n"/>
      <c r="E206" s="32" t="n"/>
      <c r="F206" s="32" t="n"/>
      <c r="G206" s="33">
        <f>IF(A206="","",IFERROR(INDEX(OffCat,MATCH(F206,OffList,0)),"Unlisted"))</f>
        <v/>
      </c>
      <c r="H206" s="30" t="n"/>
      <c r="I206" s="31" t="n"/>
      <c r="J206" s="34" t="n"/>
      <c r="K206" s="34" t="n"/>
      <c r="L206" s="34" t="n"/>
      <c r="M206" s="30" t="n"/>
      <c r="N206" s="30" t="n"/>
      <c r="O206" s="30" t="n"/>
      <c r="P206" s="30" t="n"/>
      <c r="Q206" s="31" t="n"/>
      <c r="R206" s="31" t="n"/>
      <c r="S206" s="31" t="n"/>
      <c r="T206" s="31" t="n"/>
      <c r="U206" s="31" t="n"/>
      <c r="V206" s="31" t="n"/>
      <c r="W206" s="30" t="n"/>
      <c r="X206" s="31" t="n"/>
      <c r="Y206" s="35" t="n"/>
      <c r="Z206" s="35" t="n"/>
      <c r="AA206" s="35" t="n"/>
      <c r="AB206" s="35" t="n"/>
      <c r="AC206" s="35" t="n"/>
      <c r="AD206" s="35" t="n"/>
      <c r="AE206" s="35" t="n"/>
      <c r="AF206" s="35" t="n"/>
      <c r="AG206" s="36">
        <f>IF(A206="","",IF(V206&lt;&gt;"",V206-B206,TODAY()-B206))</f>
        <v/>
      </c>
      <c r="AH206" s="36">
        <f>IF(OR(A206="",I206=""),"",MAX(0,IF(V206&lt;&gt;"",V206-I206,TODAY()-I206)))</f>
        <v/>
      </c>
      <c r="AI206" s="37">
        <f>IF(A206="","",IF(OR(K206="Closed",V206&lt;&gt;""),"Closed",IF(AH206&gt;=AgeCrit,"Critical",IF(AH206&gt;=AgeFu,"For Follow-up",IF(AH206&gt;=AgeMonitor,"Monitor","Within Standard")))))</f>
        <v/>
      </c>
      <c r="AJ206" s="38">
        <f>IF(A206="","",IFERROR(INDEX(StgPct,MATCH(H206,StgList,0)),0))</f>
        <v/>
      </c>
      <c r="AK206" s="38">
        <f>IF(A206="","",IFERROR(COUNTIF(Y206:AF206,"Y")/(COUNTIF(Y206:AF206,"Y")+COUNTIF(Y206:AF206,"N")),0))</f>
        <v/>
      </c>
      <c r="AL206" s="36">
        <f>IF(OR(A206="",X206=""),"",MAX(0,IF(V206&lt;&gt;"",V206,TODAY())-X206))</f>
        <v/>
      </c>
      <c r="AM206" s="32" t="n"/>
      <c r="AN206" s="33">
        <f>IF(A206="","",LOWER(AI206)&amp;"|"&amp;AH206&amp;"|"&amp;AJ206&amp;"|"&amp;AK206)</f>
        <v/>
      </c>
      <c r="AO206" s="33">
        <f>IF(OR(A206="",T206=""),"",T206-TODAY())</f>
        <v/>
      </c>
      <c r="AP206" s="33">
        <f>IF(OR(A206="",V206&lt;&gt;""),"",(TODAY()-B206)+ROW()/1000000)</f>
        <v/>
      </c>
    </row>
    <row r="207" ht="27" customHeight="1">
      <c r="A207" s="30" t="n"/>
      <c r="B207" s="31" t="n"/>
      <c r="C207" s="32" t="n"/>
      <c r="D207" s="32" t="n"/>
      <c r="E207" s="32" t="n"/>
      <c r="F207" s="32" t="n"/>
      <c r="G207" s="33">
        <f>IF(A207="","",IFERROR(INDEX(OffCat,MATCH(F207,OffList,0)),"Unlisted"))</f>
        <v/>
      </c>
      <c r="H207" s="30" t="n"/>
      <c r="I207" s="31" t="n"/>
      <c r="J207" s="34" t="n"/>
      <c r="K207" s="34" t="n"/>
      <c r="L207" s="34" t="n"/>
      <c r="M207" s="30" t="n"/>
      <c r="N207" s="30" t="n"/>
      <c r="O207" s="30" t="n"/>
      <c r="P207" s="30" t="n"/>
      <c r="Q207" s="31" t="n"/>
      <c r="R207" s="31" t="n"/>
      <c r="S207" s="31" t="n"/>
      <c r="T207" s="31" t="n"/>
      <c r="U207" s="31" t="n"/>
      <c r="V207" s="31" t="n"/>
      <c r="W207" s="30" t="n"/>
      <c r="X207" s="31" t="n"/>
      <c r="Y207" s="35" t="n"/>
      <c r="Z207" s="35" t="n"/>
      <c r="AA207" s="35" t="n"/>
      <c r="AB207" s="35" t="n"/>
      <c r="AC207" s="35" t="n"/>
      <c r="AD207" s="35" t="n"/>
      <c r="AE207" s="35" t="n"/>
      <c r="AF207" s="35" t="n"/>
      <c r="AG207" s="36">
        <f>IF(A207="","",IF(V207&lt;&gt;"",V207-B207,TODAY()-B207))</f>
        <v/>
      </c>
      <c r="AH207" s="36">
        <f>IF(OR(A207="",I207=""),"",MAX(0,IF(V207&lt;&gt;"",V207-I207,TODAY()-I207)))</f>
        <v/>
      </c>
      <c r="AI207" s="37">
        <f>IF(A207="","",IF(OR(K207="Closed",V207&lt;&gt;""),"Closed",IF(AH207&gt;=AgeCrit,"Critical",IF(AH207&gt;=AgeFu,"For Follow-up",IF(AH207&gt;=AgeMonitor,"Monitor","Within Standard")))))</f>
        <v/>
      </c>
      <c r="AJ207" s="38">
        <f>IF(A207="","",IFERROR(INDEX(StgPct,MATCH(H207,StgList,0)),0))</f>
        <v/>
      </c>
      <c r="AK207" s="38">
        <f>IF(A207="","",IFERROR(COUNTIF(Y207:AF207,"Y")/(COUNTIF(Y207:AF207,"Y")+COUNTIF(Y207:AF207,"N")),0))</f>
        <v/>
      </c>
      <c r="AL207" s="36">
        <f>IF(OR(A207="",X207=""),"",MAX(0,IF(V207&lt;&gt;"",V207,TODAY())-X207))</f>
        <v/>
      </c>
      <c r="AM207" s="32" t="n"/>
      <c r="AN207" s="33">
        <f>IF(A207="","",LOWER(AI207)&amp;"|"&amp;AH207&amp;"|"&amp;AJ207&amp;"|"&amp;AK207)</f>
        <v/>
      </c>
      <c r="AO207" s="33">
        <f>IF(OR(A207="",T207=""),"",T207-TODAY())</f>
        <v/>
      </c>
      <c r="AP207" s="33">
        <f>IF(OR(A207="",V207&lt;&gt;""),"",(TODAY()-B207)+ROW()/1000000)</f>
        <v/>
      </c>
    </row>
    <row r="208" ht="27" customHeight="1">
      <c r="A208" s="30" t="n"/>
      <c r="B208" s="31" t="n"/>
      <c r="C208" s="32" t="n"/>
      <c r="D208" s="32" t="n"/>
      <c r="E208" s="32" t="n"/>
      <c r="F208" s="32" t="n"/>
      <c r="G208" s="33">
        <f>IF(A208="","",IFERROR(INDEX(OffCat,MATCH(F208,OffList,0)),"Unlisted"))</f>
        <v/>
      </c>
      <c r="H208" s="30" t="n"/>
      <c r="I208" s="31" t="n"/>
      <c r="J208" s="34" t="n"/>
      <c r="K208" s="34" t="n"/>
      <c r="L208" s="34" t="n"/>
      <c r="M208" s="30" t="n"/>
      <c r="N208" s="30" t="n"/>
      <c r="O208" s="30" t="n"/>
      <c r="P208" s="30" t="n"/>
      <c r="Q208" s="31" t="n"/>
      <c r="R208" s="31" t="n"/>
      <c r="S208" s="31" t="n"/>
      <c r="T208" s="31" t="n"/>
      <c r="U208" s="31" t="n"/>
      <c r="V208" s="31" t="n"/>
      <c r="W208" s="30" t="n"/>
      <c r="X208" s="31" t="n"/>
      <c r="Y208" s="35" t="n"/>
      <c r="Z208" s="35" t="n"/>
      <c r="AA208" s="35" t="n"/>
      <c r="AB208" s="35" t="n"/>
      <c r="AC208" s="35" t="n"/>
      <c r="AD208" s="35" t="n"/>
      <c r="AE208" s="35" t="n"/>
      <c r="AF208" s="35" t="n"/>
      <c r="AG208" s="36">
        <f>IF(A208="","",IF(V208&lt;&gt;"",V208-B208,TODAY()-B208))</f>
        <v/>
      </c>
      <c r="AH208" s="36">
        <f>IF(OR(A208="",I208=""),"",MAX(0,IF(V208&lt;&gt;"",V208-I208,TODAY()-I208)))</f>
        <v/>
      </c>
      <c r="AI208" s="37">
        <f>IF(A208="","",IF(OR(K208="Closed",V208&lt;&gt;""),"Closed",IF(AH208&gt;=AgeCrit,"Critical",IF(AH208&gt;=AgeFu,"For Follow-up",IF(AH208&gt;=AgeMonitor,"Monitor","Within Standard")))))</f>
        <v/>
      </c>
      <c r="AJ208" s="38">
        <f>IF(A208="","",IFERROR(INDEX(StgPct,MATCH(H208,StgList,0)),0))</f>
        <v/>
      </c>
      <c r="AK208" s="38">
        <f>IF(A208="","",IFERROR(COUNTIF(Y208:AF208,"Y")/(COUNTIF(Y208:AF208,"Y")+COUNTIF(Y208:AF208,"N")),0))</f>
        <v/>
      </c>
      <c r="AL208" s="36">
        <f>IF(OR(A208="",X208=""),"",MAX(0,IF(V208&lt;&gt;"",V208,TODAY())-X208))</f>
        <v/>
      </c>
      <c r="AM208" s="32" t="n"/>
      <c r="AN208" s="33">
        <f>IF(A208="","",LOWER(AI208)&amp;"|"&amp;AH208&amp;"|"&amp;AJ208&amp;"|"&amp;AK208)</f>
        <v/>
      </c>
      <c r="AO208" s="33">
        <f>IF(OR(A208="",T208=""),"",T208-TODAY())</f>
        <v/>
      </c>
      <c r="AP208" s="33">
        <f>IF(OR(A208="",V208&lt;&gt;""),"",(TODAY()-B208)+ROW()/1000000)</f>
        <v/>
      </c>
    </row>
    <row r="209" ht="27" customHeight="1">
      <c r="A209" s="30" t="n"/>
      <c r="B209" s="31" t="n"/>
      <c r="C209" s="32" t="n"/>
      <c r="D209" s="32" t="n"/>
      <c r="E209" s="32" t="n"/>
      <c r="F209" s="32" t="n"/>
      <c r="G209" s="33">
        <f>IF(A209="","",IFERROR(INDEX(OffCat,MATCH(F209,OffList,0)),"Unlisted"))</f>
        <v/>
      </c>
      <c r="H209" s="30" t="n"/>
      <c r="I209" s="31" t="n"/>
      <c r="J209" s="34" t="n"/>
      <c r="K209" s="34" t="n"/>
      <c r="L209" s="34" t="n"/>
      <c r="M209" s="30" t="n"/>
      <c r="N209" s="30" t="n"/>
      <c r="O209" s="30" t="n"/>
      <c r="P209" s="30" t="n"/>
      <c r="Q209" s="31" t="n"/>
      <c r="R209" s="31" t="n"/>
      <c r="S209" s="31" t="n"/>
      <c r="T209" s="31" t="n"/>
      <c r="U209" s="31" t="n"/>
      <c r="V209" s="31" t="n"/>
      <c r="W209" s="30" t="n"/>
      <c r="X209" s="31" t="n"/>
      <c r="Y209" s="35" t="n"/>
      <c r="Z209" s="35" t="n"/>
      <c r="AA209" s="35" t="n"/>
      <c r="AB209" s="35" t="n"/>
      <c r="AC209" s="35" t="n"/>
      <c r="AD209" s="35" t="n"/>
      <c r="AE209" s="35" t="n"/>
      <c r="AF209" s="35" t="n"/>
      <c r="AG209" s="36">
        <f>IF(A209="","",IF(V209&lt;&gt;"",V209-B209,TODAY()-B209))</f>
        <v/>
      </c>
      <c r="AH209" s="36">
        <f>IF(OR(A209="",I209=""),"",MAX(0,IF(V209&lt;&gt;"",V209-I209,TODAY()-I209)))</f>
        <v/>
      </c>
      <c r="AI209" s="37">
        <f>IF(A209="","",IF(OR(K209="Closed",V209&lt;&gt;""),"Closed",IF(AH209&gt;=AgeCrit,"Critical",IF(AH209&gt;=AgeFu,"For Follow-up",IF(AH209&gt;=AgeMonitor,"Monitor","Within Standard")))))</f>
        <v/>
      </c>
      <c r="AJ209" s="38">
        <f>IF(A209="","",IFERROR(INDEX(StgPct,MATCH(H209,StgList,0)),0))</f>
        <v/>
      </c>
      <c r="AK209" s="38">
        <f>IF(A209="","",IFERROR(COUNTIF(Y209:AF209,"Y")/(COUNTIF(Y209:AF209,"Y")+COUNTIF(Y209:AF209,"N")),0))</f>
        <v/>
      </c>
      <c r="AL209" s="36">
        <f>IF(OR(A209="",X209=""),"",MAX(0,IF(V209&lt;&gt;"",V209,TODAY())-X209))</f>
        <v/>
      </c>
      <c r="AM209" s="32" t="n"/>
      <c r="AN209" s="33">
        <f>IF(A209="","",LOWER(AI209)&amp;"|"&amp;AH209&amp;"|"&amp;AJ209&amp;"|"&amp;AK209)</f>
        <v/>
      </c>
      <c r="AO209" s="33">
        <f>IF(OR(A209="",T209=""),"",T209-TODAY())</f>
        <v/>
      </c>
      <c r="AP209" s="33">
        <f>IF(OR(A209="",V209&lt;&gt;""),"",(TODAY()-B209)+ROW()/1000000)</f>
        <v/>
      </c>
    </row>
    <row r="210" ht="27" customHeight="1">
      <c r="A210" s="30" t="n"/>
      <c r="B210" s="31" t="n"/>
      <c r="C210" s="32" t="n"/>
      <c r="D210" s="32" t="n"/>
      <c r="E210" s="32" t="n"/>
      <c r="F210" s="32" t="n"/>
      <c r="G210" s="33">
        <f>IF(A210="","",IFERROR(INDEX(OffCat,MATCH(F210,OffList,0)),"Unlisted"))</f>
        <v/>
      </c>
      <c r="H210" s="30" t="n"/>
      <c r="I210" s="31" t="n"/>
      <c r="J210" s="34" t="n"/>
      <c r="K210" s="34" t="n"/>
      <c r="L210" s="34" t="n"/>
      <c r="M210" s="30" t="n"/>
      <c r="N210" s="30" t="n"/>
      <c r="O210" s="30" t="n"/>
      <c r="P210" s="30" t="n"/>
      <c r="Q210" s="31" t="n"/>
      <c r="R210" s="31" t="n"/>
      <c r="S210" s="31" t="n"/>
      <c r="T210" s="31" t="n"/>
      <c r="U210" s="31" t="n"/>
      <c r="V210" s="31" t="n"/>
      <c r="W210" s="30" t="n"/>
      <c r="X210" s="31" t="n"/>
      <c r="Y210" s="35" t="n"/>
      <c r="Z210" s="35" t="n"/>
      <c r="AA210" s="35" t="n"/>
      <c r="AB210" s="35" t="n"/>
      <c r="AC210" s="35" t="n"/>
      <c r="AD210" s="35" t="n"/>
      <c r="AE210" s="35" t="n"/>
      <c r="AF210" s="35" t="n"/>
      <c r="AG210" s="36">
        <f>IF(A210="","",IF(V210&lt;&gt;"",V210-B210,TODAY()-B210))</f>
        <v/>
      </c>
      <c r="AH210" s="36">
        <f>IF(OR(A210="",I210=""),"",MAX(0,IF(V210&lt;&gt;"",V210-I210,TODAY()-I210)))</f>
        <v/>
      </c>
      <c r="AI210" s="37">
        <f>IF(A210="","",IF(OR(K210="Closed",V210&lt;&gt;""),"Closed",IF(AH210&gt;=AgeCrit,"Critical",IF(AH210&gt;=AgeFu,"For Follow-up",IF(AH210&gt;=AgeMonitor,"Monitor","Within Standard")))))</f>
        <v/>
      </c>
      <c r="AJ210" s="38">
        <f>IF(A210="","",IFERROR(INDEX(StgPct,MATCH(H210,StgList,0)),0))</f>
        <v/>
      </c>
      <c r="AK210" s="38">
        <f>IF(A210="","",IFERROR(COUNTIF(Y210:AF210,"Y")/(COUNTIF(Y210:AF210,"Y")+COUNTIF(Y210:AF210,"N")),0))</f>
        <v/>
      </c>
      <c r="AL210" s="36">
        <f>IF(OR(A210="",X210=""),"",MAX(0,IF(V210&lt;&gt;"",V210,TODAY())-X210))</f>
        <v/>
      </c>
      <c r="AM210" s="32" t="n"/>
      <c r="AN210" s="33">
        <f>IF(A210="","",LOWER(AI210)&amp;"|"&amp;AH210&amp;"|"&amp;AJ210&amp;"|"&amp;AK210)</f>
        <v/>
      </c>
      <c r="AO210" s="33">
        <f>IF(OR(A210="",T210=""),"",T210-TODAY())</f>
        <v/>
      </c>
      <c r="AP210" s="33">
        <f>IF(OR(A210="",V210&lt;&gt;""),"",(TODAY()-B210)+ROW()/1000000)</f>
        <v/>
      </c>
    </row>
    <row r="211" ht="27" customHeight="1">
      <c r="A211" s="30" t="n"/>
      <c r="B211" s="31" t="n"/>
      <c r="C211" s="32" t="n"/>
      <c r="D211" s="32" t="n"/>
      <c r="E211" s="32" t="n"/>
      <c r="F211" s="32" t="n"/>
      <c r="G211" s="33">
        <f>IF(A211="","",IFERROR(INDEX(OffCat,MATCH(F211,OffList,0)),"Unlisted"))</f>
        <v/>
      </c>
      <c r="H211" s="30" t="n"/>
      <c r="I211" s="31" t="n"/>
      <c r="J211" s="34" t="n"/>
      <c r="K211" s="34" t="n"/>
      <c r="L211" s="34" t="n"/>
      <c r="M211" s="30" t="n"/>
      <c r="N211" s="30" t="n"/>
      <c r="O211" s="30" t="n"/>
      <c r="P211" s="30" t="n"/>
      <c r="Q211" s="31" t="n"/>
      <c r="R211" s="31" t="n"/>
      <c r="S211" s="31" t="n"/>
      <c r="T211" s="31" t="n"/>
      <c r="U211" s="31" t="n"/>
      <c r="V211" s="31" t="n"/>
      <c r="W211" s="30" t="n"/>
      <c r="X211" s="31" t="n"/>
      <c r="Y211" s="35" t="n"/>
      <c r="Z211" s="35" t="n"/>
      <c r="AA211" s="35" t="n"/>
      <c r="AB211" s="35" t="n"/>
      <c r="AC211" s="35" t="n"/>
      <c r="AD211" s="35" t="n"/>
      <c r="AE211" s="35" t="n"/>
      <c r="AF211" s="35" t="n"/>
      <c r="AG211" s="36">
        <f>IF(A211="","",IF(V211&lt;&gt;"",V211-B211,TODAY()-B211))</f>
        <v/>
      </c>
      <c r="AH211" s="36">
        <f>IF(OR(A211="",I211=""),"",MAX(0,IF(V211&lt;&gt;"",V211-I211,TODAY()-I211)))</f>
        <v/>
      </c>
      <c r="AI211" s="37">
        <f>IF(A211="","",IF(OR(K211="Closed",V211&lt;&gt;""),"Closed",IF(AH211&gt;=AgeCrit,"Critical",IF(AH211&gt;=AgeFu,"For Follow-up",IF(AH211&gt;=AgeMonitor,"Monitor","Within Standard")))))</f>
        <v/>
      </c>
      <c r="AJ211" s="38">
        <f>IF(A211="","",IFERROR(INDEX(StgPct,MATCH(H211,StgList,0)),0))</f>
        <v/>
      </c>
      <c r="AK211" s="38">
        <f>IF(A211="","",IFERROR(COUNTIF(Y211:AF211,"Y")/(COUNTIF(Y211:AF211,"Y")+COUNTIF(Y211:AF211,"N")),0))</f>
        <v/>
      </c>
      <c r="AL211" s="36">
        <f>IF(OR(A211="",X211=""),"",MAX(0,IF(V211&lt;&gt;"",V211,TODAY())-X211))</f>
        <v/>
      </c>
      <c r="AM211" s="32" t="n"/>
      <c r="AN211" s="33">
        <f>IF(A211="","",LOWER(AI211)&amp;"|"&amp;AH211&amp;"|"&amp;AJ211&amp;"|"&amp;AK211)</f>
        <v/>
      </c>
      <c r="AO211" s="33">
        <f>IF(OR(A211="",T211=""),"",T211-TODAY())</f>
        <v/>
      </c>
      <c r="AP211" s="33">
        <f>IF(OR(A211="",V211&lt;&gt;""),"",(TODAY()-B211)+ROW()/1000000)</f>
        <v/>
      </c>
    </row>
    <row r="212" ht="27" customHeight="1">
      <c r="A212" s="30" t="n"/>
      <c r="B212" s="31" t="n"/>
      <c r="C212" s="32" t="n"/>
      <c r="D212" s="32" t="n"/>
      <c r="E212" s="32" t="n"/>
      <c r="F212" s="32" t="n"/>
      <c r="G212" s="33">
        <f>IF(A212="","",IFERROR(INDEX(OffCat,MATCH(F212,OffList,0)),"Unlisted"))</f>
        <v/>
      </c>
      <c r="H212" s="30" t="n"/>
      <c r="I212" s="31" t="n"/>
      <c r="J212" s="34" t="n"/>
      <c r="K212" s="34" t="n"/>
      <c r="L212" s="34" t="n"/>
      <c r="M212" s="30" t="n"/>
      <c r="N212" s="30" t="n"/>
      <c r="O212" s="30" t="n"/>
      <c r="P212" s="30" t="n"/>
      <c r="Q212" s="31" t="n"/>
      <c r="R212" s="31" t="n"/>
      <c r="S212" s="31" t="n"/>
      <c r="T212" s="31" t="n"/>
      <c r="U212" s="31" t="n"/>
      <c r="V212" s="31" t="n"/>
      <c r="W212" s="30" t="n"/>
      <c r="X212" s="31" t="n"/>
      <c r="Y212" s="35" t="n"/>
      <c r="Z212" s="35" t="n"/>
      <c r="AA212" s="35" t="n"/>
      <c r="AB212" s="35" t="n"/>
      <c r="AC212" s="35" t="n"/>
      <c r="AD212" s="35" t="n"/>
      <c r="AE212" s="35" t="n"/>
      <c r="AF212" s="35" t="n"/>
      <c r="AG212" s="36">
        <f>IF(A212="","",IF(V212&lt;&gt;"",V212-B212,TODAY()-B212))</f>
        <v/>
      </c>
      <c r="AH212" s="36">
        <f>IF(OR(A212="",I212=""),"",MAX(0,IF(V212&lt;&gt;"",V212-I212,TODAY()-I212)))</f>
        <v/>
      </c>
      <c r="AI212" s="37">
        <f>IF(A212="","",IF(OR(K212="Closed",V212&lt;&gt;""),"Closed",IF(AH212&gt;=AgeCrit,"Critical",IF(AH212&gt;=AgeFu,"For Follow-up",IF(AH212&gt;=AgeMonitor,"Monitor","Within Standard")))))</f>
        <v/>
      </c>
      <c r="AJ212" s="38">
        <f>IF(A212="","",IFERROR(INDEX(StgPct,MATCH(H212,StgList,0)),0))</f>
        <v/>
      </c>
      <c r="AK212" s="38">
        <f>IF(A212="","",IFERROR(COUNTIF(Y212:AF212,"Y")/(COUNTIF(Y212:AF212,"Y")+COUNTIF(Y212:AF212,"N")),0))</f>
        <v/>
      </c>
      <c r="AL212" s="36">
        <f>IF(OR(A212="",X212=""),"",MAX(0,IF(V212&lt;&gt;"",V212,TODAY())-X212))</f>
        <v/>
      </c>
      <c r="AM212" s="32" t="n"/>
      <c r="AN212" s="33">
        <f>IF(A212="","",LOWER(AI212)&amp;"|"&amp;AH212&amp;"|"&amp;AJ212&amp;"|"&amp;AK212)</f>
        <v/>
      </c>
      <c r="AO212" s="33">
        <f>IF(OR(A212="",T212=""),"",T212-TODAY())</f>
        <v/>
      </c>
      <c r="AP212" s="33">
        <f>IF(OR(A212="",V212&lt;&gt;""),"",(TODAY()-B212)+ROW()/1000000)</f>
        <v/>
      </c>
    </row>
    <row r="213" ht="27" customHeight="1">
      <c r="A213" s="30" t="n"/>
      <c r="B213" s="31" t="n"/>
      <c r="C213" s="32" t="n"/>
      <c r="D213" s="32" t="n"/>
      <c r="E213" s="32" t="n"/>
      <c r="F213" s="32" t="n"/>
      <c r="G213" s="33">
        <f>IF(A213="","",IFERROR(INDEX(OffCat,MATCH(F213,OffList,0)),"Unlisted"))</f>
        <v/>
      </c>
      <c r="H213" s="30" t="n"/>
      <c r="I213" s="31" t="n"/>
      <c r="J213" s="34" t="n"/>
      <c r="K213" s="34" t="n"/>
      <c r="L213" s="34" t="n"/>
      <c r="M213" s="30" t="n"/>
      <c r="N213" s="30" t="n"/>
      <c r="O213" s="30" t="n"/>
      <c r="P213" s="30" t="n"/>
      <c r="Q213" s="31" t="n"/>
      <c r="R213" s="31" t="n"/>
      <c r="S213" s="31" t="n"/>
      <c r="T213" s="31" t="n"/>
      <c r="U213" s="31" t="n"/>
      <c r="V213" s="31" t="n"/>
      <c r="W213" s="30" t="n"/>
      <c r="X213" s="31" t="n"/>
      <c r="Y213" s="35" t="n"/>
      <c r="Z213" s="35" t="n"/>
      <c r="AA213" s="35" t="n"/>
      <c r="AB213" s="35" t="n"/>
      <c r="AC213" s="35" t="n"/>
      <c r="AD213" s="35" t="n"/>
      <c r="AE213" s="35" t="n"/>
      <c r="AF213" s="35" t="n"/>
      <c r="AG213" s="36">
        <f>IF(A213="","",IF(V213&lt;&gt;"",V213-B213,TODAY()-B213))</f>
        <v/>
      </c>
      <c r="AH213" s="36">
        <f>IF(OR(A213="",I213=""),"",MAX(0,IF(V213&lt;&gt;"",V213-I213,TODAY()-I213)))</f>
        <v/>
      </c>
      <c r="AI213" s="37">
        <f>IF(A213="","",IF(OR(K213="Closed",V213&lt;&gt;""),"Closed",IF(AH213&gt;=AgeCrit,"Critical",IF(AH213&gt;=AgeFu,"For Follow-up",IF(AH213&gt;=AgeMonitor,"Monitor","Within Standard")))))</f>
        <v/>
      </c>
      <c r="AJ213" s="38">
        <f>IF(A213="","",IFERROR(INDEX(StgPct,MATCH(H213,StgList,0)),0))</f>
        <v/>
      </c>
      <c r="AK213" s="38">
        <f>IF(A213="","",IFERROR(COUNTIF(Y213:AF213,"Y")/(COUNTIF(Y213:AF213,"Y")+COUNTIF(Y213:AF213,"N")),0))</f>
        <v/>
      </c>
      <c r="AL213" s="36">
        <f>IF(OR(A213="",X213=""),"",MAX(0,IF(V213&lt;&gt;"",V213,TODAY())-X213))</f>
        <v/>
      </c>
      <c r="AM213" s="32" t="n"/>
      <c r="AN213" s="33">
        <f>IF(A213="","",LOWER(AI213)&amp;"|"&amp;AH213&amp;"|"&amp;AJ213&amp;"|"&amp;AK213)</f>
        <v/>
      </c>
      <c r="AO213" s="33">
        <f>IF(OR(A213="",T213=""),"",T213-TODAY())</f>
        <v/>
      </c>
      <c r="AP213" s="33">
        <f>IF(OR(A213="",V213&lt;&gt;""),"",(TODAY()-B213)+ROW()/1000000)</f>
        <v/>
      </c>
    </row>
    <row r="214" ht="27" customHeight="1">
      <c r="A214" s="30" t="n"/>
      <c r="B214" s="31" t="n"/>
      <c r="C214" s="32" t="n"/>
      <c r="D214" s="32" t="n"/>
      <c r="E214" s="32" t="n"/>
      <c r="F214" s="32" t="n"/>
      <c r="G214" s="33">
        <f>IF(A214="","",IFERROR(INDEX(OffCat,MATCH(F214,OffList,0)),"Unlisted"))</f>
        <v/>
      </c>
      <c r="H214" s="30" t="n"/>
      <c r="I214" s="31" t="n"/>
      <c r="J214" s="34" t="n"/>
      <c r="K214" s="34" t="n"/>
      <c r="L214" s="34" t="n"/>
      <c r="M214" s="30" t="n"/>
      <c r="N214" s="30" t="n"/>
      <c r="O214" s="30" t="n"/>
      <c r="P214" s="30" t="n"/>
      <c r="Q214" s="31" t="n"/>
      <c r="R214" s="31" t="n"/>
      <c r="S214" s="31" t="n"/>
      <c r="T214" s="31" t="n"/>
      <c r="U214" s="31" t="n"/>
      <c r="V214" s="31" t="n"/>
      <c r="W214" s="30" t="n"/>
      <c r="X214" s="31" t="n"/>
      <c r="Y214" s="35" t="n"/>
      <c r="Z214" s="35" t="n"/>
      <c r="AA214" s="35" t="n"/>
      <c r="AB214" s="35" t="n"/>
      <c r="AC214" s="35" t="n"/>
      <c r="AD214" s="35" t="n"/>
      <c r="AE214" s="35" t="n"/>
      <c r="AF214" s="35" t="n"/>
      <c r="AG214" s="36">
        <f>IF(A214="","",IF(V214&lt;&gt;"",V214-B214,TODAY()-B214))</f>
        <v/>
      </c>
      <c r="AH214" s="36">
        <f>IF(OR(A214="",I214=""),"",MAX(0,IF(V214&lt;&gt;"",V214-I214,TODAY()-I214)))</f>
        <v/>
      </c>
      <c r="AI214" s="37">
        <f>IF(A214="","",IF(OR(K214="Closed",V214&lt;&gt;""),"Closed",IF(AH214&gt;=AgeCrit,"Critical",IF(AH214&gt;=AgeFu,"For Follow-up",IF(AH214&gt;=AgeMonitor,"Monitor","Within Standard")))))</f>
        <v/>
      </c>
      <c r="AJ214" s="38">
        <f>IF(A214="","",IFERROR(INDEX(StgPct,MATCH(H214,StgList,0)),0))</f>
        <v/>
      </c>
      <c r="AK214" s="38">
        <f>IF(A214="","",IFERROR(COUNTIF(Y214:AF214,"Y")/(COUNTIF(Y214:AF214,"Y")+COUNTIF(Y214:AF214,"N")),0))</f>
        <v/>
      </c>
      <c r="AL214" s="36">
        <f>IF(OR(A214="",X214=""),"",MAX(0,IF(V214&lt;&gt;"",V214,TODAY())-X214))</f>
        <v/>
      </c>
      <c r="AM214" s="32" t="n"/>
      <c r="AN214" s="33">
        <f>IF(A214="","",LOWER(AI214)&amp;"|"&amp;AH214&amp;"|"&amp;AJ214&amp;"|"&amp;AK214)</f>
        <v/>
      </c>
      <c r="AO214" s="33">
        <f>IF(OR(A214="",T214=""),"",T214-TODAY())</f>
        <v/>
      </c>
      <c r="AP214" s="33">
        <f>IF(OR(A214="",V214&lt;&gt;""),"",(TODAY()-B214)+ROW()/1000000)</f>
        <v/>
      </c>
    </row>
    <row r="215" ht="27" customHeight="1">
      <c r="A215" s="30" t="n"/>
      <c r="B215" s="31" t="n"/>
      <c r="C215" s="32" t="n"/>
      <c r="D215" s="32" t="n"/>
      <c r="E215" s="32" t="n"/>
      <c r="F215" s="32" t="n"/>
      <c r="G215" s="33">
        <f>IF(A215="","",IFERROR(INDEX(OffCat,MATCH(F215,OffList,0)),"Unlisted"))</f>
        <v/>
      </c>
      <c r="H215" s="30" t="n"/>
      <c r="I215" s="31" t="n"/>
      <c r="J215" s="34" t="n"/>
      <c r="K215" s="34" t="n"/>
      <c r="L215" s="34" t="n"/>
      <c r="M215" s="30" t="n"/>
      <c r="N215" s="30" t="n"/>
      <c r="O215" s="30" t="n"/>
      <c r="P215" s="30" t="n"/>
      <c r="Q215" s="31" t="n"/>
      <c r="R215" s="31" t="n"/>
      <c r="S215" s="31" t="n"/>
      <c r="T215" s="31" t="n"/>
      <c r="U215" s="31" t="n"/>
      <c r="V215" s="31" t="n"/>
      <c r="W215" s="30" t="n"/>
      <c r="X215" s="31" t="n"/>
      <c r="Y215" s="35" t="n"/>
      <c r="Z215" s="35" t="n"/>
      <c r="AA215" s="35" t="n"/>
      <c r="AB215" s="35" t="n"/>
      <c r="AC215" s="35" t="n"/>
      <c r="AD215" s="35" t="n"/>
      <c r="AE215" s="35" t="n"/>
      <c r="AF215" s="35" t="n"/>
      <c r="AG215" s="36">
        <f>IF(A215="","",IF(V215&lt;&gt;"",V215-B215,TODAY()-B215))</f>
        <v/>
      </c>
      <c r="AH215" s="36">
        <f>IF(OR(A215="",I215=""),"",MAX(0,IF(V215&lt;&gt;"",V215-I215,TODAY()-I215)))</f>
        <v/>
      </c>
      <c r="AI215" s="37">
        <f>IF(A215="","",IF(OR(K215="Closed",V215&lt;&gt;""),"Closed",IF(AH215&gt;=AgeCrit,"Critical",IF(AH215&gt;=AgeFu,"For Follow-up",IF(AH215&gt;=AgeMonitor,"Monitor","Within Standard")))))</f>
        <v/>
      </c>
      <c r="AJ215" s="38">
        <f>IF(A215="","",IFERROR(INDEX(StgPct,MATCH(H215,StgList,0)),0))</f>
        <v/>
      </c>
      <c r="AK215" s="38">
        <f>IF(A215="","",IFERROR(COUNTIF(Y215:AF215,"Y")/(COUNTIF(Y215:AF215,"Y")+COUNTIF(Y215:AF215,"N")),0))</f>
        <v/>
      </c>
      <c r="AL215" s="36">
        <f>IF(OR(A215="",X215=""),"",MAX(0,IF(V215&lt;&gt;"",V215,TODAY())-X215))</f>
        <v/>
      </c>
      <c r="AM215" s="32" t="n"/>
      <c r="AN215" s="33">
        <f>IF(A215="","",LOWER(AI215)&amp;"|"&amp;AH215&amp;"|"&amp;AJ215&amp;"|"&amp;AK215)</f>
        <v/>
      </c>
      <c r="AO215" s="33">
        <f>IF(OR(A215="",T215=""),"",T215-TODAY())</f>
        <v/>
      </c>
      <c r="AP215" s="33">
        <f>IF(OR(A215="",V215&lt;&gt;""),"",(TODAY()-B215)+ROW()/1000000)</f>
        <v/>
      </c>
    </row>
    <row r="216" ht="27" customHeight="1">
      <c r="A216" s="30" t="n"/>
      <c r="B216" s="31" t="n"/>
      <c r="C216" s="32" t="n"/>
      <c r="D216" s="32" t="n"/>
      <c r="E216" s="32" t="n"/>
      <c r="F216" s="32" t="n"/>
      <c r="G216" s="33">
        <f>IF(A216="","",IFERROR(INDEX(OffCat,MATCH(F216,OffList,0)),"Unlisted"))</f>
        <v/>
      </c>
      <c r="H216" s="30" t="n"/>
      <c r="I216" s="31" t="n"/>
      <c r="J216" s="34" t="n"/>
      <c r="K216" s="34" t="n"/>
      <c r="L216" s="34" t="n"/>
      <c r="M216" s="30" t="n"/>
      <c r="N216" s="30" t="n"/>
      <c r="O216" s="30" t="n"/>
      <c r="P216" s="30" t="n"/>
      <c r="Q216" s="31" t="n"/>
      <c r="R216" s="31" t="n"/>
      <c r="S216" s="31" t="n"/>
      <c r="T216" s="31" t="n"/>
      <c r="U216" s="31" t="n"/>
      <c r="V216" s="31" t="n"/>
      <c r="W216" s="30" t="n"/>
      <c r="X216" s="31" t="n"/>
      <c r="Y216" s="35" t="n"/>
      <c r="Z216" s="35" t="n"/>
      <c r="AA216" s="35" t="n"/>
      <c r="AB216" s="35" t="n"/>
      <c r="AC216" s="35" t="n"/>
      <c r="AD216" s="35" t="n"/>
      <c r="AE216" s="35" t="n"/>
      <c r="AF216" s="35" t="n"/>
      <c r="AG216" s="36">
        <f>IF(A216="","",IF(V216&lt;&gt;"",V216-B216,TODAY()-B216))</f>
        <v/>
      </c>
      <c r="AH216" s="36">
        <f>IF(OR(A216="",I216=""),"",MAX(0,IF(V216&lt;&gt;"",V216-I216,TODAY()-I216)))</f>
        <v/>
      </c>
      <c r="AI216" s="37">
        <f>IF(A216="","",IF(OR(K216="Closed",V216&lt;&gt;""),"Closed",IF(AH216&gt;=AgeCrit,"Critical",IF(AH216&gt;=AgeFu,"For Follow-up",IF(AH216&gt;=AgeMonitor,"Monitor","Within Standard")))))</f>
        <v/>
      </c>
      <c r="AJ216" s="38">
        <f>IF(A216="","",IFERROR(INDEX(StgPct,MATCH(H216,StgList,0)),0))</f>
        <v/>
      </c>
      <c r="AK216" s="38">
        <f>IF(A216="","",IFERROR(COUNTIF(Y216:AF216,"Y")/(COUNTIF(Y216:AF216,"Y")+COUNTIF(Y216:AF216,"N")),0))</f>
        <v/>
      </c>
      <c r="AL216" s="36">
        <f>IF(OR(A216="",X216=""),"",MAX(0,IF(V216&lt;&gt;"",V216,TODAY())-X216))</f>
        <v/>
      </c>
      <c r="AM216" s="32" t="n"/>
      <c r="AN216" s="33">
        <f>IF(A216="","",LOWER(AI216)&amp;"|"&amp;AH216&amp;"|"&amp;AJ216&amp;"|"&amp;AK216)</f>
        <v/>
      </c>
      <c r="AO216" s="33">
        <f>IF(OR(A216="",T216=""),"",T216-TODAY())</f>
        <v/>
      </c>
      <c r="AP216" s="33">
        <f>IF(OR(A216="",V216&lt;&gt;""),"",(TODAY()-B216)+ROW()/1000000)</f>
        <v/>
      </c>
    </row>
    <row r="217" ht="27" customHeight="1">
      <c r="A217" s="30" t="n"/>
      <c r="B217" s="31" t="n"/>
      <c r="C217" s="32" t="n"/>
      <c r="D217" s="32" t="n"/>
      <c r="E217" s="32" t="n"/>
      <c r="F217" s="32" t="n"/>
      <c r="G217" s="33">
        <f>IF(A217="","",IFERROR(INDEX(OffCat,MATCH(F217,OffList,0)),"Unlisted"))</f>
        <v/>
      </c>
      <c r="H217" s="30" t="n"/>
      <c r="I217" s="31" t="n"/>
      <c r="J217" s="34" t="n"/>
      <c r="K217" s="34" t="n"/>
      <c r="L217" s="34" t="n"/>
      <c r="M217" s="30" t="n"/>
      <c r="N217" s="30" t="n"/>
      <c r="O217" s="30" t="n"/>
      <c r="P217" s="30" t="n"/>
      <c r="Q217" s="31" t="n"/>
      <c r="R217" s="31" t="n"/>
      <c r="S217" s="31" t="n"/>
      <c r="T217" s="31" t="n"/>
      <c r="U217" s="31" t="n"/>
      <c r="V217" s="31" t="n"/>
      <c r="W217" s="30" t="n"/>
      <c r="X217" s="31" t="n"/>
      <c r="Y217" s="35" t="n"/>
      <c r="Z217" s="35" t="n"/>
      <c r="AA217" s="35" t="n"/>
      <c r="AB217" s="35" t="n"/>
      <c r="AC217" s="35" t="n"/>
      <c r="AD217" s="35" t="n"/>
      <c r="AE217" s="35" t="n"/>
      <c r="AF217" s="35" t="n"/>
      <c r="AG217" s="36">
        <f>IF(A217="","",IF(V217&lt;&gt;"",V217-B217,TODAY()-B217))</f>
        <v/>
      </c>
      <c r="AH217" s="36">
        <f>IF(OR(A217="",I217=""),"",MAX(0,IF(V217&lt;&gt;"",V217-I217,TODAY()-I217)))</f>
        <v/>
      </c>
      <c r="AI217" s="37">
        <f>IF(A217="","",IF(OR(K217="Closed",V217&lt;&gt;""),"Closed",IF(AH217&gt;=AgeCrit,"Critical",IF(AH217&gt;=AgeFu,"For Follow-up",IF(AH217&gt;=AgeMonitor,"Monitor","Within Standard")))))</f>
        <v/>
      </c>
      <c r="AJ217" s="38">
        <f>IF(A217="","",IFERROR(INDEX(StgPct,MATCH(H217,StgList,0)),0))</f>
        <v/>
      </c>
      <c r="AK217" s="38">
        <f>IF(A217="","",IFERROR(COUNTIF(Y217:AF217,"Y")/(COUNTIF(Y217:AF217,"Y")+COUNTIF(Y217:AF217,"N")),0))</f>
        <v/>
      </c>
      <c r="AL217" s="36">
        <f>IF(OR(A217="",X217=""),"",MAX(0,IF(V217&lt;&gt;"",V217,TODAY())-X217))</f>
        <v/>
      </c>
      <c r="AM217" s="32" t="n"/>
      <c r="AN217" s="33">
        <f>IF(A217="","",LOWER(AI217)&amp;"|"&amp;AH217&amp;"|"&amp;AJ217&amp;"|"&amp;AK217)</f>
        <v/>
      </c>
      <c r="AO217" s="33">
        <f>IF(OR(A217="",T217=""),"",T217-TODAY())</f>
        <v/>
      </c>
      <c r="AP217" s="33">
        <f>IF(OR(A217="",V217&lt;&gt;""),"",(TODAY()-B217)+ROW()/1000000)</f>
        <v/>
      </c>
    </row>
    <row r="218" ht="27" customHeight="1">
      <c r="A218" s="30" t="n"/>
      <c r="B218" s="31" t="n"/>
      <c r="C218" s="32" t="n"/>
      <c r="D218" s="32" t="n"/>
      <c r="E218" s="32" t="n"/>
      <c r="F218" s="32" t="n"/>
      <c r="G218" s="33">
        <f>IF(A218="","",IFERROR(INDEX(OffCat,MATCH(F218,OffList,0)),"Unlisted"))</f>
        <v/>
      </c>
      <c r="H218" s="30" t="n"/>
      <c r="I218" s="31" t="n"/>
      <c r="J218" s="34" t="n"/>
      <c r="K218" s="34" t="n"/>
      <c r="L218" s="34" t="n"/>
      <c r="M218" s="30" t="n"/>
      <c r="N218" s="30" t="n"/>
      <c r="O218" s="30" t="n"/>
      <c r="P218" s="30" t="n"/>
      <c r="Q218" s="31" t="n"/>
      <c r="R218" s="31" t="n"/>
      <c r="S218" s="31" t="n"/>
      <c r="T218" s="31" t="n"/>
      <c r="U218" s="31" t="n"/>
      <c r="V218" s="31" t="n"/>
      <c r="W218" s="30" t="n"/>
      <c r="X218" s="31" t="n"/>
      <c r="Y218" s="35" t="n"/>
      <c r="Z218" s="35" t="n"/>
      <c r="AA218" s="35" t="n"/>
      <c r="AB218" s="35" t="n"/>
      <c r="AC218" s="35" t="n"/>
      <c r="AD218" s="35" t="n"/>
      <c r="AE218" s="35" t="n"/>
      <c r="AF218" s="35" t="n"/>
      <c r="AG218" s="36">
        <f>IF(A218="","",IF(V218&lt;&gt;"",V218-B218,TODAY()-B218))</f>
        <v/>
      </c>
      <c r="AH218" s="36">
        <f>IF(OR(A218="",I218=""),"",MAX(0,IF(V218&lt;&gt;"",V218-I218,TODAY()-I218)))</f>
        <v/>
      </c>
      <c r="AI218" s="37">
        <f>IF(A218="","",IF(OR(K218="Closed",V218&lt;&gt;""),"Closed",IF(AH218&gt;=AgeCrit,"Critical",IF(AH218&gt;=AgeFu,"For Follow-up",IF(AH218&gt;=AgeMonitor,"Monitor","Within Standard")))))</f>
        <v/>
      </c>
      <c r="AJ218" s="38">
        <f>IF(A218="","",IFERROR(INDEX(StgPct,MATCH(H218,StgList,0)),0))</f>
        <v/>
      </c>
      <c r="AK218" s="38">
        <f>IF(A218="","",IFERROR(COUNTIF(Y218:AF218,"Y")/(COUNTIF(Y218:AF218,"Y")+COUNTIF(Y218:AF218,"N")),0))</f>
        <v/>
      </c>
      <c r="AL218" s="36">
        <f>IF(OR(A218="",X218=""),"",MAX(0,IF(V218&lt;&gt;"",V218,TODAY())-X218))</f>
        <v/>
      </c>
      <c r="AM218" s="32" t="n"/>
      <c r="AN218" s="33">
        <f>IF(A218="","",LOWER(AI218)&amp;"|"&amp;AH218&amp;"|"&amp;AJ218&amp;"|"&amp;AK218)</f>
        <v/>
      </c>
      <c r="AO218" s="33">
        <f>IF(OR(A218="",T218=""),"",T218-TODAY())</f>
        <v/>
      </c>
      <c r="AP218" s="33">
        <f>IF(OR(A218="",V218&lt;&gt;""),"",(TODAY()-B218)+ROW()/1000000)</f>
        <v/>
      </c>
    </row>
    <row r="219" ht="27" customHeight="1">
      <c r="A219" s="30" t="n"/>
      <c r="B219" s="31" t="n"/>
      <c r="C219" s="32" t="n"/>
      <c r="D219" s="32" t="n"/>
      <c r="E219" s="32" t="n"/>
      <c r="F219" s="32" t="n"/>
      <c r="G219" s="33">
        <f>IF(A219="","",IFERROR(INDEX(OffCat,MATCH(F219,OffList,0)),"Unlisted"))</f>
        <v/>
      </c>
      <c r="H219" s="30" t="n"/>
      <c r="I219" s="31" t="n"/>
      <c r="J219" s="34" t="n"/>
      <c r="K219" s="34" t="n"/>
      <c r="L219" s="34" t="n"/>
      <c r="M219" s="30" t="n"/>
      <c r="N219" s="30" t="n"/>
      <c r="O219" s="30" t="n"/>
      <c r="P219" s="30" t="n"/>
      <c r="Q219" s="31" t="n"/>
      <c r="R219" s="31" t="n"/>
      <c r="S219" s="31" t="n"/>
      <c r="T219" s="31" t="n"/>
      <c r="U219" s="31" t="n"/>
      <c r="V219" s="31" t="n"/>
      <c r="W219" s="30" t="n"/>
      <c r="X219" s="31" t="n"/>
      <c r="Y219" s="35" t="n"/>
      <c r="Z219" s="35" t="n"/>
      <c r="AA219" s="35" t="n"/>
      <c r="AB219" s="35" t="n"/>
      <c r="AC219" s="35" t="n"/>
      <c r="AD219" s="35" t="n"/>
      <c r="AE219" s="35" t="n"/>
      <c r="AF219" s="35" t="n"/>
      <c r="AG219" s="36">
        <f>IF(A219="","",IF(V219&lt;&gt;"",V219-B219,TODAY()-B219))</f>
        <v/>
      </c>
      <c r="AH219" s="36">
        <f>IF(OR(A219="",I219=""),"",MAX(0,IF(V219&lt;&gt;"",V219-I219,TODAY()-I219)))</f>
        <v/>
      </c>
      <c r="AI219" s="37">
        <f>IF(A219="","",IF(OR(K219="Closed",V219&lt;&gt;""),"Closed",IF(AH219&gt;=AgeCrit,"Critical",IF(AH219&gt;=AgeFu,"For Follow-up",IF(AH219&gt;=AgeMonitor,"Monitor","Within Standard")))))</f>
        <v/>
      </c>
      <c r="AJ219" s="38">
        <f>IF(A219="","",IFERROR(INDEX(StgPct,MATCH(H219,StgList,0)),0))</f>
        <v/>
      </c>
      <c r="AK219" s="38">
        <f>IF(A219="","",IFERROR(COUNTIF(Y219:AF219,"Y")/(COUNTIF(Y219:AF219,"Y")+COUNTIF(Y219:AF219,"N")),0))</f>
        <v/>
      </c>
      <c r="AL219" s="36">
        <f>IF(OR(A219="",X219=""),"",MAX(0,IF(V219&lt;&gt;"",V219,TODAY())-X219))</f>
        <v/>
      </c>
      <c r="AM219" s="32" t="n"/>
      <c r="AN219" s="33">
        <f>IF(A219="","",LOWER(AI219)&amp;"|"&amp;AH219&amp;"|"&amp;AJ219&amp;"|"&amp;AK219)</f>
        <v/>
      </c>
      <c r="AO219" s="33">
        <f>IF(OR(A219="",T219=""),"",T219-TODAY())</f>
        <v/>
      </c>
      <c r="AP219" s="33">
        <f>IF(OR(A219="",V219&lt;&gt;""),"",(TODAY()-B219)+ROW()/1000000)</f>
        <v/>
      </c>
    </row>
    <row r="220" ht="27" customHeight="1">
      <c r="A220" s="30" t="n"/>
      <c r="B220" s="31" t="n"/>
      <c r="C220" s="32" t="n"/>
      <c r="D220" s="32" t="n"/>
      <c r="E220" s="32" t="n"/>
      <c r="F220" s="32" t="n"/>
      <c r="G220" s="33">
        <f>IF(A220="","",IFERROR(INDEX(OffCat,MATCH(F220,OffList,0)),"Unlisted"))</f>
        <v/>
      </c>
      <c r="H220" s="30" t="n"/>
      <c r="I220" s="31" t="n"/>
      <c r="J220" s="34" t="n"/>
      <c r="K220" s="34" t="n"/>
      <c r="L220" s="34" t="n"/>
      <c r="M220" s="30" t="n"/>
      <c r="N220" s="30" t="n"/>
      <c r="O220" s="30" t="n"/>
      <c r="P220" s="30" t="n"/>
      <c r="Q220" s="31" t="n"/>
      <c r="R220" s="31" t="n"/>
      <c r="S220" s="31" t="n"/>
      <c r="T220" s="31" t="n"/>
      <c r="U220" s="31" t="n"/>
      <c r="V220" s="31" t="n"/>
      <c r="W220" s="30" t="n"/>
      <c r="X220" s="31" t="n"/>
      <c r="Y220" s="35" t="n"/>
      <c r="Z220" s="35" t="n"/>
      <c r="AA220" s="35" t="n"/>
      <c r="AB220" s="35" t="n"/>
      <c r="AC220" s="35" t="n"/>
      <c r="AD220" s="35" t="n"/>
      <c r="AE220" s="35" t="n"/>
      <c r="AF220" s="35" t="n"/>
      <c r="AG220" s="36">
        <f>IF(A220="","",IF(V220&lt;&gt;"",V220-B220,TODAY()-B220))</f>
        <v/>
      </c>
      <c r="AH220" s="36">
        <f>IF(OR(A220="",I220=""),"",MAX(0,IF(V220&lt;&gt;"",V220-I220,TODAY()-I220)))</f>
        <v/>
      </c>
      <c r="AI220" s="37">
        <f>IF(A220="","",IF(OR(K220="Closed",V220&lt;&gt;""),"Closed",IF(AH220&gt;=AgeCrit,"Critical",IF(AH220&gt;=AgeFu,"For Follow-up",IF(AH220&gt;=AgeMonitor,"Monitor","Within Standard")))))</f>
        <v/>
      </c>
      <c r="AJ220" s="38">
        <f>IF(A220="","",IFERROR(INDEX(StgPct,MATCH(H220,StgList,0)),0))</f>
        <v/>
      </c>
      <c r="AK220" s="38">
        <f>IF(A220="","",IFERROR(COUNTIF(Y220:AF220,"Y")/(COUNTIF(Y220:AF220,"Y")+COUNTIF(Y220:AF220,"N")),0))</f>
        <v/>
      </c>
      <c r="AL220" s="36">
        <f>IF(OR(A220="",X220=""),"",MAX(0,IF(V220&lt;&gt;"",V220,TODAY())-X220))</f>
        <v/>
      </c>
      <c r="AM220" s="32" t="n"/>
      <c r="AN220" s="33">
        <f>IF(A220="","",LOWER(AI220)&amp;"|"&amp;AH220&amp;"|"&amp;AJ220&amp;"|"&amp;AK220)</f>
        <v/>
      </c>
      <c r="AO220" s="33">
        <f>IF(OR(A220="",T220=""),"",T220-TODAY())</f>
        <v/>
      </c>
      <c r="AP220" s="33">
        <f>IF(OR(A220="",V220&lt;&gt;""),"",(TODAY()-B220)+ROW()/1000000)</f>
        <v/>
      </c>
    </row>
    <row r="221" ht="27" customHeight="1">
      <c r="A221" s="30" t="n"/>
      <c r="B221" s="31" t="n"/>
      <c r="C221" s="32" t="n"/>
      <c r="D221" s="32" t="n"/>
      <c r="E221" s="32" t="n"/>
      <c r="F221" s="32" t="n"/>
      <c r="G221" s="33">
        <f>IF(A221="","",IFERROR(INDEX(OffCat,MATCH(F221,OffList,0)),"Unlisted"))</f>
        <v/>
      </c>
      <c r="H221" s="30" t="n"/>
      <c r="I221" s="31" t="n"/>
      <c r="J221" s="34" t="n"/>
      <c r="K221" s="34" t="n"/>
      <c r="L221" s="34" t="n"/>
      <c r="M221" s="30" t="n"/>
      <c r="N221" s="30" t="n"/>
      <c r="O221" s="30" t="n"/>
      <c r="P221" s="30" t="n"/>
      <c r="Q221" s="31" t="n"/>
      <c r="R221" s="31" t="n"/>
      <c r="S221" s="31" t="n"/>
      <c r="T221" s="31" t="n"/>
      <c r="U221" s="31" t="n"/>
      <c r="V221" s="31" t="n"/>
      <c r="W221" s="30" t="n"/>
      <c r="X221" s="31" t="n"/>
      <c r="Y221" s="35" t="n"/>
      <c r="Z221" s="35" t="n"/>
      <c r="AA221" s="35" t="n"/>
      <c r="AB221" s="35" t="n"/>
      <c r="AC221" s="35" t="n"/>
      <c r="AD221" s="35" t="n"/>
      <c r="AE221" s="35" t="n"/>
      <c r="AF221" s="35" t="n"/>
      <c r="AG221" s="36">
        <f>IF(A221="","",IF(V221&lt;&gt;"",V221-B221,TODAY()-B221))</f>
        <v/>
      </c>
      <c r="AH221" s="36">
        <f>IF(OR(A221="",I221=""),"",MAX(0,IF(V221&lt;&gt;"",V221-I221,TODAY()-I221)))</f>
        <v/>
      </c>
      <c r="AI221" s="37">
        <f>IF(A221="","",IF(OR(K221="Closed",V221&lt;&gt;""),"Closed",IF(AH221&gt;=AgeCrit,"Critical",IF(AH221&gt;=AgeFu,"For Follow-up",IF(AH221&gt;=AgeMonitor,"Monitor","Within Standard")))))</f>
        <v/>
      </c>
      <c r="AJ221" s="38">
        <f>IF(A221="","",IFERROR(INDEX(StgPct,MATCH(H221,StgList,0)),0))</f>
        <v/>
      </c>
      <c r="AK221" s="38">
        <f>IF(A221="","",IFERROR(COUNTIF(Y221:AF221,"Y")/(COUNTIF(Y221:AF221,"Y")+COUNTIF(Y221:AF221,"N")),0))</f>
        <v/>
      </c>
      <c r="AL221" s="36">
        <f>IF(OR(A221="",X221=""),"",MAX(0,IF(V221&lt;&gt;"",V221,TODAY())-X221))</f>
        <v/>
      </c>
      <c r="AM221" s="32" t="n"/>
      <c r="AN221" s="33">
        <f>IF(A221="","",LOWER(AI221)&amp;"|"&amp;AH221&amp;"|"&amp;AJ221&amp;"|"&amp;AK221)</f>
        <v/>
      </c>
      <c r="AO221" s="33">
        <f>IF(OR(A221="",T221=""),"",T221-TODAY())</f>
        <v/>
      </c>
      <c r="AP221" s="33">
        <f>IF(OR(A221="",V221&lt;&gt;""),"",(TODAY()-B221)+ROW()/1000000)</f>
        <v/>
      </c>
    </row>
    <row r="222" ht="27" customHeight="1">
      <c r="A222" s="30" t="n"/>
      <c r="B222" s="31" t="n"/>
      <c r="C222" s="32" t="n"/>
      <c r="D222" s="32" t="n"/>
      <c r="E222" s="32" t="n"/>
      <c r="F222" s="32" t="n"/>
      <c r="G222" s="33">
        <f>IF(A222="","",IFERROR(INDEX(OffCat,MATCH(F222,OffList,0)),"Unlisted"))</f>
        <v/>
      </c>
      <c r="H222" s="30" t="n"/>
      <c r="I222" s="31" t="n"/>
      <c r="J222" s="34" t="n"/>
      <c r="K222" s="34" t="n"/>
      <c r="L222" s="34" t="n"/>
      <c r="M222" s="30" t="n"/>
      <c r="N222" s="30" t="n"/>
      <c r="O222" s="30" t="n"/>
      <c r="P222" s="30" t="n"/>
      <c r="Q222" s="31" t="n"/>
      <c r="R222" s="31" t="n"/>
      <c r="S222" s="31" t="n"/>
      <c r="T222" s="31" t="n"/>
      <c r="U222" s="31" t="n"/>
      <c r="V222" s="31" t="n"/>
      <c r="W222" s="30" t="n"/>
      <c r="X222" s="31" t="n"/>
      <c r="Y222" s="35" t="n"/>
      <c r="Z222" s="35" t="n"/>
      <c r="AA222" s="35" t="n"/>
      <c r="AB222" s="35" t="n"/>
      <c r="AC222" s="35" t="n"/>
      <c r="AD222" s="35" t="n"/>
      <c r="AE222" s="35" t="n"/>
      <c r="AF222" s="35" t="n"/>
      <c r="AG222" s="36">
        <f>IF(A222="","",IF(V222&lt;&gt;"",V222-B222,TODAY()-B222))</f>
        <v/>
      </c>
      <c r="AH222" s="36">
        <f>IF(OR(A222="",I222=""),"",MAX(0,IF(V222&lt;&gt;"",V222-I222,TODAY()-I222)))</f>
        <v/>
      </c>
      <c r="AI222" s="37">
        <f>IF(A222="","",IF(OR(K222="Closed",V222&lt;&gt;""),"Closed",IF(AH222&gt;=AgeCrit,"Critical",IF(AH222&gt;=AgeFu,"For Follow-up",IF(AH222&gt;=AgeMonitor,"Monitor","Within Standard")))))</f>
        <v/>
      </c>
      <c r="AJ222" s="38">
        <f>IF(A222="","",IFERROR(INDEX(StgPct,MATCH(H222,StgList,0)),0))</f>
        <v/>
      </c>
      <c r="AK222" s="38">
        <f>IF(A222="","",IFERROR(COUNTIF(Y222:AF222,"Y")/(COUNTIF(Y222:AF222,"Y")+COUNTIF(Y222:AF222,"N")),0))</f>
        <v/>
      </c>
      <c r="AL222" s="36">
        <f>IF(OR(A222="",X222=""),"",MAX(0,IF(V222&lt;&gt;"",V222,TODAY())-X222))</f>
        <v/>
      </c>
      <c r="AM222" s="32" t="n"/>
      <c r="AN222" s="33">
        <f>IF(A222="","",LOWER(AI222)&amp;"|"&amp;AH222&amp;"|"&amp;AJ222&amp;"|"&amp;AK222)</f>
        <v/>
      </c>
      <c r="AO222" s="33">
        <f>IF(OR(A222="",T222=""),"",T222-TODAY())</f>
        <v/>
      </c>
      <c r="AP222" s="33">
        <f>IF(OR(A222="",V222&lt;&gt;""),"",(TODAY()-B222)+ROW()/1000000)</f>
        <v/>
      </c>
    </row>
    <row r="223" ht="27" customHeight="1">
      <c r="A223" s="30" t="n"/>
      <c r="B223" s="31" t="n"/>
      <c r="C223" s="32" t="n"/>
      <c r="D223" s="32" t="n"/>
      <c r="E223" s="32" t="n"/>
      <c r="F223" s="32" t="n"/>
      <c r="G223" s="33">
        <f>IF(A223="","",IFERROR(INDEX(OffCat,MATCH(F223,OffList,0)),"Unlisted"))</f>
        <v/>
      </c>
      <c r="H223" s="30" t="n"/>
      <c r="I223" s="31" t="n"/>
      <c r="J223" s="34" t="n"/>
      <c r="K223" s="34" t="n"/>
      <c r="L223" s="34" t="n"/>
      <c r="M223" s="30" t="n"/>
      <c r="N223" s="30" t="n"/>
      <c r="O223" s="30" t="n"/>
      <c r="P223" s="30" t="n"/>
      <c r="Q223" s="31" t="n"/>
      <c r="R223" s="31" t="n"/>
      <c r="S223" s="31" t="n"/>
      <c r="T223" s="31" t="n"/>
      <c r="U223" s="31" t="n"/>
      <c r="V223" s="31" t="n"/>
      <c r="W223" s="30" t="n"/>
      <c r="X223" s="31" t="n"/>
      <c r="Y223" s="35" t="n"/>
      <c r="Z223" s="35" t="n"/>
      <c r="AA223" s="35" t="n"/>
      <c r="AB223" s="35" t="n"/>
      <c r="AC223" s="35" t="n"/>
      <c r="AD223" s="35" t="n"/>
      <c r="AE223" s="35" t="n"/>
      <c r="AF223" s="35" t="n"/>
      <c r="AG223" s="36">
        <f>IF(A223="","",IF(V223&lt;&gt;"",V223-B223,TODAY()-B223))</f>
        <v/>
      </c>
      <c r="AH223" s="36">
        <f>IF(OR(A223="",I223=""),"",MAX(0,IF(V223&lt;&gt;"",V223-I223,TODAY()-I223)))</f>
        <v/>
      </c>
      <c r="AI223" s="37">
        <f>IF(A223="","",IF(OR(K223="Closed",V223&lt;&gt;""),"Closed",IF(AH223&gt;=AgeCrit,"Critical",IF(AH223&gt;=AgeFu,"For Follow-up",IF(AH223&gt;=AgeMonitor,"Monitor","Within Standard")))))</f>
        <v/>
      </c>
      <c r="AJ223" s="38">
        <f>IF(A223="","",IFERROR(INDEX(StgPct,MATCH(H223,StgList,0)),0))</f>
        <v/>
      </c>
      <c r="AK223" s="38">
        <f>IF(A223="","",IFERROR(COUNTIF(Y223:AF223,"Y")/(COUNTIF(Y223:AF223,"Y")+COUNTIF(Y223:AF223,"N")),0))</f>
        <v/>
      </c>
      <c r="AL223" s="36">
        <f>IF(OR(A223="",X223=""),"",MAX(0,IF(V223&lt;&gt;"",V223,TODAY())-X223))</f>
        <v/>
      </c>
      <c r="AM223" s="32" t="n"/>
      <c r="AN223" s="33">
        <f>IF(A223="","",LOWER(AI223)&amp;"|"&amp;AH223&amp;"|"&amp;AJ223&amp;"|"&amp;AK223)</f>
        <v/>
      </c>
      <c r="AO223" s="33">
        <f>IF(OR(A223="",T223=""),"",T223-TODAY())</f>
        <v/>
      </c>
      <c r="AP223" s="33">
        <f>IF(OR(A223="",V223&lt;&gt;""),"",(TODAY()-B223)+ROW()/1000000)</f>
        <v/>
      </c>
    </row>
    <row r="224" ht="27" customHeight="1">
      <c r="A224" s="30" t="n"/>
      <c r="B224" s="31" t="n"/>
      <c r="C224" s="32" t="n"/>
      <c r="D224" s="32" t="n"/>
      <c r="E224" s="32" t="n"/>
      <c r="F224" s="32" t="n"/>
      <c r="G224" s="33">
        <f>IF(A224="","",IFERROR(INDEX(OffCat,MATCH(F224,OffList,0)),"Unlisted"))</f>
        <v/>
      </c>
      <c r="H224" s="30" t="n"/>
      <c r="I224" s="31" t="n"/>
      <c r="J224" s="34" t="n"/>
      <c r="K224" s="34" t="n"/>
      <c r="L224" s="34" t="n"/>
      <c r="M224" s="30" t="n"/>
      <c r="N224" s="30" t="n"/>
      <c r="O224" s="30" t="n"/>
      <c r="P224" s="30" t="n"/>
      <c r="Q224" s="31" t="n"/>
      <c r="R224" s="31" t="n"/>
      <c r="S224" s="31" t="n"/>
      <c r="T224" s="31" t="n"/>
      <c r="U224" s="31" t="n"/>
      <c r="V224" s="31" t="n"/>
      <c r="W224" s="30" t="n"/>
      <c r="X224" s="31" t="n"/>
      <c r="Y224" s="35" t="n"/>
      <c r="Z224" s="35" t="n"/>
      <c r="AA224" s="35" t="n"/>
      <c r="AB224" s="35" t="n"/>
      <c r="AC224" s="35" t="n"/>
      <c r="AD224" s="35" t="n"/>
      <c r="AE224" s="35" t="n"/>
      <c r="AF224" s="35" t="n"/>
      <c r="AG224" s="36">
        <f>IF(A224="","",IF(V224&lt;&gt;"",V224-B224,TODAY()-B224))</f>
        <v/>
      </c>
      <c r="AH224" s="36">
        <f>IF(OR(A224="",I224=""),"",MAX(0,IF(V224&lt;&gt;"",V224-I224,TODAY()-I224)))</f>
        <v/>
      </c>
      <c r="AI224" s="37">
        <f>IF(A224="","",IF(OR(K224="Closed",V224&lt;&gt;""),"Closed",IF(AH224&gt;=AgeCrit,"Critical",IF(AH224&gt;=AgeFu,"For Follow-up",IF(AH224&gt;=AgeMonitor,"Monitor","Within Standard")))))</f>
        <v/>
      </c>
      <c r="AJ224" s="38">
        <f>IF(A224="","",IFERROR(INDEX(StgPct,MATCH(H224,StgList,0)),0))</f>
        <v/>
      </c>
      <c r="AK224" s="38">
        <f>IF(A224="","",IFERROR(COUNTIF(Y224:AF224,"Y")/(COUNTIF(Y224:AF224,"Y")+COUNTIF(Y224:AF224,"N")),0))</f>
        <v/>
      </c>
      <c r="AL224" s="36">
        <f>IF(OR(A224="",X224=""),"",MAX(0,IF(V224&lt;&gt;"",V224,TODAY())-X224))</f>
        <v/>
      </c>
      <c r="AM224" s="32" t="n"/>
      <c r="AN224" s="33">
        <f>IF(A224="","",LOWER(AI224)&amp;"|"&amp;AH224&amp;"|"&amp;AJ224&amp;"|"&amp;AK224)</f>
        <v/>
      </c>
      <c r="AO224" s="33">
        <f>IF(OR(A224="",T224=""),"",T224-TODAY())</f>
        <v/>
      </c>
      <c r="AP224" s="33">
        <f>IF(OR(A224="",V224&lt;&gt;""),"",(TODAY()-B224)+ROW()/1000000)</f>
        <v/>
      </c>
    </row>
    <row r="225" ht="27" customHeight="1">
      <c r="A225" s="30" t="n"/>
      <c r="B225" s="31" t="n"/>
      <c r="C225" s="32" t="n"/>
      <c r="D225" s="32" t="n"/>
      <c r="E225" s="32" t="n"/>
      <c r="F225" s="32" t="n"/>
      <c r="G225" s="33">
        <f>IF(A225="","",IFERROR(INDEX(OffCat,MATCH(F225,OffList,0)),"Unlisted"))</f>
        <v/>
      </c>
      <c r="H225" s="30" t="n"/>
      <c r="I225" s="31" t="n"/>
      <c r="J225" s="34" t="n"/>
      <c r="K225" s="34" t="n"/>
      <c r="L225" s="34" t="n"/>
      <c r="M225" s="30" t="n"/>
      <c r="N225" s="30" t="n"/>
      <c r="O225" s="30" t="n"/>
      <c r="P225" s="30" t="n"/>
      <c r="Q225" s="31" t="n"/>
      <c r="R225" s="31" t="n"/>
      <c r="S225" s="31" t="n"/>
      <c r="T225" s="31" t="n"/>
      <c r="U225" s="31" t="n"/>
      <c r="V225" s="31" t="n"/>
      <c r="W225" s="30" t="n"/>
      <c r="X225" s="31" t="n"/>
      <c r="Y225" s="35" t="n"/>
      <c r="Z225" s="35" t="n"/>
      <c r="AA225" s="35" t="n"/>
      <c r="AB225" s="35" t="n"/>
      <c r="AC225" s="35" t="n"/>
      <c r="AD225" s="35" t="n"/>
      <c r="AE225" s="35" t="n"/>
      <c r="AF225" s="35" t="n"/>
      <c r="AG225" s="36">
        <f>IF(A225="","",IF(V225&lt;&gt;"",V225-B225,TODAY()-B225))</f>
        <v/>
      </c>
      <c r="AH225" s="36">
        <f>IF(OR(A225="",I225=""),"",MAX(0,IF(V225&lt;&gt;"",V225-I225,TODAY()-I225)))</f>
        <v/>
      </c>
      <c r="AI225" s="37">
        <f>IF(A225="","",IF(OR(K225="Closed",V225&lt;&gt;""),"Closed",IF(AH225&gt;=AgeCrit,"Critical",IF(AH225&gt;=AgeFu,"For Follow-up",IF(AH225&gt;=AgeMonitor,"Monitor","Within Standard")))))</f>
        <v/>
      </c>
      <c r="AJ225" s="38">
        <f>IF(A225="","",IFERROR(INDEX(StgPct,MATCH(H225,StgList,0)),0))</f>
        <v/>
      </c>
      <c r="AK225" s="38">
        <f>IF(A225="","",IFERROR(COUNTIF(Y225:AF225,"Y")/(COUNTIF(Y225:AF225,"Y")+COUNTIF(Y225:AF225,"N")),0))</f>
        <v/>
      </c>
      <c r="AL225" s="36">
        <f>IF(OR(A225="",X225=""),"",MAX(0,IF(V225&lt;&gt;"",V225,TODAY())-X225))</f>
        <v/>
      </c>
      <c r="AM225" s="32" t="n"/>
      <c r="AN225" s="33">
        <f>IF(A225="","",LOWER(AI225)&amp;"|"&amp;AH225&amp;"|"&amp;AJ225&amp;"|"&amp;AK225)</f>
        <v/>
      </c>
      <c r="AO225" s="33">
        <f>IF(OR(A225="",T225=""),"",T225-TODAY())</f>
        <v/>
      </c>
      <c r="AP225" s="33">
        <f>IF(OR(A225="",V225&lt;&gt;""),"",(TODAY()-B225)+ROW()/1000000)</f>
        <v/>
      </c>
    </row>
    <row r="226" ht="27" customHeight="1">
      <c r="A226" s="30" t="n"/>
      <c r="B226" s="31" t="n"/>
      <c r="C226" s="32" t="n"/>
      <c r="D226" s="32" t="n"/>
      <c r="E226" s="32" t="n"/>
      <c r="F226" s="32" t="n"/>
      <c r="G226" s="33">
        <f>IF(A226="","",IFERROR(INDEX(OffCat,MATCH(F226,OffList,0)),"Unlisted"))</f>
        <v/>
      </c>
      <c r="H226" s="30" t="n"/>
      <c r="I226" s="31" t="n"/>
      <c r="J226" s="34" t="n"/>
      <c r="K226" s="34" t="n"/>
      <c r="L226" s="34" t="n"/>
      <c r="M226" s="30" t="n"/>
      <c r="N226" s="30" t="n"/>
      <c r="O226" s="30" t="n"/>
      <c r="P226" s="30" t="n"/>
      <c r="Q226" s="31" t="n"/>
      <c r="R226" s="31" t="n"/>
      <c r="S226" s="31" t="n"/>
      <c r="T226" s="31" t="n"/>
      <c r="U226" s="31" t="n"/>
      <c r="V226" s="31" t="n"/>
      <c r="W226" s="30" t="n"/>
      <c r="X226" s="31" t="n"/>
      <c r="Y226" s="35" t="n"/>
      <c r="Z226" s="35" t="n"/>
      <c r="AA226" s="35" t="n"/>
      <c r="AB226" s="35" t="n"/>
      <c r="AC226" s="35" t="n"/>
      <c r="AD226" s="35" t="n"/>
      <c r="AE226" s="35" t="n"/>
      <c r="AF226" s="35" t="n"/>
      <c r="AG226" s="36">
        <f>IF(A226="","",IF(V226&lt;&gt;"",V226-B226,TODAY()-B226))</f>
        <v/>
      </c>
      <c r="AH226" s="36">
        <f>IF(OR(A226="",I226=""),"",MAX(0,IF(V226&lt;&gt;"",V226-I226,TODAY()-I226)))</f>
        <v/>
      </c>
      <c r="AI226" s="37">
        <f>IF(A226="","",IF(OR(K226="Closed",V226&lt;&gt;""),"Closed",IF(AH226&gt;=AgeCrit,"Critical",IF(AH226&gt;=AgeFu,"For Follow-up",IF(AH226&gt;=AgeMonitor,"Monitor","Within Standard")))))</f>
        <v/>
      </c>
      <c r="AJ226" s="38">
        <f>IF(A226="","",IFERROR(INDEX(StgPct,MATCH(H226,StgList,0)),0))</f>
        <v/>
      </c>
      <c r="AK226" s="38">
        <f>IF(A226="","",IFERROR(COUNTIF(Y226:AF226,"Y")/(COUNTIF(Y226:AF226,"Y")+COUNTIF(Y226:AF226,"N")),0))</f>
        <v/>
      </c>
      <c r="AL226" s="36">
        <f>IF(OR(A226="",X226=""),"",MAX(0,IF(V226&lt;&gt;"",V226,TODAY())-X226))</f>
        <v/>
      </c>
      <c r="AM226" s="32" t="n"/>
      <c r="AN226" s="33">
        <f>IF(A226="","",LOWER(AI226)&amp;"|"&amp;AH226&amp;"|"&amp;AJ226&amp;"|"&amp;AK226)</f>
        <v/>
      </c>
      <c r="AO226" s="33">
        <f>IF(OR(A226="",T226=""),"",T226-TODAY())</f>
        <v/>
      </c>
      <c r="AP226" s="33">
        <f>IF(OR(A226="",V226&lt;&gt;""),"",(TODAY()-B226)+ROW()/1000000)</f>
        <v/>
      </c>
    </row>
    <row r="227" ht="27" customHeight="1">
      <c r="A227" s="30" t="n"/>
      <c r="B227" s="31" t="n"/>
      <c r="C227" s="32" t="n"/>
      <c r="D227" s="32" t="n"/>
      <c r="E227" s="32" t="n"/>
      <c r="F227" s="32" t="n"/>
      <c r="G227" s="33">
        <f>IF(A227="","",IFERROR(INDEX(OffCat,MATCH(F227,OffList,0)),"Unlisted"))</f>
        <v/>
      </c>
      <c r="H227" s="30" t="n"/>
      <c r="I227" s="31" t="n"/>
      <c r="J227" s="34" t="n"/>
      <c r="K227" s="34" t="n"/>
      <c r="L227" s="34" t="n"/>
      <c r="M227" s="30" t="n"/>
      <c r="N227" s="30" t="n"/>
      <c r="O227" s="30" t="n"/>
      <c r="P227" s="30" t="n"/>
      <c r="Q227" s="31" t="n"/>
      <c r="R227" s="31" t="n"/>
      <c r="S227" s="31" t="n"/>
      <c r="T227" s="31" t="n"/>
      <c r="U227" s="31" t="n"/>
      <c r="V227" s="31" t="n"/>
      <c r="W227" s="30" t="n"/>
      <c r="X227" s="31" t="n"/>
      <c r="Y227" s="35" t="n"/>
      <c r="Z227" s="35" t="n"/>
      <c r="AA227" s="35" t="n"/>
      <c r="AB227" s="35" t="n"/>
      <c r="AC227" s="35" t="n"/>
      <c r="AD227" s="35" t="n"/>
      <c r="AE227" s="35" t="n"/>
      <c r="AF227" s="35" t="n"/>
      <c r="AG227" s="36">
        <f>IF(A227="","",IF(V227&lt;&gt;"",V227-B227,TODAY()-B227))</f>
        <v/>
      </c>
      <c r="AH227" s="36">
        <f>IF(OR(A227="",I227=""),"",MAX(0,IF(V227&lt;&gt;"",V227-I227,TODAY()-I227)))</f>
        <v/>
      </c>
      <c r="AI227" s="37">
        <f>IF(A227="","",IF(OR(K227="Closed",V227&lt;&gt;""),"Closed",IF(AH227&gt;=AgeCrit,"Critical",IF(AH227&gt;=AgeFu,"For Follow-up",IF(AH227&gt;=AgeMonitor,"Monitor","Within Standard")))))</f>
        <v/>
      </c>
      <c r="AJ227" s="38">
        <f>IF(A227="","",IFERROR(INDEX(StgPct,MATCH(H227,StgList,0)),0))</f>
        <v/>
      </c>
      <c r="AK227" s="38">
        <f>IF(A227="","",IFERROR(COUNTIF(Y227:AF227,"Y")/(COUNTIF(Y227:AF227,"Y")+COUNTIF(Y227:AF227,"N")),0))</f>
        <v/>
      </c>
      <c r="AL227" s="36">
        <f>IF(OR(A227="",X227=""),"",MAX(0,IF(V227&lt;&gt;"",V227,TODAY())-X227))</f>
        <v/>
      </c>
      <c r="AM227" s="32" t="n"/>
      <c r="AN227" s="33">
        <f>IF(A227="","",LOWER(AI227)&amp;"|"&amp;AH227&amp;"|"&amp;AJ227&amp;"|"&amp;AK227)</f>
        <v/>
      </c>
      <c r="AO227" s="33">
        <f>IF(OR(A227="",T227=""),"",T227-TODAY())</f>
        <v/>
      </c>
      <c r="AP227" s="33">
        <f>IF(OR(A227="",V227&lt;&gt;""),"",(TODAY()-B227)+ROW()/1000000)</f>
        <v/>
      </c>
    </row>
    <row r="228" ht="27" customHeight="1">
      <c r="A228" s="30" t="n"/>
      <c r="B228" s="31" t="n"/>
      <c r="C228" s="32" t="n"/>
      <c r="D228" s="32" t="n"/>
      <c r="E228" s="32" t="n"/>
      <c r="F228" s="32" t="n"/>
      <c r="G228" s="33">
        <f>IF(A228="","",IFERROR(INDEX(OffCat,MATCH(F228,OffList,0)),"Unlisted"))</f>
        <v/>
      </c>
      <c r="H228" s="30" t="n"/>
      <c r="I228" s="31" t="n"/>
      <c r="J228" s="34" t="n"/>
      <c r="K228" s="34" t="n"/>
      <c r="L228" s="34" t="n"/>
      <c r="M228" s="30" t="n"/>
      <c r="N228" s="30" t="n"/>
      <c r="O228" s="30" t="n"/>
      <c r="P228" s="30" t="n"/>
      <c r="Q228" s="31" t="n"/>
      <c r="R228" s="31" t="n"/>
      <c r="S228" s="31" t="n"/>
      <c r="T228" s="31" t="n"/>
      <c r="U228" s="31" t="n"/>
      <c r="V228" s="31" t="n"/>
      <c r="W228" s="30" t="n"/>
      <c r="X228" s="31" t="n"/>
      <c r="Y228" s="35" t="n"/>
      <c r="Z228" s="35" t="n"/>
      <c r="AA228" s="35" t="n"/>
      <c r="AB228" s="35" t="n"/>
      <c r="AC228" s="35" t="n"/>
      <c r="AD228" s="35" t="n"/>
      <c r="AE228" s="35" t="n"/>
      <c r="AF228" s="35" t="n"/>
      <c r="AG228" s="36">
        <f>IF(A228="","",IF(V228&lt;&gt;"",V228-B228,TODAY()-B228))</f>
        <v/>
      </c>
      <c r="AH228" s="36">
        <f>IF(OR(A228="",I228=""),"",MAX(0,IF(V228&lt;&gt;"",V228-I228,TODAY()-I228)))</f>
        <v/>
      </c>
      <c r="AI228" s="37">
        <f>IF(A228="","",IF(OR(K228="Closed",V228&lt;&gt;""),"Closed",IF(AH228&gt;=AgeCrit,"Critical",IF(AH228&gt;=AgeFu,"For Follow-up",IF(AH228&gt;=AgeMonitor,"Monitor","Within Standard")))))</f>
        <v/>
      </c>
      <c r="AJ228" s="38">
        <f>IF(A228="","",IFERROR(INDEX(StgPct,MATCH(H228,StgList,0)),0))</f>
        <v/>
      </c>
      <c r="AK228" s="38">
        <f>IF(A228="","",IFERROR(COUNTIF(Y228:AF228,"Y")/(COUNTIF(Y228:AF228,"Y")+COUNTIF(Y228:AF228,"N")),0))</f>
        <v/>
      </c>
      <c r="AL228" s="36">
        <f>IF(OR(A228="",X228=""),"",MAX(0,IF(V228&lt;&gt;"",V228,TODAY())-X228))</f>
        <v/>
      </c>
      <c r="AM228" s="32" t="n"/>
      <c r="AN228" s="33">
        <f>IF(A228="","",LOWER(AI228)&amp;"|"&amp;AH228&amp;"|"&amp;AJ228&amp;"|"&amp;AK228)</f>
        <v/>
      </c>
      <c r="AO228" s="33">
        <f>IF(OR(A228="",T228=""),"",T228-TODAY())</f>
        <v/>
      </c>
      <c r="AP228" s="33">
        <f>IF(OR(A228="",V228&lt;&gt;""),"",(TODAY()-B228)+ROW()/1000000)</f>
        <v/>
      </c>
    </row>
    <row r="229" ht="27" customHeight="1">
      <c r="A229" s="30" t="n"/>
      <c r="B229" s="31" t="n"/>
      <c r="C229" s="32" t="n"/>
      <c r="D229" s="32" t="n"/>
      <c r="E229" s="32" t="n"/>
      <c r="F229" s="32" t="n"/>
      <c r="G229" s="33">
        <f>IF(A229="","",IFERROR(INDEX(OffCat,MATCH(F229,OffList,0)),"Unlisted"))</f>
        <v/>
      </c>
      <c r="H229" s="30" t="n"/>
      <c r="I229" s="31" t="n"/>
      <c r="J229" s="34" t="n"/>
      <c r="K229" s="34" t="n"/>
      <c r="L229" s="34" t="n"/>
      <c r="M229" s="30" t="n"/>
      <c r="N229" s="30" t="n"/>
      <c r="O229" s="30" t="n"/>
      <c r="P229" s="30" t="n"/>
      <c r="Q229" s="31" t="n"/>
      <c r="R229" s="31" t="n"/>
      <c r="S229" s="31" t="n"/>
      <c r="T229" s="31" t="n"/>
      <c r="U229" s="31" t="n"/>
      <c r="V229" s="31" t="n"/>
      <c r="W229" s="30" t="n"/>
      <c r="X229" s="31" t="n"/>
      <c r="Y229" s="35" t="n"/>
      <c r="Z229" s="35" t="n"/>
      <c r="AA229" s="35" t="n"/>
      <c r="AB229" s="35" t="n"/>
      <c r="AC229" s="35" t="n"/>
      <c r="AD229" s="35" t="n"/>
      <c r="AE229" s="35" t="n"/>
      <c r="AF229" s="35" t="n"/>
      <c r="AG229" s="36">
        <f>IF(A229="","",IF(V229&lt;&gt;"",V229-B229,TODAY()-B229))</f>
        <v/>
      </c>
      <c r="AH229" s="36">
        <f>IF(OR(A229="",I229=""),"",MAX(0,IF(V229&lt;&gt;"",V229-I229,TODAY()-I229)))</f>
        <v/>
      </c>
      <c r="AI229" s="37">
        <f>IF(A229="","",IF(OR(K229="Closed",V229&lt;&gt;""),"Closed",IF(AH229&gt;=AgeCrit,"Critical",IF(AH229&gt;=AgeFu,"For Follow-up",IF(AH229&gt;=AgeMonitor,"Monitor","Within Standard")))))</f>
        <v/>
      </c>
      <c r="AJ229" s="38">
        <f>IF(A229="","",IFERROR(INDEX(StgPct,MATCH(H229,StgList,0)),0))</f>
        <v/>
      </c>
      <c r="AK229" s="38">
        <f>IF(A229="","",IFERROR(COUNTIF(Y229:AF229,"Y")/(COUNTIF(Y229:AF229,"Y")+COUNTIF(Y229:AF229,"N")),0))</f>
        <v/>
      </c>
      <c r="AL229" s="36">
        <f>IF(OR(A229="",X229=""),"",MAX(0,IF(V229&lt;&gt;"",V229,TODAY())-X229))</f>
        <v/>
      </c>
      <c r="AM229" s="32" t="n"/>
      <c r="AN229" s="33">
        <f>IF(A229="","",LOWER(AI229)&amp;"|"&amp;AH229&amp;"|"&amp;AJ229&amp;"|"&amp;AK229)</f>
        <v/>
      </c>
      <c r="AO229" s="33">
        <f>IF(OR(A229="",T229=""),"",T229-TODAY())</f>
        <v/>
      </c>
      <c r="AP229" s="33">
        <f>IF(OR(A229="",V229&lt;&gt;""),"",(TODAY()-B229)+ROW()/1000000)</f>
        <v/>
      </c>
    </row>
    <row r="230" ht="27" customHeight="1">
      <c r="A230" s="30" t="n"/>
      <c r="B230" s="31" t="n"/>
      <c r="C230" s="32" t="n"/>
      <c r="D230" s="32" t="n"/>
      <c r="E230" s="32" t="n"/>
      <c r="F230" s="32" t="n"/>
      <c r="G230" s="33">
        <f>IF(A230="","",IFERROR(INDEX(OffCat,MATCH(F230,OffList,0)),"Unlisted"))</f>
        <v/>
      </c>
      <c r="H230" s="30" t="n"/>
      <c r="I230" s="31" t="n"/>
      <c r="J230" s="34" t="n"/>
      <c r="K230" s="34" t="n"/>
      <c r="L230" s="34" t="n"/>
      <c r="M230" s="30" t="n"/>
      <c r="N230" s="30" t="n"/>
      <c r="O230" s="30" t="n"/>
      <c r="P230" s="30" t="n"/>
      <c r="Q230" s="31" t="n"/>
      <c r="R230" s="31" t="n"/>
      <c r="S230" s="31" t="n"/>
      <c r="T230" s="31" t="n"/>
      <c r="U230" s="31" t="n"/>
      <c r="V230" s="31" t="n"/>
      <c r="W230" s="30" t="n"/>
      <c r="X230" s="31" t="n"/>
      <c r="Y230" s="35" t="n"/>
      <c r="Z230" s="35" t="n"/>
      <c r="AA230" s="35" t="n"/>
      <c r="AB230" s="35" t="n"/>
      <c r="AC230" s="35" t="n"/>
      <c r="AD230" s="35" t="n"/>
      <c r="AE230" s="35" t="n"/>
      <c r="AF230" s="35" t="n"/>
      <c r="AG230" s="36">
        <f>IF(A230="","",IF(V230&lt;&gt;"",V230-B230,TODAY()-B230))</f>
        <v/>
      </c>
      <c r="AH230" s="36">
        <f>IF(OR(A230="",I230=""),"",MAX(0,IF(V230&lt;&gt;"",V230-I230,TODAY()-I230)))</f>
        <v/>
      </c>
      <c r="AI230" s="37">
        <f>IF(A230="","",IF(OR(K230="Closed",V230&lt;&gt;""),"Closed",IF(AH230&gt;=AgeCrit,"Critical",IF(AH230&gt;=AgeFu,"For Follow-up",IF(AH230&gt;=AgeMonitor,"Monitor","Within Standard")))))</f>
        <v/>
      </c>
      <c r="AJ230" s="38">
        <f>IF(A230="","",IFERROR(INDEX(StgPct,MATCH(H230,StgList,0)),0))</f>
        <v/>
      </c>
      <c r="AK230" s="38">
        <f>IF(A230="","",IFERROR(COUNTIF(Y230:AF230,"Y")/(COUNTIF(Y230:AF230,"Y")+COUNTIF(Y230:AF230,"N")),0))</f>
        <v/>
      </c>
      <c r="AL230" s="36">
        <f>IF(OR(A230="",X230=""),"",MAX(0,IF(V230&lt;&gt;"",V230,TODAY())-X230))</f>
        <v/>
      </c>
      <c r="AM230" s="32" t="n"/>
      <c r="AN230" s="33">
        <f>IF(A230="","",LOWER(AI230)&amp;"|"&amp;AH230&amp;"|"&amp;AJ230&amp;"|"&amp;AK230)</f>
        <v/>
      </c>
      <c r="AO230" s="33">
        <f>IF(OR(A230="",T230=""),"",T230-TODAY())</f>
        <v/>
      </c>
      <c r="AP230" s="33">
        <f>IF(OR(A230="",V230&lt;&gt;""),"",(TODAY()-B230)+ROW()/1000000)</f>
        <v/>
      </c>
    </row>
    <row r="231" ht="27" customHeight="1">
      <c r="A231" s="30" t="n"/>
      <c r="B231" s="31" t="n"/>
      <c r="C231" s="32" t="n"/>
      <c r="D231" s="32" t="n"/>
      <c r="E231" s="32" t="n"/>
      <c r="F231" s="32" t="n"/>
      <c r="G231" s="33">
        <f>IF(A231="","",IFERROR(INDEX(OffCat,MATCH(F231,OffList,0)),"Unlisted"))</f>
        <v/>
      </c>
      <c r="H231" s="30" t="n"/>
      <c r="I231" s="31" t="n"/>
      <c r="J231" s="34" t="n"/>
      <c r="K231" s="34" t="n"/>
      <c r="L231" s="34" t="n"/>
      <c r="M231" s="30" t="n"/>
      <c r="N231" s="30" t="n"/>
      <c r="O231" s="30" t="n"/>
      <c r="P231" s="30" t="n"/>
      <c r="Q231" s="31" t="n"/>
      <c r="R231" s="31" t="n"/>
      <c r="S231" s="31" t="n"/>
      <c r="T231" s="31" t="n"/>
      <c r="U231" s="31" t="n"/>
      <c r="V231" s="31" t="n"/>
      <c r="W231" s="30" t="n"/>
      <c r="X231" s="31" t="n"/>
      <c r="Y231" s="35" t="n"/>
      <c r="Z231" s="35" t="n"/>
      <c r="AA231" s="35" t="n"/>
      <c r="AB231" s="35" t="n"/>
      <c r="AC231" s="35" t="n"/>
      <c r="AD231" s="35" t="n"/>
      <c r="AE231" s="35" t="n"/>
      <c r="AF231" s="35" t="n"/>
      <c r="AG231" s="36">
        <f>IF(A231="","",IF(V231&lt;&gt;"",V231-B231,TODAY()-B231))</f>
        <v/>
      </c>
      <c r="AH231" s="36">
        <f>IF(OR(A231="",I231=""),"",MAX(0,IF(V231&lt;&gt;"",V231-I231,TODAY()-I231)))</f>
        <v/>
      </c>
      <c r="AI231" s="37">
        <f>IF(A231="","",IF(OR(K231="Closed",V231&lt;&gt;""),"Closed",IF(AH231&gt;=AgeCrit,"Critical",IF(AH231&gt;=AgeFu,"For Follow-up",IF(AH231&gt;=AgeMonitor,"Monitor","Within Standard")))))</f>
        <v/>
      </c>
      <c r="AJ231" s="38">
        <f>IF(A231="","",IFERROR(INDEX(StgPct,MATCH(H231,StgList,0)),0))</f>
        <v/>
      </c>
      <c r="AK231" s="38">
        <f>IF(A231="","",IFERROR(COUNTIF(Y231:AF231,"Y")/(COUNTIF(Y231:AF231,"Y")+COUNTIF(Y231:AF231,"N")),0))</f>
        <v/>
      </c>
      <c r="AL231" s="36">
        <f>IF(OR(A231="",X231=""),"",MAX(0,IF(V231&lt;&gt;"",V231,TODAY())-X231))</f>
        <v/>
      </c>
      <c r="AM231" s="32" t="n"/>
      <c r="AN231" s="33">
        <f>IF(A231="","",LOWER(AI231)&amp;"|"&amp;AH231&amp;"|"&amp;AJ231&amp;"|"&amp;AK231)</f>
        <v/>
      </c>
      <c r="AO231" s="33">
        <f>IF(OR(A231="",T231=""),"",T231-TODAY())</f>
        <v/>
      </c>
      <c r="AP231" s="33">
        <f>IF(OR(A231="",V231&lt;&gt;""),"",(TODAY()-B231)+ROW()/1000000)</f>
        <v/>
      </c>
    </row>
    <row r="232" ht="27" customHeight="1">
      <c r="A232" s="30" t="n"/>
      <c r="B232" s="31" t="n"/>
      <c r="C232" s="32" t="n"/>
      <c r="D232" s="32" t="n"/>
      <c r="E232" s="32" t="n"/>
      <c r="F232" s="32" t="n"/>
      <c r="G232" s="33">
        <f>IF(A232="","",IFERROR(INDEX(OffCat,MATCH(F232,OffList,0)),"Unlisted"))</f>
        <v/>
      </c>
      <c r="H232" s="30" t="n"/>
      <c r="I232" s="31" t="n"/>
      <c r="J232" s="34" t="n"/>
      <c r="K232" s="34" t="n"/>
      <c r="L232" s="34" t="n"/>
      <c r="M232" s="30" t="n"/>
      <c r="N232" s="30" t="n"/>
      <c r="O232" s="30" t="n"/>
      <c r="P232" s="30" t="n"/>
      <c r="Q232" s="31" t="n"/>
      <c r="R232" s="31" t="n"/>
      <c r="S232" s="31" t="n"/>
      <c r="T232" s="31" t="n"/>
      <c r="U232" s="31" t="n"/>
      <c r="V232" s="31" t="n"/>
      <c r="W232" s="30" t="n"/>
      <c r="X232" s="31" t="n"/>
      <c r="Y232" s="35" t="n"/>
      <c r="Z232" s="35" t="n"/>
      <c r="AA232" s="35" t="n"/>
      <c r="AB232" s="35" t="n"/>
      <c r="AC232" s="35" t="n"/>
      <c r="AD232" s="35" t="n"/>
      <c r="AE232" s="35" t="n"/>
      <c r="AF232" s="35" t="n"/>
      <c r="AG232" s="36">
        <f>IF(A232="","",IF(V232&lt;&gt;"",V232-B232,TODAY()-B232))</f>
        <v/>
      </c>
      <c r="AH232" s="36">
        <f>IF(OR(A232="",I232=""),"",MAX(0,IF(V232&lt;&gt;"",V232-I232,TODAY()-I232)))</f>
        <v/>
      </c>
      <c r="AI232" s="37">
        <f>IF(A232="","",IF(OR(K232="Closed",V232&lt;&gt;""),"Closed",IF(AH232&gt;=AgeCrit,"Critical",IF(AH232&gt;=AgeFu,"For Follow-up",IF(AH232&gt;=AgeMonitor,"Monitor","Within Standard")))))</f>
        <v/>
      </c>
      <c r="AJ232" s="38">
        <f>IF(A232="","",IFERROR(INDEX(StgPct,MATCH(H232,StgList,0)),0))</f>
        <v/>
      </c>
      <c r="AK232" s="38">
        <f>IF(A232="","",IFERROR(COUNTIF(Y232:AF232,"Y")/(COUNTIF(Y232:AF232,"Y")+COUNTIF(Y232:AF232,"N")),0))</f>
        <v/>
      </c>
      <c r="AL232" s="36">
        <f>IF(OR(A232="",X232=""),"",MAX(0,IF(V232&lt;&gt;"",V232,TODAY())-X232))</f>
        <v/>
      </c>
      <c r="AM232" s="32" t="n"/>
      <c r="AN232" s="33">
        <f>IF(A232="","",LOWER(AI232)&amp;"|"&amp;AH232&amp;"|"&amp;AJ232&amp;"|"&amp;AK232)</f>
        <v/>
      </c>
      <c r="AO232" s="33">
        <f>IF(OR(A232="",T232=""),"",T232-TODAY())</f>
        <v/>
      </c>
      <c r="AP232" s="33">
        <f>IF(OR(A232="",V232&lt;&gt;""),"",(TODAY()-B232)+ROW()/1000000)</f>
        <v/>
      </c>
    </row>
    <row r="233" ht="27" customHeight="1">
      <c r="A233" s="30" t="n"/>
      <c r="B233" s="31" t="n"/>
      <c r="C233" s="32" t="n"/>
      <c r="D233" s="32" t="n"/>
      <c r="E233" s="32" t="n"/>
      <c r="F233" s="32" t="n"/>
      <c r="G233" s="33">
        <f>IF(A233="","",IFERROR(INDEX(OffCat,MATCH(F233,OffList,0)),"Unlisted"))</f>
        <v/>
      </c>
      <c r="H233" s="30" t="n"/>
      <c r="I233" s="31" t="n"/>
      <c r="J233" s="34" t="n"/>
      <c r="K233" s="34" t="n"/>
      <c r="L233" s="34" t="n"/>
      <c r="M233" s="30" t="n"/>
      <c r="N233" s="30" t="n"/>
      <c r="O233" s="30" t="n"/>
      <c r="P233" s="30" t="n"/>
      <c r="Q233" s="31" t="n"/>
      <c r="R233" s="31" t="n"/>
      <c r="S233" s="31" t="n"/>
      <c r="T233" s="31" t="n"/>
      <c r="U233" s="31" t="n"/>
      <c r="V233" s="31" t="n"/>
      <c r="W233" s="30" t="n"/>
      <c r="X233" s="31" t="n"/>
      <c r="Y233" s="35" t="n"/>
      <c r="Z233" s="35" t="n"/>
      <c r="AA233" s="35" t="n"/>
      <c r="AB233" s="35" t="n"/>
      <c r="AC233" s="35" t="n"/>
      <c r="AD233" s="35" t="n"/>
      <c r="AE233" s="35" t="n"/>
      <c r="AF233" s="35" t="n"/>
      <c r="AG233" s="36">
        <f>IF(A233="","",IF(V233&lt;&gt;"",V233-B233,TODAY()-B233))</f>
        <v/>
      </c>
      <c r="AH233" s="36">
        <f>IF(OR(A233="",I233=""),"",MAX(0,IF(V233&lt;&gt;"",V233-I233,TODAY()-I233)))</f>
        <v/>
      </c>
      <c r="AI233" s="37">
        <f>IF(A233="","",IF(OR(K233="Closed",V233&lt;&gt;""),"Closed",IF(AH233&gt;=AgeCrit,"Critical",IF(AH233&gt;=AgeFu,"For Follow-up",IF(AH233&gt;=AgeMonitor,"Monitor","Within Standard")))))</f>
        <v/>
      </c>
      <c r="AJ233" s="38">
        <f>IF(A233="","",IFERROR(INDEX(StgPct,MATCH(H233,StgList,0)),0))</f>
        <v/>
      </c>
      <c r="AK233" s="38">
        <f>IF(A233="","",IFERROR(COUNTIF(Y233:AF233,"Y")/(COUNTIF(Y233:AF233,"Y")+COUNTIF(Y233:AF233,"N")),0))</f>
        <v/>
      </c>
      <c r="AL233" s="36">
        <f>IF(OR(A233="",X233=""),"",MAX(0,IF(V233&lt;&gt;"",V233,TODAY())-X233))</f>
        <v/>
      </c>
      <c r="AM233" s="32" t="n"/>
      <c r="AN233" s="33">
        <f>IF(A233="","",LOWER(AI233)&amp;"|"&amp;AH233&amp;"|"&amp;AJ233&amp;"|"&amp;AK233)</f>
        <v/>
      </c>
      <c r="AO233" s="33">
        <f>IF(OR(A233="",T233=""),"",T233-TODAY())</f>
        <v/>
      </c>
      <c r="AP233" s="33">
        <f>IF(OR(A233="",V233&lt;&gt;""),"",(TODAY()-B233)+ROW()/1000000)</f>
        <v/>
      </c>
    </row>
    <row r="234" ht="27" customHeight="1">
      <c r="A234" s="30" t="n"/>
      <c r="B234" s="31" t="n"/>
      <c r="C234" s="32" t="n"/>
      <c r="D234" s="32" t="n"/>
      <c r="E234" s="32" t="n"/>
      <c r="F234" s="32" t="n"/>
      <c r="G234" s="33">
        <f>IF(A234="","",IFERROR(INDEX(OffCat,MATCH(F234,OffList,0)),"Unlisted"))</f>
        <v/>
      </c>
      <c r="H234" s="30" t="n"/>
      <c r="I234" s="31" t="n"/>
      <c r="J234" s="34" t="n"/>
      <c r="K234" s="34" t="n"/>
      <c r="L234" s="34" t="n"/>
      <c r="M234" s="30" t="n"/>
      <c r="N234" s="30" t="n"/>
      <c r="O234" s="30" t="n"/>
      <c r="P234" s="30" t="n"/>
      <c r="Q234" s="31" t="n"/>
      <c r="R234" s="31" t="n"/>
      <c r="S234" s="31" t="n"/>
      <c r="T234" s="31" t="n"/>
      <c r="U234" s="31" t="n"/>
      <c r="V234" s="31" t="n"/>
      <c r="W234" s="30" t="n"/>
      <c r="X234" s="31" t="n"/>
      <c r="Y234" s="35" t="n"/>
      <c r="Z234" s="35" t="n"/>
      <c r="AA234" s="35" t="n"/>
      <c r="AB234" s="35" t="n"/>
      <c r="AC234" s="35" t="n"/>
      <c r="AD234" s="35" t="n"/>
      <c r="AE234" s="35" t="n"/>
      <c r="AF234" s="35" t="n"/>
      <c r="AG234" s="36">
        <f>IF(A234="","",IF(V234&lt;&gt;"",V234-B234,TODAY()-B234))</f>
        <v/>
      </c>
      <c r="AH234" s="36">
        <f>IF(OR(A234="",I234=""),"",MAX(0,IF(V234&lt;&gt;"",V234-I234,TODAY()-I234)))</f>
        <v/>
      </c>
      <c r="AI234" s="37">
        <f>IF(A234="","",IF(OR(K234="Closed",V234&lt;&gt;""),"Closed",IF(AH234&gt;=AgeCrit,"Critical",IF(AH234&gt;=AgeFu,"For Follow-up",IF(AH234&gt;=AgeMonitor,"Monitor","Within Standard")))))</f>
        <v/>
      </c>
      <c r="AJ234" s="38">
        <f>IF(A234="","",IFERROR(INDEX(StgPct,MATCH(H234,StgList,0)),0))</f>
        <v/>
      </c>
      <c r="AK234" s="38">
        <f>IF(A234="","",IFERROR(COUNTIF(Y234:AF234,"Y")/(COUNTIF(Y234:AF234,"Y")+COUNTIF(Y234:AF234,"N")),0))</f>
        <v/>
      </c>
      <c r="AL234" s="36">
        <f>IF(OR(A234="",X234=""),"",MAX(0,IF(V234&lt;&gt;"",V234,TODAY())-X234))</f>
        <v/>
      </c>
      <c r="AM234" s="32" t="n"/>
      <c r="AN234" s="33">
        <f>IF(A234="","",LOWER(AI234)&amp;"|"&amp;AH234&amp;"|"&amp;AJ234&amp;"|"&amp;AK234)</f>
        <v/>
      </c>
      <c r="AO234" s="33">
        <f>IF(OR(A234="",T234=""),"",T234-TODAY())</f>
        <v/>
      </c>
      <c r="AP234" s="33">
        <f>IF(OR(A234="",V234&lt;&gt;""),"",(TODAY()-B234)+ROW()/1000000)</f>
        <v/>
      </c>
    </row>
    <row r="235" ht="27" customHeight="1">
      <c r="A235" s="30" t="n"/>
      <c r="B235" s="31" t="n"/>
      <c r="C235" s="32" t="n"/>
      <c r="D235" s="32" t="n"/>
      <c r="E235" s="32" t="n"/>
      <c r="F235" s="32" t="n"/>
      <c r="G235" s="33">
        <f>IF(A235="","",IFERROR(INDEX(OffCat,MATCH(F235,OffList,0)),"Unlisted"))</f>
        <v/>
      </c>
      <c r="H235" s="30" t="n"/>
      <c r="I235" s="31" t="n"/>
      <c r="J235" s="34" t="n"/>
      <c r="K235" s="34" t="n"/>
      <c r="L235" s="34" t="n"/>
      <c r="M235" s="30" t="n"/>
      <c r="N235" s="30" t="n"/>
      <c r="O235" s="30" t="n"/>
      <c r="P235" s="30" t="n"/>
      <c r="Q235" s="31" t="n"/>
      <c r="R235" s="31" t="n"/>
      <c r="S235" s="31" t="n"/>
      <c r="T235" s="31" t="n"/>
      <c r="U235" s="31" t="n"/>
      <c r="V235" s="31" t="n"/>
      <c r="W235" s="30" t="n"/>
      <c r="X235" s="31" t="n"/>
      <c r="Y235" s="35" t="n"/>
      <c r="Z235" s="35" t="n"/>
      <c r="AA235" s="35" t="n"/>
      <c r="AB235" s="35" t="n"/>
      <c r="AC235" s="35" t="n"/>
      <c r="AD235" s="35" t="n"/>
      <c r="AE235" s="35" t="n"/>
      <c r="AF235" s="35" t="n"/>
      <c r="AG235" s="36">
        <f>IF(A235="","",IF(V235&lt;&gt;"",V235-B235,TODAY()-B235))</f>
        <v/>
      </c>
      <c r="AH235" s="36">
        <f>IF(OR(A235="",I235=""),"",MAX(0,IF(V235&lt;&gt;"",V235-I235,TODAY()-I235)))</f>
        <v/>
      </c>
      <c r="AI235" s="37">
        <f>IF(A235="","",IF(OR(K235="Closed",V235&lt;&gt;""),"Closed",IF(AH235&gt;=AgeCrit,"Critical",IF(AH235&gt;=AgeFu,"For Follow-up",IF(AH235&gt;=AgeMonitor,"Monitor","Within Standard")))))</f>
        <v/>
      </c>
      <c r="AJ235" s="38">
        <f>IF(A235="","",IFERROR(INDEX(StgPct,MATCH(H235,StgList,0)),0))</f>
        <v/>
      </c>
      <c r="AK235" s="38">
        <f>IF(A235="","",IFERROR(COUNTIF(Y235:AF235,"Y")/(COUNTIF(Y235:AF235,"Y")+COUNTIF(Y235:AF235,"N")),0))</f>
        <v/>
      </c>
      <c r="AL235" s="36">
        <f>IF(OR(A235="",X235=""),"",MAX(0,IF(V235&lt;&gt;"",V235,TODAY())-X235))</f>
        <v/>
      </c>
      <c r="AM235" s="32" t="n"/>
      <c r="AN235" s="33">
        <f>IF(A235="","",LOWER(AI235)&amp;"|"&amp;AH235&amp;"|"&amp;AJ235&amp;"|"&amp;AK235)</f>
        <v/>
      </c>
      <c r="AO235" s="33">
        <f>IF(OR(A235="",T235=""),"",T235-TODAY())</f>
        <v/>
      </c>
      <c r="AP235" s="33">
        <f>IF(OR(A235="",V235&lt;&gt;""),"",(TODAY()-B235)+ROW()/1000000)</f>
        <v/>
      </c>
    </row>
    <row r="236" ht="27" customHeight="1">
      <c r="A236" s="30" t="n"/>
      <c r="B236" s="31" t="n"/>
      <c r="C236" s="32" t="n"/>
      <c r="D236" s="32" t="n"/>
      <c r="E236" s="32" t="n"/>
      <c r="F236" s="32" t="n"/>
      <c r="G236" s="33">
        <f>IF(A236="","",IFERROR(INDEX(OffCat,MATCH(F236,OffList,0)),"Unlisted"))</f>
        <v/>
      </c>
      <c r="H236" s="30" t="n"/>
      <c r="I236" s="31" t="n"/>
      <c r="J236" s="34" t="n"/>
      <c r="K236" s="34" t="n"/>
      <c r="L236" s="34" t="n"/>
      <c r="M236" s="30" t="n"/>
      <c r="N236" s="30" t="n"/>
      <c r="O236" s="30" t="n"/>
      <c r="P236" s="30" t="n"/>
      <c r="Q236" s="31" t="n"/>
      <c r="R236" s="31" t="n"/>
      <c r="S236" s="31" t="n"/>
      <c r="T236" s="31" t="n"/>
      <c r="U236" s="31" t="n"/>
      <c r="V236" s="31" t="n"/>
      <c r="W236" s="30" t="n"/>
      <c r="X236" s="31" t="n"/>
      <c r="Y236" s="35" t="n"/>
      <c r="Z236" s="35" t="n"/>
      <c r="AA236" s="35" t="n"/>
      <c r="AB236" s="35" t="n"/>
      <c r="AC236" s="35" t="n"/>
      <c r="AD236" s="35" t="n"/>
      <c r="AE236" s="35" t="n"/>
      <c r="AF236" s="35" t="n"/>
      <c r="AG236" s="36">
        <f>IF(A236="","",IF(V236&lt;&gt;"",V236-B236,TODAY()-B236))</f>
        <v/>
      </c>
      <c r="AH236" s="36">
        <f>IF(OR(A236="",I236=""),"",MAX(0,IF(V236&lt;&gt;"",V236-I236,TODAY()-I236)))</f>
        <v/>
      </c>
      <c r="AI236" s="37">
        <f>IF(A236="","",IF(OR(K236="Closed",V236&lt;&gt;""),"Closed",IF(AH236&gt;=AgeCrit,"Critical",IF(AH236&gt;=AgeFu,"For Follow-up",IF(AH236&gt;=AgeMonitor,"Monitor","Within Standard")))))</f>
        <v/>
      </c>
      <c r="AJ236" s="38">
        <f>IF(A236="","",IFERROR(INDEX(StgPct,MATCH(H236,StgList,0)),0))</f>
        <v/>
      </c>
      <c r="AK236" s="38">
        <f>IF(A236="","",IFERROR(COUNTIF(Y236:AF236,"Y")/(COUNTIF(Y236:AF236,"Y")+COUNTIF(Y236:AF236,"N")),0))</f>
        <v/>
      </c>
      <c r="AL236" s="36">
        <f>IF(OR(A236="",X236=""),"",MAX(0,IF(V236&lt;&gt;"",V236,TODAY())-X236))</f>
        <v/>
      </c>
      <c r="AM236" s="32" t="n"/>
      <c r="AN236" s="33">
        <f>IF(A236="","",LOWER(AI236)&amp;"|"&amp;AH236&amp;"|"&amp;AJ236&amp;"|"&amp;AK236)</f>
        <v/>
      </c>
      <c r="AO236" s="33">
        <f>IF(OR(A236="",T236=""),"",T236-TODAY())</f>
        <v/>
      </c>
      <c r="AP236" s="33">
        <f>IF(OR(A236="",V236&lt;&gt;""),"",(TODAY()-B236)+ROW()/1000000)</f>
        <v/>
      </c>
    </row>
    <row r="237" ht="27" customHeight="1">
      <c r="A237" s="30" t="n"/>
      <c r="B237" s="31" t="n"/>
      <c r="C237" s="32" t="n"/>
      <c r="D237" s="32" t="n"/>
      <c r="E237" s="32" t="n"/>
      <c r="F237" s="32" t="n"/>
      <c r="G237" s="33">
        <f>IF(A237="","",IFERROR(INDEX(OffCat,MATCH(F237,OffList,0)),"Unlisted"))</f>
        <v/>
      </c>
      <c r="H237" s="30" t="n"/>
      <c r="I237" s="31" t="n"/>
      <c r="J237" s="34" t="n"/>
      <c r="K237" s="34" t="n"/>
      <c r="L237" s="34" t="n"/>
      <c r="M237" s="30" t="n"/>
      <c r="N237" s="30" t="n"/>
      <c r="O237" s="30" t="n"/>
      <c r="P237" s="30" t="n"/>
      <c r="Q237" s="31" t="n"/>
      <c r="R237" s="31" t="n"/>
      <c r="S237" s="31" t="n"/>
      <c r="T237" s="31" t="n"/>
      <c r="U237" s="31" t="n"/>
      <c r="V237" s="31" t="n"/>
      <c r="W237" s="30" t="n"/>
      <c r="X237" s="31" t="n"/>
      <c r="Y237" s="35" t="n"/>
      <c r="Z237" s="35" t="n"/>
      <c r="AA237" s="35" t="n"/>
      <c r="AB237" s="35" t="n"/>
      <c r="AC237" s="35" t="n"/>
      <c r="AD237" s="35" t="n"/>
      <c r="AE237" s="35" t="n"/>
      <c r="AF237" s="35" t="n"/>
      <c r="AG237" s="36">
        <f>IF(A237="","",IF(V237&lt;&gt;"",V237-B237,TODAY()-B237))</f>
        <v/>
      </c>
      <c r="AH237" s="36">
        <f>IF(OR(A237="",I237=""),"",MAX(0,IF(V237&lt;&gt;"",V237-I237,TODAY()-I237)))</f>
        <v/>
      </c>
      <c r="AI237" s="37">
        <f>IF(A237="","",IF(OR(K237="Closed",V237&lt;&gt;""),"Closed",IF(AH237&gt;=AgeCrit,"Critical",IF(AH237&gt;=AgeFu,"For Follow-up",IF(AH237&gt;=AgeMonitor,"Monitor","Within Standard")))))</f>
        <v/>
      </c>
      <c r="AJ237" s="38">
        <f>IF(A237="","",IFERROR(INDEX(StgPct,MATCH(H237,StgList,0)),0))</f>
        <v/>
      </c>
      <c r="AK237" s="38">
        <f>IF(A237="","",IFERROR(COUNTIF(Y237:AF237,"Y")/(COUNTIF(Y237:AF237,"Y")+COUNTIF(Y237:AF237,"N")),0))</f>
        <v/>
      </c>
      <c r="AL237" s="36">
        <f>IF(OR(A237="",X237=""),"",MAX(0,IF(V237&lt;&gt;"",V237,TODAY())-X237))</f>
        <v/>
      </c>
      <c r="AM237" s="32" t="n"/>
      <c r="AN237" s="33">
        <f>IF(A237="","",LOWER(AI237)&amp;"|"&amp;AH237&amp;"|"&amp;AJ237&amp;"|"&amp;AK237)</f>
        <v/>
      </c>
      <c r="AO237" s="33">
        <f>IF(OR(A237="",T237=""),"",T237-TODAY())</f>
        <v/>
      </c>
      <c r="AP237" s="33">
        <f>IF(OR(A237="",V237&lt;&gt;""),"",(TODAY()-B237)+ROW()/1000000)</f>
        <v/>
      </c>
    </row>
    <row r="238" ht="27" customHeight="1">
      <c r="A238" s="30" t="n"/>
      <c r="B238" s="31" t="n"/>
      <c r="C238" s="32" t="n"/>
      <c r="D238" s="32" t="n"/>
      <c r="E238" s="32" t="n"/>
      <c r="F238" s="32" t="n"/>
      <c r="G238" s="33">
        <f>IF(A238="","",IFERROR(INDEX(OffCat,MATCH(F238,OffList,0)),"Unlisted"))</f>
        <v/>
      </c>
      <c r="H238" s="30" t="n"/>
      <c r="I238" s="31" t="n"/>
      <c r="J238" s="34" t="n"/>
      <c r="K238" s="34" t="n"/>
      <c r="L238" s="34" t="n"/>
      <c r="M238" s="30" t="n"/>
      <c r="N238" s="30" t="n"/>
      <c r="O238" s="30" t="n"/>
      <c r="P238" s="30" t="n"/>
      <c r="Q238" s="31" t="n"/>
      <c r="R238" s="31" t="n"/>
      <c r="S238" s="31" t="n"/>
      <c r="T238" s="31" t="n"/>
      <c r="U238" s="31" t="n"/>
      <c r="V238" s="31" t="n"/>
      <c r="W238" s="30" t="n"/>
      <c r="X238" s="31" t="n"/>
      <c r="Y238" s="35" t="n"/>
      <c r="Z238" s="35" t="n"/>
      <c r="AA238" s="35" t="n"/>
      <c r="AB238" s="35" t="n"/>
      <c r="AC238" s="35" t="n"/>
      <c r="AD238" s="35" t="n"/>
      <c r="AE238" s="35" t="n"/>
      <c r="AF238" s="35" t="n"/>
      <c r="AG238" s="36">
        <f>IF(A238="","",IF(V238&lt;&gt;"",V238-B238,TODAY()-B238))</f>
        <v/>
      </c>
      <c r="AH238" s="36">
        <f>IF(OR(A238="",I238=""),"",MAX(0,IF(V238&lt;&gt;"",V238-I238,TODAY()-I238)))</f>
        <v/>
      </c>
      <c r="AI238" s="37">
        <f>IF(A238="","",IF(OR(K238="Closed",V238&lt;&gt;""),"Closed",IF(AH238&gt;=AgeCrit,"Critical",IF(AH238&gt;=AgeFu,"For Follow-up",IF(AH238&gt;=AgeMonitor,"Monitor","Within Standard")))))</f>
        <v/>
      </c>
      <c r="AJ238" s="38">
        <f>IF(A238="","",IFERROR(INDEX(StgPct,MATCH(H238,StgList,0)),0))</f>
        <v/>
      </c>
      <c r="AK238" s="38">
        <f>IF(A238="","",IFERROR(COUNTIF(Y238:AF238,"Y")/(COUNTIF(Y238:AF238,"Y")+COUNTIF(Y238:AF238,"N")),0))</f>
        <v/>
      </c>
      <c r="AL238" s="36">
        <f>IF(OR(A238="",X238=""),"",MAX(0,IF(V238&lt;&gt;"",V238,TODAY())-X238))</f>
        <v/>
      </c>
      <c r="AM238" s="32" t="n"/>
      <c r="AN238" s="33">
        <f>IF(A238="","",LOWER(AI238)&amp;"|"&amp;AH238&amp;"|"&amp;AJ238&amp;"|"&amp;AK238)</f>
        <v/>
      </c>
      <c r="AO238" s="33">
        <f>IF(OR(A238="",T238=""),"",T238-TODAY())</f>
        <v/>
      </c>
      <c r="AP238" s="33">
        <f>IF(OR(A238="",V238&lt;&gt;""),"",(TODAY()-B238)+ROW()/1000000)</f>
        <v/>
      </c>
    </row>
    <row r="239" ht="27" customHeight="1">
      <c r="A239" s="30" t="n"/>
      <c r="B239" s="31" t="n"/>
      <c r="C239" s="32" t="n"/>
      <c r="D239" s="32" t="n"/>
      <c r="E239" s="32" t="n"/>
      <c r="F239" s="32" t="n"/>
      <c r="G239" s="33">
        <f>IF(A239="","",IFERROR(INDEX(OffCat,MATCH(F239,OffList,0)),"Unlisted"))</f>
        <v/>
      </c>
      <c r="H239" s="30" t="n"/>
      <c r="I239" s="31" t="n"/>
      <c r="J239" s="34" t="n"/>
      <c r="K239" s="34" t="n"/>
      <c r="L239" s="34" t="n"/>
      <c r="M239" s="30" t="n"/>
      <c r="N239" s="30" t="n"/>
      <c r="O239" s="30" t="n"/>
      <c r="P239" s="30" t="n"/>
      <c r="Q239" s="31" t="n"/>
      <c r="R239" s="31" t="n"/>
      <c r="S239" s="31" t="n"/>
      <c r="T239" s="31" t="n"/>
      <c r="U239" s="31" t="n"/>
      <c r="V239" s="31" t="n"/>
      <c r="W239" s="30" t="n"/>
      <c r="X239" s="31" t="n"/>
      <c r="Y239" s="35" t="n"/>
      <c r="Z239" s="35" t="n"/>
      <c r="AA239" s="35" t="n"/>
      <c r="AB239" s="35" t="n"/>
      <c r="AC239" s="35" t="n"/>
      <c r="AD239" s="35" t="n"/>
      <c r="AE239" s="35" t="n"/>
      <c r="AF239" s="35" t="n"/>
      <c r="AG239" s="36">
        <f>IF(A239="","",IF(V239&lt;&gt;"",V239-B239,TODAY()-B239))</f>
        <v/>
      </c>
      <c r="AH239" s="36">
        <f>IF(OR(A239="",I239=""),"",MAX(0,IF(V239&lt;&gt;"",V239-I239,TODAY()-I239)))</f>
        <v/>
      </c>
      <c r="AI239" s="37">
        <f>IF(A239="","",IF(OR(K239="Closed",V239&lt;&gt;""),"Closed",IF(AH239&gt;=AgeCrit,"Critical",IF(AH239&gt;=AgeFu,"For Follow-up",IF(AH239&gt;=AgeMonitor,"Monitor","Within Standard")))))</f>
        <v/>
      </c>
      <c r="AJ239" s="38">
        <f>IF(A239="","",IFERROR(INDEX(StgPct,MATCH(H239,StgList,0)),0))</f>
        <v/>
      </c>
      <c r="AK239" s="38">
        <f>IF(A239="","",IFERROR(COUNTIF(Y239:AF239,"Y")/(COUNTIF(Y239:AF239,"Y")+COUNTIF(Y239:AF239,"N")),0))</f>
        <v/>
      </c>
      <c r="AL239" s="36">
        <f>IF(OR(A239="",X239=""),"",MAX(0,IF(V239&lt;&gt;"",V239,TODAY())-X239))</f>
        <v/>
      </c>
      <c r="AM239" s="32" t="n"/>
      <c r="AN239" s="33">
        <f>IF(A239="","",LOWER(AI239)&amp;"|"&amp;AH239&amp;"|"&amp;AJ239&amp;"|"&amp;AK239)</f>
        <v/>
      </c>
      <c r="AO239" s="33">
        <f>IF(OR(A239="",T239=""),"",T239-TODAY())</f>
        <v/>
      </c>
      <c r="AP239" s="33">
        <f>IF(OR(A239="",V239&lt;&gt;""),"",(TODAY()-B239)+ROW()/1000000)</f>
        <v/>
      </c>
    </row>
    <row r="240" ht="27" customHeight="1">
      <c r="A240" s="30" t="n"/>
      <c r="B240" s="31" t="n"/>
      <c r="C240" s="32" t="n"/>
      <c r="D240" s="32" t="n"/>
      <c r="E240" s="32" t="n"/>
      <c r="F240" s="32" t="n"/>
      <c r="G240" s="33">
        <f>IF(A240="","",IFERROR(INDEX(OffCat,MATCH(F240,OffList,0)),"Unlisted"))</f>
        <v/>
      </c>
      <c r="H240" s="30" t="n"/>
      <c r="I240" s="31" t="n"/>
      <c r="J240" s="34" t="n"/>
      <c r="K240" s="34" t="n"/>
      <c r="L240" s="34" t="n"/>
      <c r="M240" s="30" t="n"/>
      <c r="N240" s="30" t="n"/>
      <c r="O240" s="30" t="n"/>
      <c r="P240" s="30" t="n"/>
      <c r="Q240" s="31" t="n"/>
      <c r="R240" s="31" t="n"/>
      <c r="S240" s="31" t="n"/>
      <c r="T240" s="31" t="n"/>
      <c r="U240" s="31" t="n"/>
      <c r="V240" s="31" t="n"/>
      <c r="W240" s="30" t="n"/>
      <c r="X240" s="31" t="n"/>
      <c r="Y240" s="35" t="n"/>
      <c r="Z240" s="35" t="n"/>
      <c r="AA240" s="35" t="n"/>
      <c r="AB240" s="35" t="n"/>
      <c r="AC240" s="35" t="n"/>
      <c r="AD240" s="35" t="n"/>
      <c r="AE240" s="35" t="n"/>
      <c r="AF240" s="35" t="n"/>
      <c r="AG240" s="36">
        <f>IF(A240="","",IF(V240&lt;&gt;"",V240-B240,TODAY()-B240))</f>
        <v/>
      </c>
      <c r="AH240" s="36">
        <f>IF(OR(A240="",I240=""),"",MAX(0,IF(V240&lt;&gt;"",V240-I240,TODAY()-I240)))</f>
        <v/>
      </c>
      <c r="AI240" s="37">
        <f>IF(A240="","",IF(OR(K240="Closed",V240&lt;&gt;""),"Closed",IF(AH240&gt;=AgeCrit,"Critical",IF(AH240&gt;=AgeFu,"For Follow-up",IF(AH240&gt;=AgeMonitor,"Monitor","Within Standard")))))</f>
        <v/>
      </c>
      <c r="AJ240" s="38">
        <f>IF(A240="","",IFERROR(INDEX(StgPct,MATCH(H240,StgList,0)),0))</f>
        <v/>
      </c>
      <c r="AK240" s="38">
        <f>IF(A240="","",IFERROR(COUNTIF(Y240:AF240,"Y")/(COUNTIF(Y240:AF240,"Y")+COUNTIF(Y240:AF240,"N")),0))</f>
        <v/>
      </c>
      <c r="AL240" s="36">
        <f>IF(OR(A240="",X240=""),"",MAX(0,IF(V240&lt;&gt;"",V240,TODAY())-X240))</f>
        <v/>
      </c>
      <c r="AM240" s="32" t="n"/>
      <c r="AN240" s="33">
        <f>IF(A240="","",LOWER(AI240)&amp;"|"&amp;AH240&amp;"|"&amp;AJ240&amp;"|"&amp;AK240)</f>
        <v/>
      </c>
      <c r="AO240" s="33">
        <f>IF(OR(A240="",T240=""),"",T240-TODAY())</f>
        <v/>
      </c>
      <c r="AP240" s="33">
        <f>IF(OR(A240="",V240&lt;&gt;""),"",(TODAY()-B240)+ROW()/1000000)</f>
        <v/>
      </c>
    </row>
    <row r="241" ht="27" customHeight="1">
      <c r="A241" s="30" t="n"/>
      <c r="B241" s="31" t="n"/>
      <c r="C241" s="32" t="n"/>
      <c r="D241" s="32" t="n"/>
      <c r="E241" s="32" t="n"/>
      <c r="F241" s="32" t="n"/>
      <c r="G241" s="33">
        <f>IF(A241="","",IFERROR(INDEX(OffCat,MATCH(F241,OffList,0)),"Unlisted"))</f>
        <v/>
      </c>
      <c r="H241" s="30" t="n"/>
      <c r="I241" s="31" t="n"/>
      <c r="J241" s="34" t="n"/>
      <c r="K241" s="34" t="n"/>
      <c r="L241" s="34" t="n"/>
      <c r="M241" s="30" t="n"/>
      <c r="N241" s="30" t="n"/>
      <c r="O241" s="30" t="n"/>
      <c r="P241" s="30" t="n"/>
      <c r="Q241" s="31" t="n"/>
      <c r="R241" s="31" t="n"/>
      <c r="S241" s="31" t="n"/>
      <c r="T241" s="31" t="n"/>
      <c r="U241" s="31" t="n"/>
      <c r="V241" s="31" t="n"/>
      <c r="W241" s="30" t="n"/>
      <c r="X241" s="31" t="n"/>
      <c r="Y241" s="35" t="n"/>
      <c r="Z241" s="35" t="n"/>
      <c r="AA241" s="35" t="n"/>
      <c r="AB241" s="35" t="n"/>
      <c r="AC241" s="35" t="n"/>
      <c r="AD241" s="35" t="n"/>
      <c r="AE241" s="35" t="n"/>
      <c r="AF241" s="35" t="n"/>
      <c r="AG241" s="36">
        <f>IF(A241="","",IF(V241&lt;&gt;"",V241-B241,TODAY()-B241))</f>
        <v/>
      </c>
      <c r="AH241" s="36">
        <f>IF(OR(A241="",I241=""),"",MAX(0,IF(V241&lt;&gt;"",V241-I241,TODAY()-I241)))</f>
        <v/>
      </c>
      <c r="AI241" s="37">
        <f>IF(A241="","",IF(OR(K241="Closed",V241&lt;&gt;""),"Closed",IF(AH241&gt;=AgeCrit,"Critical",IF(AH241&gt;=AgeFu,"For Follow-up",IF(AH241&gt;=AgeMonitor,"Monitor","Within Standard")))))</f>
        <v/>
      </c>
      <c r="AJ241" s="38">
        <f>IF(A241="","",IFERROR(INDEX(StgPct,MATCH(H241,StgList,0)),0))</f>
        <v/>
      </c>
      <c r="AK241" s="38">
        <f>IF(A241="","",IFERROR(COUNTIF(Y241:AF241,"Y")/(COUNTIF(Y241:AF241,"Y")+COUNTIF(Y241:AF241,"N")),0))</f>
        <v/>
      </c>
      <c r="AL241" s="36">
        <f>IF(OR(A241="",X241=""),"",MAX(0,IF(V241&lt;&gt;"",V241,TODAY())-X241))</f>
        <v/>
      </c>
      <c r="AM241" s="32" t="n"/>
      <c r="AN241" s="33">
        <f>IF(A241="","",LOWER(AI241)&amp;"|"&amp;AH241&amp;"|"&amp;AJ241&amp;"|"&amp;AK241)</f>
        <v/>
      </c>
      <c r="AO241" s="33">
        <f>IF(OR(A241="",T241=""),"",T241-TODAY())</f>
        <v/>
      </c>
      <c r="AP241" s="33">
        <f>IF(OR(A241="",V241&lt;&gt;""),"",(TODAY()-B241)+ROW()/1000000)</f>
        <v/>
      </c>
    </row>
    <row r="242" ht="27" customHeight="1">
      <c r="A242" s="30" t="n"/>
      <c r="B242" s="31" t="n"/>
      <c r="C242" s="32" t="n"/>
      <c r="D242" s="32" t="n"/>
      <c r="E242" s="32" t="n"/>
      <c r="F242" s="32" t="n"/>
      <c r="G242" s="33">
        <f>IF(A242="","",IFERROR(INDEX(OffCat,MATCH(F242,OffList,0)),"Unlisted"))</f>
        <v/>
      </c>
      <c r="H242" s="30" t="n"/>
      <c r="I242" s="31" t="n"/>
      <c r="J242" s="34" t="n"/>
      <c r="K242" s="34" t="n"/>
      <c r="L242" s="34" t="n"/>
      <c r="M242" s="30" t="n"/>
      <c r="N242" s="30" t="n"/>
      <c r="O242" s="30" t="n"/>
      <c r="P242" s="30" t="n"/>
      <c r="Q242" s="31" t="n"/>
      <c r="R242" s="31" t="n"/>
      <c r="S242" s="31" t="n"/>
      <c r="T242" s="31" t="n"/>
      <c r="U242" s="31" t="n"/>
      <c r="V242" s="31" t="n"/>
      <c r="W242" s="30" t="n"/>
      <c r="X242" s="31" t="n"/>
      <c r="Y242" s="35" t="n"/>
      <c r="Z242" s="35" t="n"/>
      <c r="AA242" s="35" t="n"/>
      <c r="AB242" s="35" t="n"/>
      <c r="AC242" s="35" t="n"/>
      <c r="AD242" s="35" t="n"/>
      <c r="AE242" s="35" t="n"/>
      <c r="AF242" s="35" t="n"/>
      <c r="AG242" s="36">
        <f>IF(A242="","",IF(V242&lt;&gt;"",V242-B242,TODAY()-B242))</f>
        <v/>
      </c>
      <c r="AH242" s="36">
        <f>IF(OR(A242="",I242=""),"",MAX(0,IF(V242&lt;&gt;"",V242-I242,TODAY()-I242)))</f>
        <v/>
      </c>
      <c r="AI242" s="37">
        <f>IF(A242="","",IF(OR(K242="Closed",V242&lt;&gt;""),"Closed",IF(AH242&gt;=AgeCrit,"Critical",IF(AH242&gt;=AgeFu,"For Follow-up",IF(AH242&gt;=AgeMonitor,"Monitor","Within Standard")))))</f>
        <v/>
      </c>
      <c r="AJ242" s="38">
        <f>IF(A242="","",IFERROR(INDEX(StgPct,MATCH(H242,StgList,0)),0))</f>
        <v/>
      </c>
      <c r="AK242" s="38">
        <f>IF(A242="","",IFERROR(COUNTIF(Y242:AF242,"Y")/(COUNTIF(Y242:AF242,"Y")+COUNTIF(Y242:AF242,"N")),0))</f>
        <v/>
      </c>
      <c r="AL242" s="36">
        <f>IF(OR(A242="",X242=""),"",MAX(0,IF(V242&lt;&gt;"",V242,TODAY())-X242))</f>
        <v/>
      </c>
      <c r="AM242" s="32" t="n"/>
      <c r="AN242" s="33">
        <f>IF(A242="","",LOWER(AI242)&amp;"|"&amp;AH242&amp;"|"&amp;AJ242&amp;"|"&amp;AK242)</f>
        <v/>
      </c>
      <c r="AO242" s="33">
        <f>IF(OR(A242="",T242=""),"",T242-TODAY())</f>
        <v/>
      </c>
      <c r="AP242" s="33">
        <f>IF(OR(A242="",V242&lt;&gt;""),"",(TODAY()-B242)+ROW()/1000000)</f>
        <v/>
      </c>
    </row>
    <row r="243" ht="27" customHeight="1">
      <c r="A243" s="30" t="n"/>
      <c r="B243" s="31" t="n"/>
      <c r="C243" s="32" t="n"/>
      <c r="D243" s="32" t="n"/>
      <c r="E243" s="32" t="n"/>
      <c r="F243" s="32" t="n"/>
      <c r="G243" s="33">
        <f>IF(A243="","",IFERROR(INDEX(OffCat,MATCH(F243,OffList,0)),"Unlisted"))</f>
        <v/>
      </c>
      <c r="H243" s="30" t="n"/>
      <c r="I243" s="31" t="n"/>
      <c r="J243" s="34" t="n"/>
      <c r="K243" s="34" t="n"/>
      <c r="L243" s="34" t="n"/>
      <c r="M243" s="30" t="n"/>
      <c r="N243" s="30" t="n"/>
      <c r="O243" s="30" t="n"/>
      <c r="P243" s="30" t="n"/>
      <c r="Q243" s="31" t="n"/>
      <c r="R243" s="31" t="n"/>
      <c r="S243" s="31" t="n"/>
      <c r="T243" s="31" t="n"/>
      <c r="U243" s="31" t="n"/>
      <c r="V243" s="31" t="n"/>
      <c r="W243" s="30" t="n"/>
      <c r="X243" s="31" t="n"/>
      <c r="Y243" s="35" t="n"/>
      <c r="Z243" s="35" t="n"/>
      <c r="AA243" s="35" t="n"/>
      <c r="AB243" s="35" t="n"/>
      <c r="AC243" s="35" t="n"/>
      <c r="AD243" s="35" t="n"/>
      <c r="AE243" s="35" t="n"/>
      <c r="AF243" s="35" t="n"/>
      <c r="AG243" s="36">
        <f>IF(A243="","",IF(V243&lt;&gt;"",V243-B243,TODAY()-B243))</f>
        <v/>
      </c>
      <c r="AH243" s="36">
        <f>IF(OR(A243="",I243=""),"",MAX(0,IF(V243&lt;&gt;"",V243-I243,TODAY()-I243)))</f>
        <v/>
      </c>
      <c r="AI243" s="37">
        <f>IF(A243="","",IF(OR(K243="Closed",V243&lt;&gt;""),"Closed",IF(AH243&gt;=AgeCrit,"Critical",IF(AH243&gt;=AgeFu,"For Follow-up",IF(AH243&gt;=AgeMonitor,"Monitor","Within Standard")))))</f>
        <v/>
      </c>
      <c r="AJ243" s="38">
        <f>IF(A243="","",IFERROR(INDEX(StgPct,MATCH(H243,StgList,0)),0))</f>
        <v/>
      </c>
      <c r="AK243" s="38">
        <f>IF(A243="","",IFERROR(COUNTIF(Y243:AF243,"Y")/(COUNTIF(Y243:AF243,"Y")+COUNTIF(Y243:AF243,"N")),0))</f>
        <v/>
      </c>
      <c r="AL243" s="36">
        <f>IF(OR(A243="",X243=""),"",MAX(0,IF(V243&lt;&gt;"",V243,TODAY())-X243))</f>
        <v/>
      </c>
      <c r="AM243" s="32" t="n"/>
      <c r="AN243" s="33">
        <f>IF(A243="","",LOWER(AI243)&amp;"|"&amp;AH243&amp;"|"&amp;AJ243&amp;"|"&amp;AK243)</f>
        <v/>
      </c>
      <c r="AO243" s="33">
        <f>IF(OR(A243="",T243=""),"",T243-TODAY())</f>
        <v/>
      </c>
      <c r="AP243" s="33">
        <f>IF(OR(A243="",V243&lt;&gt;""),"",(TODAY()-B243)+ROW()/1000000)</f>
        <v/>
      </c>
    </row>
    <row r="244" ht="27" customHeight="1">
      <c r="A244" s="30" t="n"/>
      <c r="B244" s="31" t="n"/>
      <c r="C244" s="32" t="n"/>
      <c r="D244" s="32" t="n"/>
      <c r="E244" s="32" t="n"/>
      <c r="F244" s="32" t="n"/>
      <c r="G244" s="33">
        <f>IF(A244="","",IFERROR(INDEX(OffCat,MATCH(F244,OffList,0)),"Unlisted"))</f>
        <v/>
      </c>
      <c r="H244" s="30" t="n"/>
      <c r="I244" s="31" t="n"/>
      <c r="J244" s="34" t="n"/>
      <c r="K244" s="34" t="n"/>
      <c r="L244" s="34" t="n"/>
      <c r="M244" s="30" t="n"/>
      <c r="N244" s="30" t="n"/>
      <c r="O244" s="30" t="n"/>
      <c r="P244" s="30" t="n"/>
      <c r="Q244" s="31" t="n"/>
      <c r="R244" s="31" t="n"/>
      <c r="S244" s="31" t="n"/>
      <c r="T244" s="31" t="n"/>
      <c r="U244" s="31" t="n"/>
      <c r="V244" s="31" t="n"/>
      <c r="W244" s="30" t="n"/>
      <c r="X244" s="31" t="n"/>
      <c r="Y244" s="35" t="n"/>
      <c r="Z244" s="35" t="n"/>
      <c r="AA244" s="35" t="n"/>
      <c r="AB244" s="35" t="n"/>
      <c r="AC244" s="35" t="n"/>
      <c r="AD244" s="35" t="n"/>
      <c r="AE244" s="35" t="n"/>
      <c r="AF244" s="35" t="n"/>
      <c r="AG244" s="36">
        <f>IF(A244="","",IF(V244&lt;&gt;"",V244-B244,TODAY()-B244))</f>
        <v/>
      </c>
      <c r="AH244" s="36">
        <f>IF(OR(A244="",I244=""),"",MAX(0,IF(V244&lt;&gt;"",V244-I244,TODAY()-I244)))</f>
        <v/>
      </c>
      <c r="AI244" s="37">
        <f>IF(A244="","",IF(OR(K244="Closed",V244&lt;&gt;""),"Closed",IF(AH244&gt;=AgeCrit,"Critical",IF(AH244&gt;=AgeFu,"For Follow-up",IF(AH244&gt;=AgeMonitor,"Monitor","Within Standard")))))</f>
        <v/>
      </c>
      <c r="AJ244" s="38">
        <f>IF(A244="","",IFERROR(INDEX(StgPct,MATCH(H244,StgList,0)),0))</f>
        <v/>
      </c>
      <c r="AK244" s="38">
        <f>IF(A244="","",IFERROR(COUNTIF(Y244:AF244,"Y")/(COUNTIF(Y244:AF244,"Y")+COUNTIF(Y244:AF244,"N")),0))</f>
        <v/>
      </c>
      <c r="AL244" s="36">
        <f>IF(OR(A244="",X244=""),"",MAX(0,IF(V244&lt;&gt;"",V244,TODAY())-X244))</f>
        <v/>
      </c>
      <c r="AM244" s="32" t="n"/>
      <c r="AN244" s="33">
        <f>IF(A244="","",LOWER(AI244)&amp;"|"&amp;AH244&amp;"|"&amp;AJ244&amp;"|"&amp;AK244)</f>
        <v/>
      </c>
      <c r="AO244" s="33">
        <f>IF(OR(A244="",T244=""),"",T244-TODAY())</f>
        <v/>
      </c>
      <c r="AP244" s="33">
        <f>IF(OR(A244="",V244&lt;&gt;""),"",(TODAY()-B244)+ROW()/1000000)</f>
        <v/>
      </c>
    </row>
    <row r="245" ht="27" customHeight="1">
      <c r="A245" s="30" t="n"/>
      <c r="B245" s="31" t="n"/>
      <c r="C245" s="32" t="n"/>
      <c r="D245" s="32" t="n"/>
      <c r="E245" s="32" t="n"/>
      <c r="F245" s="32" t="n"/>
      <c r="G245" s="33">
        <f>IF(A245="","",IFERROR(INDEX(OffCat,MATCH(F245,OffList,0)),"Unlisted"))</f>
        <v/>
      </c>
      <c r="H245" s="30" t="n"/>
      <c r="I245" s="31" t="n"/>
      <c r="J245" s="34" t="n"/>
      <c r="K245" s="34" t="n"/>
      <c r="L245" s="34" t="n"/>
      <c r="M245" s="30" t="n"/>
      <c r="N245" s="30" t="n"/>
      <c r="O245" s="30" t="n"/>
      <c r="P245" s="30" t="n"/>
      <c r="Q245" s="31" t="n"/>
      <c r="R245" s="31" t="n"/>
      <c r="S245" s="31" t="n"/>
      <c r="T245" s="31" t="n"/>
      <c r="U245" s="31" t="n"/>
      <c r="V245" s="31" t="n"/>
      <c r="W245" s="30" t="n"/>
      <c r="X245" s="31" t="n"/>
      <c r="Y245" s="35" t="n"/>
      <c r="Z245" s="35" t="n"/>
      <c r="AA245" s="35" t="n"/>
      <c r="AB245" s="35" t="n"/>
      <c r="AC245" s="35" t="n"/>
      <c r="AD245" s="35" t="n"/>
      <c r="AE245" s="35" t="n"/>
      <c r="AF245" s="35" t="n"/>
      <c r="AG245" s="36">
        <f>IF(A245="","",IF(V245&lt;&gt;"",V245-B245,TODAY()-B245))</f>
        <v/>
      </c>
      <c r="AH245" s="36">
        <f>IF(OR(A245="",I245=""),"",MAX(0,IF(V245&lt;&gt;"",V245-I245,TODAY()-I245)))</f>
        <v/>
      </c>
      <c r="AI245" s="37">
        <f>IF(A245="","",IF(OR(K245="Closed",V245&lt;&gt;""),"Closed",IF(AH245&gt;=AgeCrit,"Critical",IF(AH245&gt;=AgeFu,"For Follow-up",IF(AH245&gt;=AgeMonitor,"Monitor","Within Standard")))))</f>
        <v/>
      </c>
      <c r="AJ245" s="38">
        <f>IF(A245="","",IFERROR(INDEX(StgPct,MATCH(H245,StgList,0)),0))</f>
        <v/>
      </c>
      <c r="AK245" s="38">
        <f>IF(A245="","",IFERROR(COUNTIF(Y245:AF245,"Y")/(COUNTIF(Y245:AF245,"Y")+COUNTIF(Y245:AF245,"N")),0))</f>
        <v/>
      </c>
      <c r="AL245" s="36">
        <f>IF(OR(A245="",X245=""),"",MAX(0,IF(V245&lt;&gt;"",V245,TODAY())-X245))</f>
        <v/>
      </c>
      <c r="AM245" s="32" t="n"/>
      <c r="AN245" s="33">
        <f>IF(A245="","",LOWER(AI245)&amp;"|"&amp;AH245&amp;"|"&amp;AJ245&amp;"|"&amp;AK245)</f>
        <v/>
      </c>
      <c r="AO245" s="33">
        <f>IF(OR(A245="",T245=""),"",T245-TODAY())</f>
        <v/>
      </c>
      <c r="AP245" s="33">
        <f>IF(OR(A245="",V245&lt;&gt;""),"",(TODAY()-B245)+ROW()/1000000)</f>
        <v/>
      </c>
    </row>
    <row r="246" ht="27" customHeight="1">
      <c r="A246" s="30" t="n"/>
      <c r="B246" s="31" t="n"/>
      <c r="C246" s="32" t="n"/>
      <c r="D246" s="32" t="n"/>
      <c r="E246" s="32" t="n"/>
      <c r="F246" s="32" t="n"/>
      <c r="G246" s="33">
        <f>IF(A246="","",IFERROR(INDEX(OffCat,MATCH(F246,OffList,0)),"Unlisted"))</f>
        <v/>
      </c>
      <c r="H246" s="30" t="n"/>
      <c r="I246" s="31" t="n"/>
      <c r="J246" s="34" t="n"/>
      <c r="K246" s="34" t="n"/>
      <c r="L246" s="34" t="n"/>
      <c r="M246" s="30" t="n"/>
      <c r="N246" s="30" t="n"/>
      <c r="O246" s="30" t="n"/>
      <c r="P246" s="30" t="n"/>
      <c r="Q246" s="31" t="n"/>
      <c r="R246" s="31" t="n"/>
      <c r="S246" s="31" t="n"/>
      <c r="T246" s="31" t="n"/>
      <c r="U246" s="31" t="n"/>
      <c r="V246" s="31" t="n"/>
      <c r="W246" s="30" t="n"/>
      <c r="X246" s="31" t="n"/>
      <c r="Y246" s="35" t="n"/>
      <c r="Z246" s="35" t="n"/>
      <c r="AA246" s="35" t="n"/>
      <c r="AB246" s="35" t="n"/>
      <c r="AC246" s="35" t="n"/>
      <c r="AD246" s="35" t="n"/>
      <c r="AE246" s="35" t="n"/>
      <c r="AF246" s="35" t="n"/>
      <c r="AG246" s="36">
        <f>IF(A246="","",IF(V246&lt;&gt;"",V246-B246,TODAY()-B246))</f>
        <v/>
      </c>
      <c r="AH246" s="36">
        <f>IF(OR(A246="",I246=""),"",MAX(0,IF(V246&lt;&gt;"",V246-I246,TODAY()-I246)))</f>
        <v/>
      </c>
      <c r="AI246" s="37">
        <f>IF(A246="","",IF(OR(K246="Closed",V246&lt;&gt;""),"Closed",IF(AH246&gt;=AgeCrit,"Critical",IF(AH246&gt;=AgeFu,"For Follow-up",IF(AH246&gt;=AgeMonitor,"Monitor","Within Standard")))))</f>
        <v/>
      </c>
      <c r="AJ246" s="38">
        <f>IF(A246="","",IFERROR(INDEX(StgPct,MATCH(H246,StgList,0)),0))</f>
        <v/>
      </c>
      <c r="AK246" s="38">
        <f>IF(A246="","",IFERROR(COUNTIF(Y246:AF246,"Y")/(COUNTIF(Y246:AF246,"Y")+COUNTIF(Y246:AF246,"N")),0))</f>
        <v/>
      </c>
      <c r="AL246" s="36">
        <f>IF(OR(A246="",X246=""),"",MAX(0,IF(V246&lt;&gt;"",V246,TODAY())-X246))</f>
        <v/>
      </c>
      <c r="AM246" s="32" t="n"/>
      <c r="AN246" s="33">
        <f>IF(A246="","",LOWER(AI246)&amp;"|"&amp;AH246&amp;"|"&amp;AJ246&amp;"|"&amp;AK246)</f>
        <v/>
      </c>
      <c r="AO246" s="33">
        <f>IF(OR(A246="",T246=""),"",T246-TODAY())</f>
        <v/>
      </c>
      <c r="AP246" s="33">
        <f>IF(OR(A246="",V246&lt;&gt;""),"",(TODAY()-B246)+ROW()/1000000)</f>
        <v/>
      </c>
    </row>
    <row r="247" ht="27" customHeight="1">
      <c r="A247" s="30" t="n"/>
      <c r="B247" s="31" t="n"/>
      <c r="C247" s="32" t="n"/>
      <c r="D247" s="32" t="n"/>
      <c r="E247" s="32" t="n"/>
      <c r="F247" s="32" t="n"/>
      <c r="G247" s="33">
        <f>IF(A247="","",IFERROR(INDEX(OffCat,MATCH(F247,OffList,0)),"Unlisted"))</f>
        <v/>
      </c>
      <c r="H247" s="30" t="n"/>
      <c r="I247" s="31" t="n"/>
      <c r="J247" s="34" t="n"/>
      <c r="K247" s="34" t="n"/>
      <c r="L247" s="34" t="n"/>
      <c r="M247" s="30" t="n"/>
      <c r="N247" s="30" t="n"/>
      <c r="O247" s="30" t="n"/>
      <c r="P247" s="30" t="n"/>
      <c r="Q247" s="31" t="n"/>
      <c r="R247" s="31" t="n"/>
      <c r="S247" s="31" t="n"/>
      <c r="T247" s="31" t="n"/>
      <c r="U247" s="31" t="n"/>
      <c r="V247" s="31" t="n"/>
      <c r="W247" s="30" t="n"/>
      <c r="X247" s="31" t="n"/>
      <c r="Y247" s="35" t="n"/>
      <c r="Z247" s="35" t="n"/>
      <c r="AA247" s="35" t="n"/>
      <c r="AB247" s="35" t="n"/>
      <c r="AC247" s="35" t="n"/>
      <c r="AD247" s="35" t="n"/>
      <c r="AE247" s="35" t="n"/>
      <c r="AF247" s="35" t="n"/>
      <c r="AG247" s="36">
        <f>IF(A247="","",IF(V247&lt;&gt;"",V247-B247,TODAY()-B247))</f>
        <v/>
      </c>
      <c r="AH247" s="36">
        <f>IF(OR(A247="",I247=""),"",MAX(0,IF(V247&lt;&gt;"",V247-I247,TODAY()-I247)))</f>
        <v/>
      </c>
      <c r="AI247" s="37">
        <f>IF(A247="","",IF(OR(K247="Closed",V247&lt;&gt;""),"Closed",IF(AH247&gt;=AgeCrit,"Critical",IF(AH247&gt;=AgeFu,"For Follow-up",IF(AH247&gt;=AgeMonitor,"Monitor","Within Standard")))))</f>
        <v/>
      </c>
      <c r="AJ247" s="38">
        <f>IF(A247="","",IFERROR(INDEX(StgPct,MATCH(H247,StgList,0)),0))</f>
        <v/>
      </c>
      <c r="AK247" s="38">
        <f>IF(A247="","",IFERROR(COUNTIF(Y247:AF247,"Y")/(COUNTIF(Y247:AF247,"Y")+COUNTIF(Y247:AF247,"N")),0))</f>
        <v/>
      </c>
      <c r="AL247" s="36">
        <f>IF(OR(A247="",X247=""),"",MAX(0,IF(V247&lt;&gt;"",V247,TODAY())-X247))</f>
        <v/>
      </c>
      <c r="AM247" s="32" t="n"/>
      <c r="AN247" s="33">
        <f>IF(A247="","",LOWER(AI247)&amp;"|"&amp;AH247&amp;"|"&amp;AJ247&amp;"|"&amp;AK247)</f>
        <v/>
      </c>
      <c r="AO247" s="33">
        <f>IF(OR(A247="",T247=""),"",T247-TODAY())</f>
        <v/>
      </c>
      <c r="AP247" s="33">
        <f>IF(OR(A247="",V247&lt;&gt;""),"",(TODAY()-B247)+ROW()/1000000)</f>
        <v/>
      </c>
    </row>
    <row r="248" ht="27" customHeight="1">
      <c r="A248" s="30" t="n"/>
      <c r="B248" s="31" t="n"/>
      <c r="C248" s="32" t="n"/>
      <c r="D248" s="32" t="n"/>
      <c r="E248" s="32" t="n"/>
      <c r="F248" s="32" t="n"/>
      <c r="G248" s="33">
        <f>IF(A248="","",IFERROR(INDEX(OffCat,MATCH(F248,OffList,0)),"Unlisted"))</f>
        <v/>
      </c>
      <c r="H248" s="30" t="n"/>
      <c r="I248" s="31" t="n"/>
      <c r="J248" s="34" t="n"/>
      <c r="K248" s="34" t="n"/>
      <c r="L248" s="34" t="n"/>
      <c r="M248" s="30" t="n"/>
      <c r="N248" s="30" t="n"/>
      <c r="O248" s="30" t="n"/>
      <c r="P248" s="30" t="n"/>
      <c r="Q248" s="31" t="n"/>
      <c r="R248" s="31" t="n"/>
      <c r="S248" s="31" t="n"/>
      <c r="T248" s="31" t="n"/>
      <c r="U248" s="31" t="n"/>
      <c r="V248" s="31" t="n"/>
      <c r="W248" s="30" t="n"/>
      <c r="X248" s="31" t="n"/>
      <c r="Y248" s="35" t="n"/>
      <c r="Z248" s="35" t="n"/>
      <c r="AA248" s="35" t="n"/>
      <c r="AB248" s="35" t="n"/>
      <c r="AC248" s="35" t="n"/>
      <c r="AD248" s="35" t="n"/>
      <c r="AE248" s="35" t="n"/>
      <c r="AF248" s="35" t="n"/>
      <c r="AG248" s="36">
        <f>IF(A248="","",IF(V248&lt;&gt;"",V248-B248,TODAY()-B248))</f>
        <v/>
      </c>
      <c r="AH248" s="36">
        <f>IF(OR(A248="",I248=""),"",MAX(0,IF(V248&lt;&gt;"",V248-I248,TODAY()-I248)))</f>
        <v/>
      </c>
      <c r="AI248" s="37">
        <f>IF(A248="","",IF(OR(K248="Closed",V248&lt;&gt;""),"Closed",IF(AH248&gt;=AgeCrit,"Critical",IF(AH248&gt;=AgeFu,"For Follow-up",IF(AH248&gt;=AgeMonitor,"Monitor","Within Standard")))))</f>
        <v/>
      </c>
      <c r="AJ248" s="38">
        <f>IF(A248="","",IFERROR(INDEX(StgPct,MATCH(H248,StgList,0)),0))</f>
        <v/>
      </c>
      <c r="AK248" s="38">
        <f>IF(A248="","",IFERROR(COUNTIF(Y248:AF248,"Y")/(COUNTIF(Y248:AF248,"Y")+COUNTIF(Y248:AF248,"N")),0))</f>
        <v/>
      </c>
      <c r="AL248" s="36">
        <f>IF(OR(A248="",X248=""),"",MAX(0,IF(V248&lt;&gt;"",V248,TODAY())-X248))</f>
        <v/>
      </c>
      <c r="AM248" s="32" t="n"/>
      <c r="AN248" s="33">
        <f>IF(A248="","",LOWER(AI248)&amp;"|"&amp;AH248&amp;"|"&amp;AJ248&amp;"|"&amp;AK248)</f>
        <v/>
      </c>
      <c r="AO248" s="33">
        <f>IF(OR(A248="",T248=""),"",T248-TODAY())</f>
        <v/>
      </c>
      <c r="AP248" s="33">
        <f>IF(OR(A248="",V248&lt;&gt;""),"",(TODAY()-B248)+ROW()/1000000)</f>
        <v/>
      </c>
    </row>
    <row r="249" ht="27" customHeight="1">
      <c r="A249" s="30" t="n"/>
      <c r="B249" s="31" t="n"/>
      <c r="C249" s="32" t="n"/>
      <c r="D249" s="32" t="n"/>
      <c r="E249" s="32" t="n"/>
      <c r="F249" s="32" t="n"/>
      <c r="G249" s="33">
        <f>IF(A249="","",IFERROR(INDEX(OffCat,MATCH(F249,OffList,0)),"Unlisted"))</f>
        <v/>
      </c>
      <c r="H249" s="30" t="n"/>
      <c r="I249" s="31" t="n"/>
      <c r="J249" s="34" t="n"/>
      <c r="K249" s="34" t="n"/>
      <c r="L249" s="34" t="n"/>
      <c r="M249" s="30" t="n"/>
      <c r="N249" s="30" t="n"/>
      <c r="O249" s="30" t="n"/>
      <c r="P249" s="30" t="n"/>
      <c r="Q249" s="31" t="n"/>
      <c r="R249" s="31" t="n"/>
      <c r="S249" s="31" t="n"/>
      <c r="T249" s="31" t="n"/>
      <c r="U249" s="31" t="n"/>
      <c r="V249" s="31" t="n"/>
      <c r="W249" s="30" t="n"/>
      <c r="X249" s="31" t="n"/>
      <c r="Y249" s="35" t="n"/>
      <c r="Z249" s="35" t="n"/>
      <c r="AA249" s="35" t="n"/>
      <c r="AB249" s="35" t="n"/>
      <c r="AC249" s="35" t="n"/>
      <c r="AD249" s="35" t="n"/>
      <c r="AE249" s="35" t="n"/>
      <c r="AF249" s="35" t="n"/>
      <c r="AG249" s="36">
        <f>IF(A249="","",IF(V249&lt;&gt;"",V249-B249,TODAY()-B249))</f>
        <v/>
      </c>
      <c r="AH249" s="36">
        <f>IF(OR(A249="",I249=""),"",MAX(0,IF(V249&lt;&gt;"",V249-I249,TODAY()-I249)))</f>
        <v/>
      </c>
      <c r="AI249" s="37">
        <f>IF(A249="","",IF(OR(K249="Closed",V249&lt;&gt;""),"Closed",IF(AH249&gt;=AgeCrit,"Critical",IF(AH249&gt;=AgeFu,"For Follow-up",IF(AH249&gt;=AgeMonitor,"Monitor","Within Standard")))))</f>
        <v/>
      </c>
      <c r="AJ249" s="38">
        <f>IF(A249="","",IFERROR(INDEX(StgPct,MATCH(H249,StgList,0)),0))</f>
        <v/>
      </c>
      <c r="AK249" s="38">
        <f>IF(A249="","",IFERROR(COUNTIF(Y249:AF249,"Y")/(COUNTIF(Y249:AF249,"Y")+COUNTIF(Y249:AF249,"N")),0))</f>
        <v/>
      </c>
      <c r="AL249" s="36">
        <f>IF(OR(A249="",X249=""),"",MAX(0,IF(V249&lt;&gt;"",V249,TODAY())-X249))</f>
        <v/>
      </c>
      <c r="AM249" s="32" t="n"/>
      <c r="AN249" s="33">
        <f>IF(A249="","",LOWER(AI249)&amp;"|"&amp;AH249&amp;"|"&amp;AJ249&amp;"|"&amp;AK249)</f>
        <v/>
      </c>
      <c r="AO249" s="33">
        <f>IF(OR(A249="",T249=""),"",T249-TODAY())</f>
        <v/>
      </c>
      <c r="AP249" s="33">
        <f>IF(OR(A249="",V249&lt;&gt;""),"",(TODAY()-B249)+ROW()/1000000)</f>
        <v/>
      </c>
    </row>
    <row r="250" ht="27" customHeight="1">
      <c r="A250" s="30" t="n"/>
      <c r="B250" s="31" t="n"/>
      <c r="C250" s="32" t="n"/>
      <c r="D250" s="32" t="n"/>
      <c r="E250" s="32" t="n"/>
      <c r="F250" s="32" t="n"/>
      <c r="G250" s="33">
        <f>IF(A250="","",IFERROR(INDEX(OffCat,MATCH(F250,OffList,0)),"Unlisted"))</f>
        <v/>
      </c>
      <c r="H250" s="30" t="n"/>
      <c r="I250" s="31" t="n"/>
      <c r="J250" s="34" t="n"/>
      <c r="K250" s="34" t="n"/>
      <c r="L250" s="34" t="n"/>
      <c r="M250" s="30" t="n"/>
      <c r="N250" s="30" t="n"/>
      <c r="O250" s="30" t="n"/>
      <c r="P250" s="30" t="n"/>
      <c r="Q250" s="31" t="n"/>
      <c r="R250" s="31" t="n"/>
      <c r="S250" s="31" t="n"/>
      <c r="T250" s="31" t="n"/>
      <c r="U250" s="31" t="n"/>
      <c r="V250" s="31" t="n"/>
      <c r="W250" s="30" t="n"/>
      <c r="X250" s="31" t="n"/>
      <c r="Y250" s="35" t="n"/>
      <c r="Z250" s="35" t="n"/>
      <c r="AA250" s="35" t="n"/>
      <c r="AB250" s="35" t="n"/>
      <c r="AC250" s="35" t="n"/>
      <c r="AD250" s="35" t="n"/>
      <c r="AE250" s="35" t="n"/>
      <c r="AF250" s="35" t="n"/>
      <c r="AG250" s="36">
        <f>IF(A250="","",IF(V250&lt;&gt;"",V250-B250,TODAY()-B250))</f>
        <v/>
      </c>
      <c r="AH250" s="36">
        <f>IF(OR(A250="",I250=""),"",MAX(0,IF(V250&lt;&gt;"",V250-I250,TODAY()-I250)))</f>
        <v/>
      </c>
      <c r="AI250" s="37">
        <f>IF(A250="","",IF(OR(K250="Closed",V250&lt;&gt;""),"Closed",IF(AH250&gt;=AgeCrit,"Critical",IF(AH250&gt;=AgeFu,"For Follow-up",IF(AH250&gt;=AgeMonitor,"Monitor","Within Standard")))))</f>
        <v/>
      </c>
      <c r="AJ250" s="38">
        <f>IF(A250="","",IFERROR(INDEX(StgPct,MATCH(H250,StgList,0)),0))</f>
        <v/>
      </c>
      <c r="AK250" s="38">
        <f>IF(A250="","",IFERROR(COUNTIF(Y250:AF250,"Y")/(COUNTIF(Y250:AF250,"Y")+COUNTIF(Y250:AF250,"N")),0))</f>
        <v/>
      </c>
      <c r="AL250" s="36">
        <f>IF(OR(A250="",X250=""),"",MAX(0,IF(V250&lt;&gt;"",V250,TODAY())-X250))</f>
        <v/>
      </c>
      <c r="AM250" s="32" t="n"/>
      <c r="AN250" s="33">
        <f>IF(A250="","",LOWER(AI250)&amp;"|"&amp;AH250&amp;"|"&amp;AJ250&amp;"|"&amp;AK250)</f>
        <v/>
      </c>
      <c r="AO250" s="33">
        <f>IF(OR(A250="",T250=""),"",T250-TODAY())</f>
        <v/>
      </c>
      <c r="AP250" s="33">
        <f>IF(OR(A250="",V250&lt;&gt;""),"",(TODAY()-B250)+ROW()/1000000)</f>
        <v/>
      </c>
    </row>
    <row r="251" ht="27" customHeight="1">
      <c r="A251" s="30" t="n"/>
      <c r="B251" s="31" t="n"/>
      <c r="C251" s="32" t="n"/>
      <c r="D251" s="32" t="n"/>
      <c r="E251" s="32" t="n"/>
      <c r="F251" s="32" t="n"/>
      <c r="G251" s="33">
        <f>IF(A251="","",IFERROR(INDEX(OffCat,MATCH(F251,OffList,0)),"Unlisted"))</f>
        <v/>
      </c>
      <c r="H251" s="30" t="n"/>
      <c r="I251" s="31" t="n"/>
      <c r="J251" s="34" t="n"/>
      <c r="K251" s="34" t="n"/>
      <c r="L251" s="34" t="n"/>
      <c r="M251" s="30" t="n"/>
      <c r="N251" s="30" t="n"/>
      <c r="O251" s="30" t="n"/>
      <c r="P251" s="30" t="n"/>
      <c r="Q251" s="31" t="n"/>
      <c r="R251" s="31" t="n"/>
      <c r="S251" s="31" t="n"/>
      <c r="T251" s="31" t="n"/>
      <c r="U251" s="31" t="n"/>
      <c r="V251" s="31" t="n"/>
      <c r="W251" s="30" t="n"/>
      <c r="X251" s="31" t="n"/>
      <c r="Y251" s="35" t="n"/>
      <c r="Z251" s="35" t="n"/>
      <c r="AA251" s="35" t="n"/>
      <c r="AB251" s="35" t="n"/>
      <c r="AC251" s="35" t="n"/>
      <c r="AD251" s="35" t="n"/>
      <c r="AE251" s="35" t="n"/>
      <c r="AF251" s="35" t="n"/>
      <c r="AG251" s="36">
        <f>IF(A251="","",IF(V251&lt;&gt;"",V251-B251,TODAY()-B251))</f>
        <v/>
      </c>
      <c r="AH251" s="36">
        <f>IF(OR(A251="",I251=""),"",MAX(0,IF(V251&lt;&gt;"",V251-I251,TODAY()-I251)))</f>
        <v/>
      </c>
      <c r="AI251" s="37">
        <f>IF(A251="","",IF(OR(K251="Closed",V251&lt;&gt;""),"Closed",IF(AH251&gt;=AgeCrit,"Critical",IF(AH251&gt;=AgeFu,"For Follow-up",IF(AH251&gt;=AgeMonitor,"Monitor","Within Standard")))))</f>
        <v/>
      </c>
      <c r="AJ251" s="38">
        <f>IF(A251="","",IFERROR(INDEX(StgPct,MATCH(H251,StgList,0)),0))</f>
        <v/>
      </c>
      <c r="AK251" s="38">
        <f>IF(A251="","",IFERROR(COUNTIF(Y251:AF251,"Y")/(COUNTIF(Y251:AF251,"Y")+COUNTIF(Y251:AF251,"N")),0))</f>
        <v/>
      </c>
      <c r="AL251" s="36">
        <f>IF(OR(A251="",X251=""),"",MAX(0,IF(V251&lt;&gt;"",V251,TODAY())-X251))</f>
        <v/>
      </c>
      <c r="AM251" s="32" t="n"/>
      <c r="AN251" s="33">
        <f>IF(A251="","",LOWER(AI251)&amp;"|"&amp;AH251&amp;"|"&amp;AJ251&amp;"|"&amp;AK251)</f>
        <v/>
      </c>
      <c r="AO251" s="33">
        <f>IF(OR(A251="",T251=""),"",T251-TODAY())</f>
        <v/>
      </c>
      <c r="AP251" s="33">
        <f>IF(OR(A251="",V251&lt;&gt;""),"",(TODAY()-B251)+ROW()/1000000)</f>
        <v/>
      </c>
    </row>
    <row r="252" ht="27" customHeight="1">
      <c r="A252" s="30" t="n"/>
      <c r="B252" s="31" t="n"/>
      <c r="C252" s="32" t="n"/>
      <c r="D252" s="32" t="n"/>
      <c r="E252" s="32" t="n"/>
      <c r="F252" s="32" t="n"/>
      <c r="G252" s="33">
        <f>IF(A252="","",IFERROR(INDEX(OffCat,MATCH(F252,OffList,0)),"Unlisted"))</f>
        <v/>
      </c>
      <c r="H252" s="30" t="n"/>
      <c r="I252" s="31" t="n"/>
      <c r="J252" s="34" t="n"/>
      <c r="K252" s="34" t="n"/>
      <c r="L252" s="34" t="n"/>
      <c r="M252" s="30" t="n"/>
      <c r="N252" s="30" t="n"/>
      <c r="O252" s="30" t="n"/>
      <c r="P252" s="30" t="n"/>
      <c r="Q252" s="31" t="n"/>
      <c r="R252" s="31" t="n"/>
      <c r="S252" s="31" t="n"/>
      <c r="T252" s="31" t="n"/>
      <c r="U252" s="31" t="n"/>
      <c r="V252" s="31" t="n"/>
      <c r="W252" s="30" t="n"/>
      <c r="X252" s="31" t="n"/>
      <c r="Y252" s="35" t="n"/>
      <c r="Z252" s="35" t="n"/>
      <c r="AA252" s="35" t="n"/>
      <c r="AB252" s="35" t="n"/>
      <c r="AC252" s="35" t="n"/>
      <c r="AD252" s="35" t="n"/>
      <c r="AE252" s="35" t="n"/>
      <c r="AF252" s="35" t="n"/>
      <c r="AG252" s="36">
        <f>IF(A252="","",IF(V252&lt;&gt;"",V252-B252,TODAY()-B252))</f>
        <v/>
      </c>
      <c r="AH252" s="36">
        <f>IF(OR(A252="",I252=""),"",MAX(0,IF(V252&lt;&gt;"",V252-I252,TODAY()-I252)))</f>
        <v/>
      </c>
      <c r="AI252" s="37">
        <f>IF(A252="","",IF(OR(K252="Closed",V252&lt;&gt;""),"Closed",IF(AH252&gt;=AgeCrit,"Critical",IF(AH252&gt;=AgeFu,"For Follow-up",IF(AH252&gt;=AgeMonitor,"Monitor","Within Standard")))))</f>
        <v/>
      </c>
      <c r="AJ252" s="38">
        <f>IF(A252="","",IFERROR(INDEX(StgPct,MATCH(H252,StgList,0)),0))</f>
        <v/>
      </c>
      <c r="AK252" s="38">
        <f>IF(A252="","",IFERROR(COUNTIF(Y252:AF252,"Y")/(COUNTIF(Y252:AF252,"Y")+COUNTIF(Y252:AF252,"N")),0))</f>
        <v/>
      </c>
      <c r="AL252" s="36">
        <f>IF(OR(A252="",X252=""),"",MAX(0,IF(V252&lt;&gt;"",V252,TODAY())-X252))</f>
        <v/>
      </c>
      <c r="AM252" s="32" t="n"/>
      <c r="AN252" s="33">
        <f>IF(A252="","",LOWER(AI252)&amp;"|"&amp;AH252&amp;"|"&amp;AJ252&amp;"|"&amp;AK252)</f>
        <v/>
      </c>
      <c r="AO252" s="33">
        <f>IF(OR(A252="",T252=""),"",T252-TODAY())</f>
        <v/>
      </c>
      <c r="AP252" s="33">
        <f>IF(OR(A252="",V252&lt;&gt;""),"",(TODAY()-B252)+ROW()/1000000)</f>
        <v/>
      </c>
    </row>
    <row r="253" ht="27" customHeight="1">
      <c r="A253" s="30" t="n"/>
      <c r="B253" s="31" t="n"/>
      <c r="C253" s="32" t="n"/>
      <c r="D253" s="32" t="n"/>
      <c r="E253" s="32" t="n"/>
      <c r="F253" s="32" t="n"/>
      <c r="G253" s="33">
        <f>IF(A253="","",IFERROR(INDEX(OffCat,MATCH(F253,OffList,0)),"Unlisted"))</f>
        <v/>
      </c>
      <c r="H253" s="30" t="n"/>
      <c r="I253" s="31" t="n"/>
      <c r="J253" s="34" t="n"/>
      <c r="K253" s="34" t="n"/>
      <c r="L253" s="34" t="n"/>
      <c r="M253" s="30" t="n"/>
      <c r="N253" s="30" t="n"/>
      <c r="O253" s="30" t="n"/>
      <c r="P253" s="30" t="n"/>
      <c r="Q253" s="31" t="n"/>
      <c r="R253" s="31" t="n"/>
      <c r="S253" s="31" t="n"/>
      <c r="T253" s="31" t="n"/>
      <c r="U253" s="31" t="n"/>
      <c r="V253" s="31" t="n"/>
      <c r="W253" s="30" t="n"/>
      <c r="X253" s="31" t="n"/>
      <c r="Y253" s="35" t="n"/>
      <c r="Z253" s="35" t="n"/>
      <c r="AA253" s="35" t="n"/>
      <c r="AB253" s="35" t="n"/>
      <c r="AC253" s="35" t="n"/>
      <c r="AD253" s="35" t="n"/>
      <c r="AE253" s="35" t="n"/>
      <c r="AF253" s="35" t="n"/>
      <c r="AG253" s="36">
        <f>IF(A253="","",IF(V253&lt;&gt;"",V253-B253,TODAY()-B253))</f>
        <v/>
      </c>
      <c r="AH253" s="36">
        <f>IF(OR(A253="",I253=""),"",MAX(0,IF(V253&lt;&gt;"",V253-I253,TODAY()-I253)))</f>
        <v/>
      </c>
      <c r="AI253" s="37">
        <f>IF(A253="","",IF(OR(K253="Closed",V253&lt;&gt;""),"Closed",IF(AH253&gt;=AgeCrit,"Critical",IF(AH253&gt;=AgeFu,"For Follow-up",IF(AH253&gt;=AgeMonitor,"Monitor","Within Standard")))))</f>
        <v/>
      </c>
      <c r="AJ253" s="38">
        <f>IF(A253="","",IFERROR(INDEX(StgPct,MATCH(H253,StgList,0)),0))</f>
        <v/>
      </c>
      <c r="AK253" s="38">
        <f>IF(A253="","",IFERROR(COUNTIF(Y253:AF253,"Y")/(COUNTIF(Y253:AF253,"Y")+COUNTIF(Y253:AF253,"N")),0))</f>
        <v/>
      </c>
      <c r="AL253" s="36">
        <f>IF(OR(A253="",X253=""),"",MAX(0,IF(V253&lt;&gt;"",V253,TODAY())-X253))</f>
        <v/>
      </c>
      <c r="AM253" s="32" t="n"/>
      <c r="AN253" s="33">
        <f>IF(A253="","",LOWER(AI253)&amp;"|"&amp;AH253&amp;"|"&amp;AJ253&amp;"|"&amp;AK253)</f>
        <v/>
      </c>
      <c r="AO253" s="33">
        <f>IF(OR(A253="",T253=""),"",T253-TODAY())</f>
        <v/>
      </c>
      <c r="AP253" s="33">
        <f>IF(OR(A253="",V253&lt;&gt;""),"",(TODAY()-B253)+ROW()/1000000)</f>
        <v/>
      </c>
    </row>
    <row r="254" ht="27" customHeight="1">
      <c r="A254" s="30" t="n"/>
      <c r="B254" s="31" t="n"/>
      <c r="C254" s="32" t="n"/>
      <c r="D254" s="32" t="n"/>
      <c r="E254" s="32" t="n"/>
      <c r="F254" s="32" t="n"/>
      <c r="G254" s="33">
        <f>IF(A254="","",IFERROR(INDEX(OffCat,MATCH(F254,OffList,0)),"Unlisted"))</f>
        <v/>
      </c>
      <c r="H254" s="30" t="n"/>
      <c r="I254" s="31" t="n"/>
      <c r="J254" s="34" t="n"/>
      <c r="K254" s="34" t="n"/>
      <c r="L254" s="34" t="n"/>
      <c r="M254" s="30" t="n"/>
      <c r="N254" s="30" t="n"/>
      <c r="O254" s="30" t="n"/>
      <c r="P254" s="30" t="n"/>
      <c r="Q254" s="31" t="n"/>
      <c r="R254" s="31" t="n"/>
      <c r="S254" s="31" t="n"/>
      <c r="T254" s="31" t="n"/>
      <c r="U254" s="31" t="n"/>
      <c r="V254" s="31" t="n"/>
      <c r="W254" s="30" t="n"/>
      <c r="X254" s="31" t="n"/>
      <c r="Y254" s="35" t="n"/>
      <c r="Z254" s="35" t="n"/>
      <c r="AA254" s="35" t="n"/>
      <c r="AB254" s="35" t="n"/>
      <c r="AC254" s="35" t="n"/>
      <c r="AD254" s="35" t="n"/>
      <c r="AE254" s="35" t="n"/>
      <c r="AF254" s="35" t="n"/>
      <c r="AG254" s="36">
        <f>IF(A254="","",IF(V254&lt;&gt;"",V254-B254,TODAY()-B254))</f>
        <v/>
      </c>
      <c r="AH254" s="36">
        <f>IF(OR(A254="",I254=""),"",MAX(0,IF(V254&lt;&gt;"",V254-I254,TODAY()-I254)))</f>
        <v/>
      </c>
      <c r="AI254" s="37">
        <f>IF(A254="","",IF(OR(K254="Closed",V254&lt;&gt;""),"Closed",IF(AH254&gt;=AgeCrit,"Critical",IF(AH254&gt;=AgeFu,"For Follow-up",IF(AH254&gt;=AgeMonitor,"Monitor","Within Standard")))))</f>
        <v/>
      </c>
      <c r="AJ254" s="38">
        <f>IF(A254="","",IFERROR(INDEX(StgPct,MATCH(H254,StgList,0)),0))</f>
        <v/>
      </c>
      <c r="AK254" s="38">
        <f>IF(A254="","",IFERROR(COUNTIF(Y254:AF254,"Y")/(COUNTIF(Y254:AF254,"Y")+COUNTIF(Y254:AF254,"N")),0))</f>
        <v/>
      </c>
      <c r="AL254" s="36">
        <f>IF(OR(A254="",X254=""),"",MAX(0,IF(V254&lt;&gt;"",V254,TODAY())-X254))</f>
        <v/>
      </c>
      <c r="AM254" s="32" t="n"/>
      <c r="AN254" s="33">
        <f>IF(A254="","",LOWER(AI254)&amp;"|"&amp;AH254&amp;"|"&amp;AJ254&amp;"|"&amp;AK254)</f>
        <v/>
      </c>
      <c r="AO254" s="33">
        <f>IF(OR(A254="",T254=""),"",T254-TODAY())</f>
        <v/>
      </c>
      <c r="AP254" s="33">
        <f>IF(OR(A254="",V254&lt;&gt;""),"",(TODAY()-B254)+ROW()/1000000)</f>
        <v/>
      </c>
    </row>
    <row r="255" ht="27" customHeight="1">
      <c r="A255" s="30" t="n"/>
      <c r="B255" s="31" t="n"/>
      <c r="C255" s="32" t="n"/>
      <c r="D255" s="32" t="n"/>
      <c r="E255" s="32" t="n"/>
      <c r="F255" s="32" t="n"/>
      <c r="G255" s="33">
        <f>IF(A255="","",IFERROR(INDEX(OffCat,MATCH(F255,OffList,0)),"Unlisted"))</f>
        <v/>
      </c>
      <c r="H255" s="30" t="n"/>
      <c r="I255" s="31" t="n"/>
      <c r="J255" s="34" t="n"/>
      <c r="K255" s="34" t="n"/>
      <c r="L255" s="34" t="n"/>
      <c r="M255" s="30" t="n"/>
      <c r="N255" s="30" t="n"/>
      <c r="O255" s="30" t="n"/>
      <c r="P255" s="30" t="n"/>
      <c r="Q255" s="31" t="n"/>
      <c r="R255" s="31" t="n"/>
      <c r="S255" s="31" t="n"/>
      <c r="T255" s="31" t="n"/>
      <c r="U255" s="31" t="n"/>
      <c r="V255" s="31" t="n"/>
      <c r="W255" s="30" t="n"/>
      <c r="X255" s="31" t="n"/>
      <c r="Y255" s="35" t="n"/>
      <c r="Z255" s="35" t="n"/>
      <c r="AA255" s="35" t="n"/>
      <c r="AB255" s="35" t="n"/>
      <c r="AC255" s="35" t="n"/>
      <c r="AD255" s="35" t="n"/>
      <c r="AE255" s="35" t="n"/>
      <c r="AF255" s="35" t="n"/>
      <c r="AG255" s="36">
        <f>IF(A255="","",IF(V255&lt;&gt;"",V255-B255,TODAY()-B255))</f>
        <v/>
      </c>
      <c r="AH255" s="36">
        <f>IF(OR(A255="",I255=""),"",MAX(0,IF(V255&lt;&gt;"",V255-I255,TODAY()-I255)))</f>
        <v/>
      </c>
      <c r="AI255" s="37">
        <f>IF(A255="","",IF(OR(K255="Closed",V255&lt;&gt;""),"Closed",IF(AH255&gt;=AgeCrit,"Critical",IF(AH255&gt;=AgeFu,"For Follow-up",IF(AH255&gt;=AgeMonitor,"Monitor","Within Standard")))))</f>
        <v/>
      </c>
      <c r="AJ255" s="38">
        <f>IF(A255="","",IFERROR(INDEX(StgPct,MATCH(H255,StgList,0)),0))</f>
        <v/>
      </c>
      <c r="AK255" s="38">
        <f>IF(A255="","",IFERROR(COUNTIF(Y255:AF255,"Y")/(COUNTIF(Y255:AF255,"Y")+COUNTIF(Y255:AF255,"N")),0))</f>
        <v/>
      </c>
      <c r="AL255" s="36">
        <f>IF(OR(A255="",X255=""),"",MAX(0,IF(V255&lt;&gt;"",V255,TODAY())-X255))</f>
        <v/>
      </c>
      <c r="AM255" s="32" t="n"/>
      <c r="AN255" s="33">
        <f>IF(A255="","",LOWER(AI255)&amp;"|"&amp;AH255&amp;"|"&amp;AJ255&amp;"|"&amp;AK255)</f>
        <v/>
      </c>
      <c r="AO255" s="33">
        <f>IF(OR(A255="",T255=""),"",T255-TODAY())</f>
        <v/>
      </c>
      <c r="AP255" s="33">
        <f>IF(OR(A255="",V255&lt;&gt;""),"",(TODAY()-B255)+ROW()/1000000)</f>
        <v/>
      </c>
    </row>
    <row r="256" ht="27" customHeight="1">
      <c r="A256" s="30" t="n"/>
      <c r="B256" s="31" t="n"/>
      <c r="C256" s="32" t="n"/>
      <c r="D256" s="32" t="n"/>
      <c r="E256" s="32" t="n"/>
      <c r="F256" s="32" t="n"/>
      <c r="G256" s="33">
        <f>IF(A256="","",IFERROR(INDEX(OffCat,MATCH(F256,OffList,0)),"Unlisted"))</f>
        <v/>
      </c>
      <c r="H256" s="30" t="n"/>
      <c r="I256" s="31" t="n"/>
      <c r="J256" s="34" t="n"/>
      <c r="K256" s="34" t="n"/>
      <c r="L256" s="34" t="n"/>
      <c r="M256" s="30" t="n"/>
      <c r="N256" s="30" t="n"/>
      <c r="O256" s="30" t="n"/>
      <c r="P256" s="30" t="n"/>
      <c r="Q256" s="31" t="n"/>
      <c r="R256" s="31" t="n"/>
      <c r="S256" s="31" t="n"/>
      <c r="T256" s="31" t="n"/>
      <c r="U256" s="31" t="n"/>
      <c r="V256" s="31" t="n"/>
      <c r="W256" s="30" t="n"/>
      <c r="X256" s="31" t="n"/>
      <c r="Y256" s="35" t="n"/>
      <c r="Z256" s="35" t="n"/>
      <c r="AA256" s="35" t="n"/>
      <c r="AB256" s="35" t="n"/>
      <c r="AC256" s="35" t="n"/>
      <c r="AD256" s="35" t="n"/>
      <c r="AE256" s="35" t="n"/>
      <c r="AF256" s="35" t="n"/>
      <c r="AG256" s="36">
        <f>IF(A256="","",IF(V256&lt;&gt;"",V256-B256,TODAY()-B256))</f>
        <v/>
      </c>
      <c r="AH256" s="36">
        <f>IF(OR(A256="",I256=""),"",MAX(0,IF(V256&lt;&gt;"",V256-I256,TODAY()-I256)))</f>
        <v/>
      </c>
      <c r="AI256" s="37">
        <f>IF(A256="","",IF(OR(K256="Closed",V256&lt;&gt;""),"Closed",IF(AH256&gt;=AgeCrit,"Critical",IF(AH256&gt;=AgeFu,"For Follow-up",IF(AH256&gt;=AgeMonitor,"Monitor","Within Standard")))))</f>
        <v/>
      </c>
      <c r="AJ256" s="38">
        <f>IF(A256="","",IFERROR(INDEX(StgPct,MATCH(H256,StgList,0)),0))</f>
        <v/>
      </c>
      <c r="AK256" s="38">
        <f>IF(A256="","",IFERROR(COUNTIF(Y256:AF256,"Y")/(COUNTIF(Y256:AF256,"Y")+COUNTIF(Y256:AF256,"N")),0))</f>
        <v/>
      </c>
      <c r="AL256" s="36">
        <f>IF(OR(A256="",X256=""),"",MAX(0,IF(V256&lt;&gt;"",V256,TODAY())-X256))</f>
        <v/>
      </c>
      <c r="AM256" s="32" t="n"/>
      <c r="AN256" s="33">
        <f>IF(A256="","",LOWER(AI256)&amp;"|"&amp;AH256&amp;"|"&amp;AJ256&amp;"|"&amp;AK256)</f>
        <v/>
      </c>
      <c r="AO256" s="33">
        <f>IF(OR(A256="",T256=""),"",T256-TODAY())</f>
        <v/>
      </c>
      <c r="AP256" s="33">
        <f>IF(OR(A256="",V256&lt;&gt;""),"",(TODAY()-B256)+ROW()/1000000)</f>
        <v/>
      </c>
    </row>
    <row r="257" ht="27" customHeight="1">
      <c r="A257" s="30" t="n"/>
      <c r="B257" s="31" t="n"/>
      <c r="C257" s="32" t="n"/>
      <c r="D257" s="32" t="n"/>
      <c r="E257" s="32" t="n"/>
      <c r="F257" s="32" t="n"/>
      <c r="G257" s="33">
        <f>IF(A257="","",IFERROR(INDEX(OffCat,MATCH(F257,OffList,0)),"Unlisted"))</f>
        <v/>
      </c>
      <c r="H257" s="30" t="n"/>
      <c r="I257" s="31" t="n"/>
      <c r="J257" s="34" t="n"/>
      <c r="K257" s="34" t="n"/>
      <c r="L257" s="34" t="n"/>
      <c r="M257" s="30" t="n"/>
      <c r="N257" s="30" t="n"/>
      <c r="O257" s="30" t="n"/>
      <c r="P257" s="30" t="n"/>
      <c r="Q257" s="31" t="n"/>
      <c r="R257" s="31" t="n"/>
      <c r="S257" s="31" t="n"/>
      <c r="T257" s="31" t="n"/>
      <c r="U257" s="31" t="n"/>
      <c r="V257" s="31" t="n"/>
      <c r="W257" s="30" t="n"/>
      <c r="X257" s="31" t="n"/>
      <c r="Y257" s="35" t="n"/>
      <c r="Z257" s="35" t="n"/>
      <c r="AA257" s="35" t="n"/>
      <c r="AB257" s="35" t="n"/>
      <c r="AC257" s="35" t="n"/>
      <c r="AD257" s="35" t="n"/>
      <c r="AE257" s="35" t="n"/>
      <c r="AF257" s="35" t="n"/>
      <c r="AG257" s="36">
        <f>IF(A257="","",IF(V257&lt;&gt;"",V257-B257,TODAY()-B257))</f>
        <v/>
      </c>
      <c r="AH257" s="36">
        <f>IF(OR(A257="",I257=""),"",MAX(0,IF(V257&lt;&gt;"",V257-I257,TODAY()-I257)))</f>
        <v/>
      </c>
      <c r="AI257" s="37">
        <f>IF(A257="","",IF(OR(K257="Closed",V257&lt;&gt;""),"Closed",IF(AH257&gt;=AgeCrit,"Critical",IF(AH257&gt;=AgeFu,"For Follow-up",IF(AH257&gt;=AgeMonitor,"Monitor","Within Standard")))))</f>
        <v/>
      </c>
      <c r="AJ257" s="38">
        <f>IF(A257="","",IFERROR(INDEX(StgPct,MATCH(H257,StgList,0)),0))</f>
        <v/>
      </c>
      <c r="AK257" s="38">
        <f>IF(A257="","",IFERROR(COUNTIF(Y257:AF257,"Y")/(COUNTIF(Y257:AF257,"Y")+COUNTIF(Y257:AF257,"N")),0))</f>
        <v/>
      </c>
      <c r="AL257" s="36">
        <f>IF(OR(A257="",X257=""),"",MAX(0,IF(V257&lt;&gt;"",V257,TODAY())-X257))</f>
        <v/>
      </c>
      <c r="AM257" s="32" t="n"/>
      <c r="AN257" s="33">
        <f>IF(A257="","",LOWER(AI257)&amp;"|"&amp;AH257&amp;"|"&amp;AJ257&amp;"|"&amp;AK257)</f>
        <v/>
      </c>
      <c r="AO257" s="33">
        <f>IF(OR(A257="",T257=""),"",T257-TODAY())</f>
        <v/>
      </c>
      <c r="AP257" s="33">
        <f>IF(OR(A257="",V257&lt;&gt;""),"",(TODAY()-B257)+ROW()/1000000)</f>
        <v/>
      </c>
    </row>
    <row r="258" ht="27" customHeight="1">
      <c r="A258" s="30" t="n"/>
      <c r="B258" s="31" t="n"/>
      <c r="C258" s="32" t="n"/>
      <c r="D258" s="32" t="n"/>
      <c r="E258" s="32" t="n"/>
      <c r="F258" s="32" t="n"/>
      <c r="G258" s="33">
        <f>IF(A258="","",IFERROR(INDEX(OffCat,MATCH(F258,OffList,0)),"Unlisted"))</f>
        <v/>
      </c>
      <c r="H258" s="30" t="n"/>
      <c r="I258" s="31" t="n"/>
      <c r="J258" s="34" t="n"/>
      <c r="K258" s="34" t="n"/>
      <c r="L258" s="34" t="n"/>
      <c r="M258" s="30" t="n"/>
      <c r="N258" s="30" t="n"/>
      <c r="O258" s="30" t="n"/>
      <c r="P258" s="30" t="n"/>
      <c r="Q258" s="31" t="n"/>
      <c r="R258" s="31" t="n"/>
      <c r="S258" s="31" t="n"/>
      <c r="T258" s="31" t="n"/>
      <c r="U258" s="31" t="n"/>
      <c r="V258" s="31" t="n"/>
      <c r="W258" s="30" t="n"/>
      <c r="X258" s="31" t="n"/>
      <c r="Y258" s="35" t="n"/>
      <c r="Z258" s="35" t="n"/>
      <c r="AA258" s="35" t="n"/>
      <c r="AB258" s="35" t="n"/>
      <c r="AC258" s="35" t="n"/>
      <c r="AD258" s="35" t="n"/>
      <c r="AE258" s="35" t="n"/>
      <c r="AF258" s="35" t="n"/>
      <c r="AG258" s="36">
        <f>IF(A258="","",IF(V258&lt;&gt;"",V258-B258,TODAY()-B258))</f>
        <v/>
      </c>
      <c r="AH258" s="36">
        <f>IF(OR(A258="",I258=""),"",MAX(0,IF(V258&lt;&gt;"",V258-I258,TODAY()-I258)))</f>
        <v/>
      </c>
      <c r="AI258" s="37">
        <f>IF(A258="","",IF(OR(K258="Closed",V258&lt;&gt;""),"Closed",IF(AH258&gt;=AgeCrit,"Critical",IF(AH258&gt;=AgeFu,"For Follow-up",IF(AH258&gt;=AgeMonitor,"Monitor","Within Standard")))))</f>
        <v/>
      </c>
      <c r="AJ258" s="38">
        <f>IF(A258="","",IFERROR(INDEX(StgPct,MATCH(H258,StgList,0)),0))</f>
        <v/>
      </c>
      <c r="AK258" s="38">
        <f>IF(A258="","",IFERROR(COUNTIF(Y258:AF258,"Y")/(COUNTIF(Y258:AF258,"Y")+COUNTIF(Y258:AF258,"N")),0))</f>
        <v/>
      </c>
      <c r="AL258" s="36">
        <f>IF(OR(A258="",X258=""),"",MAX(0,IF(V258&lt;&gt;"",V258,TODAY())-X258))</f>
        <v/>
      </c>
      <c r="AM258" s="32" t="n"/>
      <c r="AN258" s="33">
        <f>IF(A258="","",LOWER(AI258)&amp;"|"&amp;AH258&amp;"|"&amp;AJ258&amp;"|"&amp;AK258)</f>
        <v/>
      </c>
      <c r="AO258" s="33">
        <f>IF(OR(A258="",T258=""),"",T258-TODAY())</f>
        <v/>
      </c>
      <c r="AP258" s="33">
        <f>IF(OR(A258="",V258&lt;&gt;""),"",(TODAY()-B258)+ROW()/1000000)</f>
        <v/>
      </c>
    </row>
    <row r="259" ht="27" customHeight="1">
      <c r="A259" s="30" t="n"/>
      <c r="B259" s="31" t="n"/>
      <c r="C259" s="32" t="n"/>
      <c r="D259" s="32" t="n"/>
      <c r="E259" s="32" t="n"/>
      <c r="F259" s="32" t="n"/>
      <c r="G259" s="33">
        <f>IF(A259="","",IFERROR(INDEX(OffCat,MATCH(F259,OffList,0)),"Unlisted"))</f>
        <v/>
      </c>
      <c r="H259" s="30" t="n"/>
      <c r="I259" s="31" t="n"/>
      <c r="J259" s="34" t="n"/>
      <c r="K259" s="34" t="n"/>
      <c r="L259" s="34" t="n"/>
      <c r="M259" s="30" t="n"/>
      <c r="N259" s="30" t="n"/>
      <c r="O259" s="30" t="n"/>
      <c r="P259" s="30" t="n"/>
      <c r="Q259" s="31" t="n"/>
      <c r="R259" s="31" t="n"/>
      <c r="S259" s="31" t="n"/>
      <c r="T259" s="31" t="n"/>
      <c r="U259" s="31" t="n"/>
      <c r="V259" s="31" t="n"/>
      <c r="W259" s="30" t="n"/>
      <c r="X259" s="31" t="n"/>
      <c r="Y259" s="35" t="n"/>
      <c r="Z259" s="35" t="n"/>
      <c r="AA259" s="35" t="n"/>
      <c r="AB259" s="35" t="n"/>
      <c r="AC259" s="35" t="n"/>
      <c r="AD259" s="35" t="n"/>
      <c r="AE259" s="35" t="n"/>
      <c r="AF259" s="35" t="n"/>
      <c r="AG259" s="36">
        <f>IF(A259="","",IF(V259&lt;&gt;"",V259-B259,TODAY()-B259))</f>
        <v/>
      </c>
      <c r="AH259" s="36">
        <f>IF(OR(A259="",I259=""),"",MAX(0,IF(V259&lt;&gt;"",V259-I259,TODAY()-I259)))</f>
        <v/>
      </c>
      <c r="AI259" s="37">
        <f>IF(A259="","",IF(OR(K259="Closed",V259&lt;&gt;""),"Closed",IF(AH259&gt;=AgeCrit,"Critical",IF(AH259&gt;=AgeFu,"For Follow-up",IF(AH259&gt;=AgeMonitor,"Monitor","Within Standard")))))</f>
        <v/>
      </c>
      <c r="AJ259" s="38">
        <f>IF(A259="","",IFERROR(INDEX(StgPct,MATCH(H259,StgList,0)),0))</f>
        <v/>
      </c>
      <c r="AK259" s="38">
        <f>IF(A259="","",IFERROR(COUNTIF(Y259:AF259,"Y")/(COUNTIF(Y259:AF259,"Y")+COUNTIF(Y259:AF259,"N")),0))</f>
        <v/>
      </c>
      <c r="AL259" s="36">
        <f>IF(OR(A259="",X259=""),"",MAX(0,IF(V259&lt;&gt;"",V259,TODAY())-X259))</f>
        <v/>
      </c>
      <c r="AM259" s="32" t="n"/>
      <c r="AN259" s="33">
        <f>IF(A259="","",LOWER(AI259)&amp;"|"&amp;AH259&amp;"|"&amp;AJ259&amp;"|"&amp;AK259)</f>
        <v/>
      </c>
      <c r="AO259" s="33">
        <f>IF(OR(A259="",T259=""),"",T259-TODAY())</f>
        <v/>
      </c>
      <c r="AP259" s="33">
        <f>IF(OR(A259="",V259&lt;&gt;""),"",(TODAY()-B259)+ROW()/1000000)</f>
        <v/>
      </c>
    </row>
    <row r="260" ht="27" customHeight="1">
      <c r="A260" s="30" t="n"/>
      <c r="B260" s="31" t="n"/>
      <c r="C260" s="32" t="n"/>
      <c r="D260" s="32" t="n"/>
      <c r="E260" s="32" t="n"/>
      <c r="F260" s="32" t="n"/>
      <c r="G260" s="33">
        <f>IF(A260="","",IFERROR(INDEX(OffCat,MATCH(F260,OffList,0)),"Unlisted"))</f>
        <v/>
      </c>
      <c r="H260" s="30" t="n"/>
      <c r="I260" s="31" t="n"/>
      <c r="J260" s="34" t="n"/>
      <c r="K260" s="34" t="n"/>
      <c r="L260" s="34" t="n"/>
      <c r="M260" s="30" t="n"/>
      <c r="N260" s="30" t="n"/>
      <c r="O260" s="30" t="n"/>
      <c r="P260" s="30" t="n"/>
      <c r="Q260" s="31" t="n"/>
      <c r="R260" s="31" t="n"/>
      <c r="S260" s="31" t="n"/>
      <c r="T260" s="31" t="n"/>
      <c r="U260" s="31" t="n"/>
      <c r="V260" s="31" t="n"/>
      <c r="W260" s="30" t="n"/>
      <c r="X260" s="31" t="n"/>
      <c r="Y260" s="35" t="n"/>
      <c r="Z260" s="35" t="n"/>
      <c r="AA260" s="35" t="n"/>
      <c r="AB260" s="35" t="n"/>
      <c r="AC260" s="35" t="n"/>
      <c r="AD260" s="35" t="n"/>
      <c r="AE260" s="35" t="n"/>
      <c r="AF260" s="35" t="n"/>
      <c r="AG260" s="36">
        <f>IF(A260="","",IF(V260&lt;&gt;"",V260-B260,TODAY()-B260))</f>
        <v/>
      </c>
      <c r="AH260" s="36">
        <f>IF(OR(A260="",I260=""),"",MAX(0,IF(V260&lt;&gt;"",V260-I260,TODAY()-I260)))</f>
        <v/>
      </c>
      <c r="AI260" s="37">
        <f>IF(A260="","",IF(OR(K260="Closed",V260&lt;&gt;""),"Closed",IF(AH260&gt;=AgeCrit,"Critical",IF(AH260&gt;=AgeFu,"For Follow-up",IF(AH260&gt;=AgeMonitor,"Monitor","Within Standard")))))</f>
        <v/>
      </c>
      <c r="AJ260" s="38">
        <f>IF(A260="","",IFERROR(INDEX(StgPct,MATCH(H260,StgList,0)),0))</f>
        <v/>
      </c>
      <c r="AK260" s="38">
        <f>IF(A260="","",IFERROR(COUNTIF(Y260:AF260,"Y")/(COUNTIF(Y260:AF260,"Y")+COUNTIF(Y260:AF260,"N")),0))</f>
        <v/>
      </c>
      <c r="AL260" s="36">
        <f>IF(OR(A260="",X260=""),"",MAX(0,IF(V260&lt;&gt;"",V260,TODAY())-X260))</f>
        <v/>
      </c>
      <c r="AM260" s="32" t="n"/>
      <c r="AN260" s="33">
        <f>IF(A260="","",LOWER(AI260)&amp;"|"&amp;AH260&amp;"|"&amp;AJ260&amp;"|"&amp;AK260)</f>
        <v/>
      </c>
      <c r="AO260" s="33">
        <f>IF(OR(A260="",T260=""),"",T260-TODAY())</f>
        <v/>
      </c>
      <c r="AP260" s="33">
        <f>IF(OR(A260="",V260&lt;&gt;""),"",(TODAY()-B260)+ROW()/1000000)</f>
        <v/>
      </c>
    </row>
    <row r="261" ht="27" customHeight="1">
      <c r="A261" s="30" t="n"/>
      <c r="B261" s="31" t="n"/>
      <c r="C261" s="32" t="n"/>
      <c r="D261" s="32" t="n"/>
      <c r="E261" s="32" t="n"/>
      <c r="F261" s="32" t="n"/>
      <c r="G261" s="33">
        <f>IF(A261="","",IFERROR(INDEX(OffCat,MATCH(F261,OffList,0)),"Unlisted"))</f>
        <v/>
      </c>
      <c r="H261" s="30" t="n"/>
      <c r="I261" s="31" t="n"/>
      <c r="J261" s="34" t="n"/>
      <c r="K261" s="34" t="n"/>
      <c r="L261" s="34" t="n"/>
      <c r="M261" s="30" t="n"/>
      <c r="N261" s="30" t="n"/>
      <c r="O261" s="30" t="n"/>
      <c r="P261" s="30" t="n"/>
      <c r="Q261" s="31" t="n"/>
      <c r="R261" s="31" t="n"/>
      <c r="S261" s="31" t="n"/>
      <c r="T261" s="31" t="n"/>
      <c r="U261" s="31" t="n"/>
      <c r="V261" s="31" t="n"/>
      <c r="W261" s="30" t="n"/>
      <c r="X261" s="31" t="n"/>
      <c r="Y261" s="35" t="n"/>
      <c r="Z261" s="35" t="n"/>
      <c r="AA261" s="35" t="n"/>
      <c r="AB261" s="35" t="n"/>
      <c r="AC261" s="35" t="n"/>
      <c r="AD261" s="35" t="n"/>
      <c r="AE261" s="35" t="n"/>
      <c r="AF261" s="35" t="n"/>
      <c r="AG261" s="36">
        <f>IF(A261="","",IF(V261&lt;&gt;"",V261-B261,TODAY()-B261))</f>
        <v/>
      </c>
      <c r="AH261" s="36">
        <f>IF(OR(A261="",I261=""),"",MAX(0,IF(V261&lt;&gt;"",V261-I261,TODAY()-I261)))</f>
        <v/>
      </c>
      <c r="AI261" s="37">
        <f>IF(A261="","",IF(OR(K261="Closed",V261&lt;&gt;""),"Closed",IF(AH261&gt;=AgeCrit,"Critical",IF(AH261&gt;=AgeFu,"For Follow-up",IF(AH261&gt;=AgeMonitor,"Monitor","Within Standard")))))</f>
        <v/>
      </c>
      <c r="AJ261" s="38">
        <f>IF(A261="","",IFERROR(INDEX(StgPct,MATCH(H261,StgList,0)),0))</f>
        <v/>
      </c>
      <c r="AK261" s="38">
        <f>IF(A261="","",IFERROR(COUNTIF(Y261:AF261,"Y")/(COUNTIF(Y261:AF261,"Y")+COUNTIF(Y261:AF261,"N")),0))</f>
        <v/>
      </c>
      <c r="AL261" s="36">
        <f>IF(OR(A261="",X261=""),"",MAX(0,IF(V261&lt;&gt;"",V261,TODAY())-X261))</f>
        <v/>
      </c>
      <c r="AM261" s="32" t="n"/>
      <c r="AN261" s="33">
        <f>IF(A261="","",LOWER(AI261)&amp;"|"&amp;AH261&amp;"|"&amp;AJ261&amp;"|"&amp;AK261)</f>
        <v/>
      </c>
      <c r="AO261" s="33">
        <f>IF(OR(A261="",T261=""),"",T261-TODAY())</f>
        <v/>
      </c>
      <c r="AP261" s="33">
        <f>IF(OR(A261="",V261&lt;&gt;""),"",(TODAY()-B261)+ROW()/1000000)</f>
        <v/>
      </c>
    </row>
    <row r="262" ht="27" customHeight="1">
      <c r="A262" s="30" t="n"/>
      <c r="B262" s="31" t="n"/>
      <c r="C262" s="32" t="n"/>
      <c r="D262" s="32" t="n"/>
      <c r="E262" s="32" t="n"/>
      <c r="F262" s="32" t="n"/>
      <c r="G262" s="33">
        <f>IF(A262="","",IFERROR(INDEX(OffCat,MATCH(F262,OffList,0)),"Unlisted"))</f>
        <v/>
      </c>
      <c r="H262" s="30" t="n"/>
      <c r="I262" s="31" t="n"/>
      <c r="J262" s="34" t="n"/>
      <c r="K262" s="34" t="n"/>
      <c r="L262" s="34" t="n"/>
      <c r="M262" s="30" t="n"/>
      <c r="N262" s="30" t="n"/>
      <c r="O262" s="30" t="n"/>
      <c r="P262" s="30" t="n"/>
      <c r="Q262" s="31" t="n"/>
      <c r="R262" s="31" t="n"/>
      <c r="S262" s="31" t="n"/>
      <c r="T262" s="31" t="n"/>
      <c r="U262" s="31" t="n"/>
      <c r="V262" s="31" t="n"/>
      <c r="W262" s="30" t="n"/>
      <c r="X262" s="31" t="n"/>
      <c r="Y262" s="35" t="n"/>
      <c r="Z262" s="35" t="n"/>
      <c r="AA262" s="35" t="n"/>
      <c r="AB262" s="35" t="n"/>
      <c r="AC262" s="35" t="n"/>
      <c r="AD262" s="35" t="n"/>
      <c r="AE262" s="35" t="n"/>
      <c r="AF262" s="35" t="n"/>
      <c r="AG262" s="36">
        <f>IF(A262="","",IF(V262&lt;&gt;"",V262-B262,TODAY()-B262))</f>
        <v/>
      </c>
      <c r="AH262" s="36">
        <f>IF(OR(A262="",I262=""),"",MAX(0,IF(V262&lt;&gt;"",V262-I262,TODAY()-I262)))</f>
        <v/>
      </c>
      <c r="AI262" s="37">
        <f>IF(A262="","",IF(OR(K262="Closed",V262&lt;&gt;""),"Closed",IF(AH262&gt;=AgeCrit,"Critical",IF(AH262&gt;=AgeFu,"For Follow-up",IF(AH262&gt;=AgeMonitor,"Monitor","Within Standard")))))</f>
        <v/>
      </c>
      <c r="AJ262" s="38">
        <f>IF(A262="","",IFERROR(INDEX(StgPct,MATCH(H262,StgList,0)),0))</f>
        <v/>
      </c>
      <c r="AK262" s="38">
        <f>IF(A262="","",IFERROR(COUNTIF(Y262:AF262,"Y")/(COUNTIF(Y262:AF262,"Y")+COUNTIF(Y262:AF262,"N")),0))</f>
        <v/>
      </c>
      <c r="AL262" s="36">
        <f>IF(OR(A262="",X262=""),"",MAX(0,IF(V262&lt;&gt;"",V262,TODAY())-X262))</f>
        <v/>
      </c>
      <c r="AM262" s="32" t="n"/>
      <c r="AN262" s="33">
        <f>IF(A262="","",LOWER(AI262)&amp;"|"&amp;AH262&amp;"|"&amp;AJ262&amp;"|"&amp;AK262)</f>
        <v/>
      </c>
      <c r="AO262" s="33">
        <f>IF(OR(A262="",T262=""),"",T262-TODAY())</f>
        <v/>
      </c>
      <c r="AP262" s="33">
        <f>IF(OR(A262="",V262&lt;&gt;""),"",(TODAY()-B262)+ROW()/1000000)</f>
        <v/>
      </c>
    </row>
    <row r="263" ht="27" customHeight="1">
      <c r="A263" s="30" t="n"/>
      <c r="B263" s="31" t="n"/>
      <c r="C263" s="32" t="n"/>
      <c r="D263" s="32" t="n"/>
      <c r="E263" s="32" t="n"/>
      <c r="F263" s="32" t="n"/>
      <c r="G263" s="33">
        <f>IF(A263="","",IFERROR(INDEX(OffCat,MATCH(F263,OffList,0)),"Unlisted"))</f>
        <v/>
      </c>
      <c r="H263" s="30" t="n"/>
      <c r="I263" s="31" t="n"/>
      <c r="J263" s="34" t="n"/>
      <c r="K263" s="34" t="n"/>
      <c r="L263" s="34" t="n"/>
      <c r="M263" s="30" t="n"/>
      <c r="N263" s="30" t="n"/>
      <c r="O263" s="30" t="n"/>
      <c r="P263" s="30" t="n"/>
      <c r="Q263" s="31" t="n"/>
      <c r="R263" s="31" t="n"/>
      <c r="S263" s="31" t="n"/>
      <c r="T263" s="31" t="n"/>
      <c r="U263" s="31" t="n"/>
      <c r="V263" s="31" t="n"/>
      <c r="W263" s="30" t="n"/>
      <c r="X263" s="31" t="n"/>
      <c r="Y263" s="35" t="n"/>
      <c r="Z263" s="35" t="n"/>
      <c r="AA263" s="35" t="n"/>
      <c r="AB263" s="35" t="n"/>
      <c r="AC263" s="35" t="n"/>
      <c r="AD263" s="35" t="n"/>
      <c r="AE263" s="35" t="n"/>
      <c r="AF263" s="35" t="n"/>
      <c r="AG263" s="36">
        <f>IF(A263="","",IF(V263&lt;&gt;"",V263-B263,TODAY()-B263))</f>
        <v/>
      </c>
      <c r="AH263" s="36">
        <f>IF(OR(A263="",I263=""),"",MAX(0,IF(V263&lt;&gt;"",V263-I263,TODAY()-I263)))</f>
        <v/>
      </c>
      <c r="AI263" s="37">
        <f>IF(A263="","",IF(OR(K263="Closed",V263&lt;&gt;""),"Closed",IF(AH263&gt;=AgeCrit,"Critical",IF(AH263&gt;=AgeFu,"For Follow-up",IF(AH263&gt;=AgeMonitor,"Monitor","Within Standard")))))</f>
        <v/>
      </c>
      <c r="AJ263" s="38">
        <f>IF(A263="","",IFERROR(INDEX(StgPct,MATCH(H263,StgList,0)),0))</f>
        <v/>
      </c>
      <c r="AK263" s="38">
        <f>IF(A263="","",IFERROR(COUNTIF(Y263:AF263,"Y")/(COUNTIF(Y263:AF263,"Y")+COUNTIF(Y263:AF263,"N")),0))</f>
        <v/>
      </c>
      <c r="AL263" s="36">
        <f>IF(OR(A263="",X263=""),"",MAX(0,IF(V263&lt;&gt;"",V263,TODAY())-X263))</f>
        <v/>
      </c>
      <c r="AM263" s="32" t="n"/>
      <c r="AN263" s="33">
        <f>IF(A263="","",LOWER(AI263)&amp;"|"&amp;AH263&amp;"|"&amp;AJ263&amp;"|"&amp;AK263)</f>
        <v/>
      </c>
      <c r="AO263" s="33">
        <f>IF(OR(A263="",T263=""),"",T263-TODAY())</f>
        <v/>
      </c>
      <c r="AP263" s="33">
        <f>IF(OR(A263="",V263&lt;&gt;""),"",(TODAY()-B263)+ROW()/1000000)</f>
        <v/>
      </c>
    </row>
    <row r="264" ht="27" customHeight="1">
      <c r="A264" s="30" t="n"/>
      <c r="B264" s="31" t="n"/>
      <c r="C264" s="32" t="n"/>
      <c r="D264" s="32" t="n"/>
      <c r="E264" s="32" t="n"/>
      <c r="F264" s="32" t="n"/>
      <c r="G264" s="33">
        <f>IF(A264="","",IFERROR(INDEX(OffCat,MATCH(F264,OffList,0)),"Unlisted"))</f>
        <v/>
      </c>
      <c r="H264" s="30" t="n"/>
      <c r="I264" s="31" t="n"/>
      <c r="J264" s="34" t="n"/>
      <c r="K264" s="34" t="n"/>
      <c r="L264" s="34" t="n"/>
      <c r="M264" s="30" t="n"/>
      <c r="N264" s="30" t="n"/>
      <c r="O264" s="30" t="n"/>
      <c r="P264" s="30" t="n"/>
      <c r="Q264" s="31" t="n"/>
      <c r="R264" s="31" t="n"/>
      <c r="S264" s="31" t="n"/>
      <c r="T264" s="31" t="n"/>
      <c r="U264" s="31" t="n"/>
      <c r="V264" s="31" t="n"/>
      <c r="W264" s="30" t="n"/>
      <c r="X264" s="31" t="n"/>
      <c r="Y264" s="35" t="n"/>
      <c r="Z264" s="35" t="n"/>
      <c r="AA264" s="35" t="n"/>
      <c r="AB264" s="35" t="n"/>
      <c r="AC264" s="35" t="n"/>
      <c r="AD264" s="35" t="n"/>
      <c r="AE264" s="35" t="n"/>
      <c r="AF264" s="35" t="n"/>
      <c r="AG264" s="36">
        <f>IF(A264="","",IF(V264&lt;&gt;"",V264-B264,TODAY()-B264))</f>
        <v/>
      </c>
      <c r="AH264" s="36">
        <f>IF(OR(A264="",I264=""),"",MAX(0,IF(V264&lt;&gt;"",V264-I264,TODAY()-I264)))</f>
        <v/>
      </c>
      <c r="AI264" s="37">
        <f>IF(A264="","",IF(OR(K264="Closed",V264&lt;&gt;""),"Closed",IF(AH264&gt;=AgeCrit,"Critical",IF(AH264&gt;=AgeFu,"For Follow-up",IF(AH264&gt;=AgeMonitor,"Monitor","Within Standard")))))</f>
        <v/>
      </c>
      <c r="AJ264" s="38">
        <f>IF(A264="","",IFERROR(INDEX(StgPct,MATCH(H264,StgList,0)),0))</f>
        <v/>
      </c>
      <c r="AK264" s="38">
        <f>IF(A264="","",IFERROR(COUNTIF(Y264:AF264,"Y")/(COUNTIF(Y264:AF264,"Y")+COUNTIF(Y264:AF264,"N")),0))</f>
        <v/>
      </c>
      <c r="AL264" s="36">
        <f>IF(OR(A264="",X264=""),"",MAX(0,IF(V264&lt;&gt;"",V264,TODAY())-X264))</f>
        <v/>
      </c>
      <c r="AM264" s="32" t="n"/>
      <c r="AN264" s="33">
        <f>IF(A264="","",LOWER(AI264)&amp;"|"&amp;AH264&amp;"|"&amp;AJ264&amp;"|"&amp;AK264)</f>
        <v/>
      </c>
      <c r="AO264" s="33">
        <f>IF(OR(A264="",T264=""),"",T264-TODAY())</f>
        <v/>
      </c>
      <c r="AP264" s="33">
        <f>IF(OR(A264="",V264&lt;&gt;""),"",(TODAY()-B264)+ROW()/1000000)</f>
        <v/>
      </c>
    </row>
    <row r="265" ht="27" customHeight="1">
      <c r="A265" s="30" t="n"/>
      <c r="B265" s="31" t="n"/>
      <c r="C265" s="32" t="n"/>
      <c r="D265" s="32" t="n"/>
      <c r="E265" s="32" t="n"/>
      <c r="F265" s="32" t="n"/>
      <c r="G265" s="33">
        <f>IF(A265="","",IFERROR(INDEX(OffCat,MATCH(F265,OffList,0)),"Unlisted"))</f>
        <v/>
      </c>
      <c r="H265" s="30" t="n"/>
      <c r="I265" s="31" t="n"/>
      <c r="J265" s="34" t="n"/>
      <c r="K265" s="34" t="n"/>
      <c r="L265" s="34" t="n"/>
      <c r="M265" s="30" t="n"/>
      <c r="N265" s="30" t="n"/>
      <c r="O265" s="30" t="n"/>
      <c r="P265" s="30" t="n"/>
      <c r="Q265" s="31" t="n"/>
      <c r="R265" s="31" t="n"/>
      <c r="S265" s="31" t="n"/>
      <c r="T265" s="31" t="n"/>
      <c r="U265" s="31" t="n"/>
      <c r="V265" s="31" t="n"/>
      <c r="W265" s="30" t="n"/>
      <c r="X265" s="31" t="n"/>
      <c r="Y265" s="35" t="n"/>
      <c r="Z265" s="35" t="n"/>
      <c r="AA265" s="35" t="n"/>
      <c r="AB265" s="35" t="n"/>
      <c r="AC265" s="35" t="n"/>
      <c r="AD265" s="35" t="n"/>
      <c r="AE265" s="35" t="n"/>
      <c r="AF265" s="35" t="n"/>
      <c r="AG265" s="36">
        <f>IF(A265="","",IF(V265&lt;&gt;"",V265-B265,TODAY()-B265))</f>
        <v/>
      </c>
      <c r="AH265" s="36">
        <f>IF(OR(A265="",I265=""),"",MAX(0,IF(V265&lt;&gt;"",V265-I265,TODAY()-I265)))</f>
        <v/>
      </c>
      <c r="AI265" s="37">
        <f>IF(A265="","",IF(OR(K265="Closed",V265&lt;&gt;""),"Closed",IF(AH265&gt;=AgeCrit,"Critical",IF(AH265&gt;=AgeFu,"For Follow-up",IF(AH265&gt;=AgeMonitor,"Monitor","Within Standard")))))</f>
        <v/>
      </c>
      <c r="AJ265" s="38">
        <f>IF(A265="","",IFERROR(INDEX(StgPct,MATCH(H265,StgList,0)),0))</f>
        <v/>
      </c>
      <c r="AK265" s="38">
        <f>IF(A265="","",IFERROR(COUNTIF(Y265:AF265,"Y")/(COUNTIF(Y265:AF265,"Y")+COUNTIF(Y265:AF265,"N")),0))</f>
        <v/>
      </c>
      <c r="AL265" s="36">
        <f>IF(OR(A265="",X265=""),"",MAX(0,IF(V265&lt;&gt;"",V265,TODAY())-X265))</f>
        <v/>
      </c>
      <c r="AM265" s="32" t="n"/>
      <c r="AN265" s="33">
        <f>IF(A265="","",LOWER(AI265)&amp;"|"&amp;AH265&amp;"|"&amp;AJ265&amp;"|"&amp;AK265)</f>
        <v/>
      </c>
      <c r="AO265" s="33">
        <f>IF(OR(A265="",T265=""),"",T265-TODAY())</f>
        <v/>
      </c>
      <c r="AP265" s="33">
        <f>IF(OR(A265="",V265&lt;&gt;""),"",(TODAY()-B265)+ROW()/1000000)</f>
        <v/>
      </c>
    </row>
    <row r="266" ht="27" customHeight="1">
      <c r="A266" s="30" t="n"/>
      <c r="B266" s="31" t="n"/>
      <c r="C266" s="32" t="n"/>
      <c r="D266" s="32" t="n"/>
      <c r="E266" s="32" t="n"/>
      <c r="F266" s="32" t="n"/>
      <c r="G266" s="33">
        <f>IF(A266="","",IFERROR(INDEX(OffCat,MATCH(F266,OffList,0)),"Unlisted"))</f>
        <v/>
      </c>
      <c r="H266" s="30" t="n"/>
      <c r="I266" s="31" t="n"/>
      <c r="J266" s="34" t="n"/>
      <c r="K266" s="34" t="n"/>
      <c r="L266" s="34" t="n"/>
      <c r="M266" s="30" t="n"/>
      <c r="N266" s="30" t="n"/>
      <c r="O266" s="30" t="n"/>
      <c r="P266" s="30" t="n"/>
      <c r="Q266" s="31" t="n"/>
      <c r="R266" s="31" t="n"/>
      <c r="S266" s="31" t="n"/>
      <c r="T266" s="31" t="n"/>
      <c r="U266" s="31" t="n"/>
      <c r="V266" s="31" t="n"/>
      <c r="W266" s="30" t="n"/>
      <c r="X266" s="31" t="n"/>
      <c r="Y266" s="35" t="n"/>
      <c r="Z266" s="35" t="n"/>
      <c r="AA266" s="35" t="n"/>
      <c r="AB266" s="35" t="n"/>
      <c r="AC266" s="35" t="n"/>
      <c r="AD266" s="35" t="n"/>
      <c r="AE266" s="35" t="n"/>
      <c r="AF266" s="35" t="n"/>
      <c r="AG266" s="36">
        <f>IF(A266="","",IF(V266&lt;&gt;"",V266-B266,TODAY()-B266))</f>
        <v/>
      </c>
      <c r="AH266" s="36">
        <f>IF(OR(A266="",I266=""),"",MAX(0,IF(V266&lt;&gt;"",V266-I266,TODAY()-I266)))</f>
        <v/>
      </c>
      <c r="AI266" s="37">
        <f>IF(A266="","",IF(OR(K266="Closed",V266&lt;&gt;""),"Closed",IF(AH266&gt;=AgeCrit,"Critical",IF(AH266&gt;=AgeFu,"For Follow-up",IF(AH266&gt;=AgeMonitor,"Monitor","Within Standard")))))</f>
        <v/>
      </c>
      <c r="AJ266" s="38">
        <f>IF(A266="","",IFERROR(INDEX(StgPct,MATCH(H266,StgList,0)),0))</f>
        <v/>
      </c>
      <c r="AK266" s="38">
        <f>IF(A266="","",IFERROR(COUNTIF(Y266:AF266,"Y")/(COUNTIF(Y266:AF266,"Y")+COUNTIF(Y266:AF266,"N")),0))</f>
        <v/>
      </c>
      <c r="AL266" s="36">
        <f>IF(OR(A266="",X266=""),"",MAX(0,IF(V266&lt;&gt;"",V266,TODAY())-X266))</f>
        <v/>
      </c>
      <c r="AM266" s="32" t="n"/>
      <c r="AN266" s="33">
        <f>IF(A266="","",LOWER(AI266)&amp;"|"&amp;AH266&amp;"|"&amp;AJ266&amp;"|"&amp;AK266)</f>
        <v/>
      </c>
      <c r="AO266" s="33">
        <f>IF(OR(A266="",T266=""),"",T266-TODAY())</f>
        <v/>
      </c>
      <c r="AP266" s="33">
        <f>IF(OR(A266="",V266&lt;&gt;""),"",(TODAY()-B266)+ROW()/1000000)</f>
        <v/>
      </c>
    </row>
    <row r="267" ht="27" customHeight="1">
      <c r="A267" s="30" t="n"/>
      <c r="B267" s="31" t="n"/>
      <c r="C267" s="32" t="n"/>
      <c r="D267" s="32" t="n"/>
      <c r="E267" s="32" t="n"/>
      <c r="F267" s="32" t="n"/>
      <c r="G267" s="33">
        <f>IF(A267="","",IFERROR(INDEX(OffCat,MATCH(F267,OffList,0)),"Unlisted"))</f>
        <v/>
      </c>
      <c r="H267" s="30" t="n"/>
      <c r="I267" s="31" t="n"/>
      <c r="J267" s="34" t="n"/>
      <c r="K267" s="34" t="n"/>
      <c r="L267" s="34" t="n"/>
      <c r="M267" s="30" t="n"/>
      <c r="N267" s="30" t="n"/>
      <c r="O267" s="30" t="n"/>
      <c r="P267" s="30" t="n"/>
      <c r="Q267" s="31" t="n"/>
      <c r="R267" s="31" t="n"/>
      <c r="S267" s="31" t="n"/>
      <c r="T267" s="31" t="n"/>
      <c r="U267" s="31" t="n"/>
      <c r="V267" s="31" t="n"/>
      <c r="W267" s="30" t="n"/>
      <c r="X267" s="31" t="n"/>
      <c r="Y267" s="35" t="n"/>
      <c r="Z267" s="35" t="n"/>
      <c r="AA267" s="35" t="n"/>
      <c r="AB267" s="35" t="n"/>
      <c r="AC267" s="35" t="n"/>
      <c r="AD267" s="35" t="n"/>
      <c r="AE267" s="35" t="n"/>
      <c r="AF267" s="35" t="n"/>
      <c r="AG267" s="36">
        <f>IF(A267="","",IF(V267&lt;&gt;"",V267-B267,TODAY()-B267))</f>
        <v/>
      </c>
      <c r="AH267" s="36">
        <f>IF(OR(A267="",I267=""),"",MAX(0,IF(V267&lt;&gt;"",V267-I267,TODAY()-I267)))</f>
        <v/>
      </c>
      <c r="AI267" s="37">
        <f>IF(A267="","",IF(OR(K267="Closed",V267&lt;&gt;""),"Closed",IF(AH267&gt;=AgeCrit,"Critical",IF(AH267&gt;=AgeFu,"For Follow-up",IF(AH267&gt;=AgeMonitor,"Monitor","Within Standard")))))</f>
        <v/>
      </c>
      <c r="AJ267" s="38">
        <f>IF(A267="","",IFERROR(INDEX(StgPct,MATCH(H267,StgList,0)),0))</f>
        <v/>
      </c>
      <c r="AK267" s="38">
        <f>IF(A267="","",IFERROR(COUNTIF(Y267:AF267,"Y")/(COUNTIF(Y267:AF267,"Y")+COUNTIF(Y267:AF267,"N")),0))</f>
        <v/>
      </c>
      <c r="AL267" s="36">
        <f>IF(OR(A267="",X267=""),"",MAX(0,IF(V267&lt;&gt;"",V267,TODAY())-X267))</f>
        <v/>
      </c>
      <c r="AM267" s="32" t="n"/>
      <c r="AN267" s="33">
        <f>IF(A267="","",LOWER(AI267)&amp;"|"&amp;AH267&amp;"|"&amp;AJ267&amp;"|"&amp;AK267)</f>
        <v/>
      </c>
      <c r="AO267" s="33">
        <f>IF(OR(A267="",T267=""),"",T267-TODAY())</f>
        <v/>
      </c>
      <c r="AP267" s="33">
        <f>IF(OR(A267="",V267&lt;&gt;""),"",(TODAY()-B267)+ROW()/1000000)</f>
        <v/>
      </c>
    </row>
    <row r="268" ht="27" customHeight="1">
      <c r="A268" s="30" t="n"/>
      <c r="B268" s="31" t="n"/>
      <c r="C268" s="32" t="n"/>
      <c r="D268" s="32" t="n"/>
      <c r="E268" s="32" t="n"/>
      <c r="F268" s="32" t="n"/>
      <c r="G268" s="33">
        <f>IF(A268="","",IFERROR(INDEX(OffCat,MATCH(F268,OffList,0)),"Unlisted"))</f>
        <v/>
      </c>
      <c r="H268" s="30" t="n"/>
      <c r="I268" s="31" t="n"/>
      <c r="J268" s="34" t="n"/>
      <c r="K268" s="34" t="n"/>
      <c r="L268" s="34" t="n"/>
      <c r="M268" s="30" t="n"/>
      <c r="N268" s="30" t="n"/>
      <c r="O268" s="30" t="n"/>
      <c r="P268" s="30" t="n"/>
      <c r="Q268" s="31" t="n"/>
      <c r="R268" s="31" t="n"/>
      <c r="S268" s="31" t="n"/>
      <c r="T268" s="31" t="n"/>
      <c r="U268" s="31" t="n"/>
      <c r="V268" s="31" t="n"/>
      <c r="W268" s="30" t="n"/>
      <c r="X268" s="31" t="n"/>
      <c r="Y268" s="35" t="n"/>
      <c r="Z268" s="35" t="n"/>
      <c r="AA268" s="35" t="n"/>
      <c r="AB268" s="35" t="n"/>
      <c r="AC268" s="35" t="n"/>
      <c r="AD268" s="35" t="n"/>
      <c r="AE268" s="35" t="n"/>
      <c r="AF268" s="35" t="n"/>
      <c r="AG268" s="36">
        <f>IF(A268="","",IF(V268&lt;&gt;"",V268-B268,TODAY()-B268))</f>
        <v/>
      </c>
      <c r="AH268" s="36">
        <f>IF(OR(A268="",I268=""),"",MAX(0,IF(V268&lt;&gt;"",V268-I268,TODAY()-I268)))</f>
        <v/>
      </c>
      <c r="AI268" s="37">
        <f>IF(A268="","",IF(OR(K268="Closed",V268&lt;&gt;""),"Closed",IF(AH268&gt;=AgeCrit,"Critical",IF(AH268&gt;=AgeFu,"For Follow-up",IF(AH268&gt;=AgeMonitor,"Monitor","Within Standard")))))</f>
        <v/>
      </c>
      <c r="AJ268" s="38">
        <f>IF(A268="","",IFERROR(INDEX(StgPct,MATCH(H268,StgList,0)),0))</f>
        <v/>
      </c>
      <c r="AK268" s="38">
        <f>IF(A268="","",IFERROR(COUNTIF(Y268:AF268,"Y")/(COUNTIF(Y268:AF268,"Y")+COUNTIF(Y268:AF268,"N")),0))</f>
        <v/>
      </c>
      <c r="AL268" s="36">
        <f>IF(OR(A268="",X268=""),"",MAX(0,IF(V268&lt;&gt;"",V268,TODAY())-X268))</f>
        <v/>
      </c>
      <c r="AM268" s="32" t="n"/>
      <c r="AN268" s="33">
        <f>IF(A268="","",LOWER(AI268)&amp;"|"&amp;AH268&amp;"|"&amp;AJ268&amp;"|"&amp;AK268)</f>
        <v/>
      </c>
      <c r="AO268" s="33">
        <f>IF(OR(A268="",T268=""),"",T268-TODAY())</f>
        <v/>
      </c>
      <c r="AP268" s="33">
        <f>IF(OR(A268="",V268&lt;&gt;""),"",(TODAY()-B268)+ROW()/1000000)</f>
        <v/>
      </c>
    </row>
    <row r="269" ht="27" customHeight="1">
      <c r="A269" s="30" t="n"/>
      <c r="B269" s="31" t="n"/>
      <c r="C269" s="32" t="n"/>
      <c r="D269" s="32" t="n"/>
      <c r="E269" s="32" t="n"/>
      <c r="F269" s="32" t="n"/>
      <c r="G269" s="33">
        <f>IF(A269="","",IFERROR(INDEX(OffCat,MATCH(F269,OffList,0)),"Unlisted"))</f>
        <v/>
      </c>
      <c r="H269" s="30" t="n"/>
      <c r="I269" s="31" t="n"/>
      <c r="J269" s="34" t="n"/>
      <c r="K269" s="34" t="n"/>
      <c r="L269" s="34" t="n"/>
      <c r="M269" s="30" t="n"/>
      <c r="N269" s="30" t="n"/>
      <c r="O269" s="30" t="n"/>
      <c r="P269" s="30" t="n"/>
      <c r="Q269" s="31" t="n"/>
      <c r="R269" s="31" t="n"/>
      <c r="S269" s="31" t="n"/>
      <c r="T269" s="31" t="n"/>
      <c r="U269" s="31" t="n"/>
      <c r="V269" s="31" t="n"/>
      <c r="W269" s="30" t="n"/>
      <c r="X269" s="31" t="n"/>
      <c r="Y269" s="35" t="n"/>
      <c r="Z269" s="35" t="n"/>
      <c r="AA269" s="35" t="n"/>
      <c r="AB269" s="35" t="n"/>
      <c r="AC269" s="35" t="n"/>
      <c r="AD269" s="35" t="n"/>
      <c r="AE269" s="35" t="n"/>
      <c r="AF269" s="35" t="n"/>
      <c r="AG269" s="36">
        <f>IF(A269="","",IF(V269&lt;&gt;"",V269-B269,TODAY()-B269))</f>
        <v/>
      </c>
      <c r="AH269" s="36">
        <f>IF(OR(A269="",I269=""),"",MAX(0,IF(V269&lt;&gt;"",V269-I269,TODAY()-I269)))</f>
        <v/>
      </c>
      <c r="AI269" s="37">
        <f>IF(A269="","",IF(OR(K269="Closed",V269&lt;&gt;""),"Closed",IF(AH269&gt;=AgeCrit,"Critical",IF(AH269&gt;=AgeFu,"For Follow-up",IF(AH269&gt;=AgeMonitor,"Monitor","Within Standard")))))</f>
        <v/>
      </c>
      <c r="AJ269" s="38">
        <f>IF(A269="","",IFERROR(INDEX(StgPct,MATCH(H269,StgList,0)),0))</f>
        <v/>
      </c>
      <c r="AK269" s="38">
        <f>IF(A269="","",IFERROR(COUNTIF(Y269:AF269,"Y")/(COUNTIF(Y269:AF269,"Y")+COUNTIF(Y269:AF269,"N")),0))</f>
        <v/>
      </c>
      <c r="AL269" s="36">
        <f>IF(OR(A269="",X269=""),"",MAX(0,IF(V269&lt;&gt;"",V269,TODAY())-X269))</f>
        <v/>
      </c>
      <c r="AM269" s="32" t="n"/>
      <c r="AN269" s="33">
        <f>IF(A269="","",LOWER(AI269)&amp;"|"&amp;AH269&amp;"|"&amp;AJ269&amp;"|"&amp;AK269)</f>
        <v/>
      </c>
      <c r="AO269" s="33">
        <f>IF(OR(A269="",T269=""),"",T269-TODAY())</f>
        <v/>
      </c>
      <c r="AP269" s="33">
        <f>IF(OR(A269="",V269&lt;&gt;""),"",(TODAY()-B269)+ROW()/1000000)</f>
        <v/>
      </c>
    </row>
    <row r="270" ht="27" customHeight="1">
      <c r="A270" s="30" t="n"/>
      <c r="B270" s="31" t="n"/>
      <c r="C270" s="32" t="n"/>
      <c r="D270" s="32" t="n"/>
      <c r="E270" s="32" t="n"/>
      <c r="F270" s="32" t="n"/>
      <c r="G270" s="33">
        <f>IF(A270="","",IFERROR(INDEX(OffCat,MATCH(F270,OffList,0)),"Unlisted"))</f>
        <v/>
      </c>
      <c r="H270" s="30" t="n"/>
      <c r="I270" s="31" t="n"/>
      <c r="J270" s="34" t="n"/>
      <c r="K270" s="34" t="n"/>
      <c r="L270" s="34" t="n"/>
      <c r="M270" s="30" t="n"/>
      <c r="N270" s="30" t="n"/>
      <c r="O270" s="30" t="n"/>
      <c r="P270" s="30" t="n"/>
      <c r="Q270" s="31" t="n"/>
      <c r="R270" s="31" t="n"/>
      <c r="S270" s="31" t="n"/>
      <c r="T270" s="31" t="n"/>
      <c r="U270" s="31" t="n"/>
      <c r="V270" s="31" t="n"/>
      <c r="W270" s="30" t="n"/>
      <c r="X270" s="31" t="n"/>
      <c r="Y270" s="35" t="n"/>
      <c r="Z270" s="35" t="n"/>
      <c r="AA270" s="35" t="n"/>
      <c r="AB270" s="35" t="n"/>
      <c r="AC270" s="35" t="n"/>
      <c r="AD270" s="35" t="n"/>
      <c r="AE270" s="35" t="n"/>
      <c r="AF270" s="35" t="n"/>
      <c r="AG270" s="36">
        <f>IF(A270="","",IF(V270&lt;&gt;"",V270-B270,TODAY()-B270))</f>
        <v/>
      </c>
      <c r="AH270" s="36">
        <f>IF(OR(A270="",I270=""),"",MAX(0,IF(V270&lt;&gt;"",V270-I270,TODAY()-I270)))</f>
        <v/>
      </c>
      <c r="AI270" s="37">
        <f>IF(A270="","",IF(OR(K270="Closed",V270&lt;&gt;""),"Closed",IF(AH270&gt;=AgeCrit,"Critical",IF(AH270&gt;=AgeFu,"For Follow-up",IF(AH270&gt;=AgeMonitor,"Monitor","Within Standard")))))</f>
        <v/>
      </c>
      <c r="AJ270" s="38">
        <f>IF(A270="","",IFERROR(INDEX(StgPct,MATCH(H270,StgList,0)),0))</f>
        <v/>
      </c>
      <c r="AK270" s="38">
        <f>IF(A270="","",IFERROR(COUNTIF(Y270:AF270,"Y")/(COUNTIF(Y270:AF270,"Y")+COUNTIF(Y270:AF270,"N")),0))</f>
        <v/>
      </c>
      <c r="AL270" s="36">
        <f>IF(OR(A270="",X270=""),"",MAX(0,IF(V270&lt;&gt;"",V270,TODAY())-X270))</f>
        <v/>
      </c>
      <c r="AM270" s="32" t="n"/>
      <c r="AN270" s="33">
        <f>IF(A270="","",LOWER(AI270)&amp;"|"&amp;AH270&amp;"|"&amp;AJ270&amp;"|"&amp;AK270)</f>
        <v/>
      </c>
      <c r="AO270" s="33">
        <f>IF(OR(A270="",T270=""),"",T270-TODAY())</f>
        <v/>
      </c>
      <c r="AP270" s="33">
        <f>IF(OR(A270="",V270&lt;&gt;""),"",(TODAY()-B270)+ROW()/1000000)</f>
        <v/>
      </c>
    </row>
    <row r="271" ht="27" customHeight="1">
      <c r="A271" s="30" t="n"/>
      <c r="B271" s="31" t="n"/>
      <c r="C271" s="32" t="n"/>
      <c r="D271" s="32" t="n"/>
      <c r="E271" s="32" t="n"/>
      <c r="F271" s="32" t="n"/>
      <c r="G271" s="33">
        <f>IF(A271="","",IFERROR(INDEX(OffCat,MATCH(F271,OffList,0)),"Unlisted"))</f>
        <v/>
      </c>
      <c r="H271" s="30" t="n"/>
      <c r="I271" s="31" t="n"/>
      <c r="J271" s="34" t="n"/>
      <c r="K271" s="34" t="n"/>
      <c r="L271" s="34" t="n"/>
      <c r="M271" s="30" t="n"/>
      <c r="N271" s="30" t="n"/>
      <c r="O271" s="30" t="n"/>
      <c r="P271" s="30" t="n"/>
      <c r="Q271" s="31" t="n"/>
      <c r="R271" s="31" t="n"/>
      <c r="S271" s="31" t="n"/>
      <c r="T271" s="31" t="n"/>
      <c r="U271" s="31" t="n"/>
      <c r="V271" s="31" t="n"/>
      <c r="W271" s="30" t="n"/>
      <c r="X271" s="31" t="n"/>
      <c r="Y271" s="35" t="n"/>
      <c r="Z271" s="35" t="n"/>
      <c r="AA271" s="35" t="n"/>
      <c r="AB271" s="35" t="n"/>
      <c r="AC271" s="35" t="n"/>
      <c r="AD271" s="35" t="n"/>
      <c r="AE271" s="35" t="n"/>
      <c r="AF271" s="35" t="n"/>
      <c r="AG271" s="36">
        <f>IF(A271="","",IF(V271&lt;&gt;"",V271-B271,TODAY()-B271))</f>
        <v/>
      </c>
      <c r="AH271" s="36">
        <f>IF(OR(A271="",I271=""),"",MAX(0,IF(V271&lt;&gt;"",V271-I271,TODAY()-I271)))</f>
        <v/>
      </c>
      <c r="AI271" s="37">
        <f>IF(A271="","",IF(OR(K271="Closed",V271&lt;&gt;""),"Closed",IF(AH271&gt;=AgeCrit,"Critical",IF(AH271&gt;=AgeFu,"For Follow-up",IF(AH271&gt;=AgeMonitor,"Monitor","Within Standard")))))</f>
        <v/>
      </c>
      <c r="AJ271" s="38">
        <f>IF(A271="","",IFERROR(INDEX(StgPct,MATCH(H271,StgList,0)),0))</f>
        <v/>
      </c>
      <c r="AK271" s="38">
        <f>IF(A271="","",IFERROR(COUNTIF(Y271:AF271,"Y")/(COUNTIF(Y271:AF271,"Y")+COUNTIF(Y271:AF271,"N")),0))</f>
        <v/>
      </c>
      <c r="AL271" s="36">
        <f>IF(OR(A271="",X271=""),"",MAX(0,IF(V271&lt;&gt;"",V271,TODAY())-X271))</f>
        <v/>
      </c>
      <c r="AM271" s="32" t="n"/>
      <c r="AN271" s="33">
        <f>IF(A271="","",LOWER(AI271)&amp;"|"&amp;AH271&amp;"|"&amp;AJ271&amp;"|"&amp;AK271)</f>
        <v/>
      </c>
      <c r="AO271" s="33">
        <f>IF(OR(A271="",T271=""),"",T271-TODAY())</f>
        <v/>
      </c>
      <c r="AP271" s="33">
        <f>IF(OR(A271="",V271&lt;&gt;""),"",(TODAY()-B271)+ROW()/1000000)</f>
        <v/>
      </c>
    </row>
    <row r="272" ht="27" customHeight="1">
      <c r="A272" s="30" t="n"/>
      <c r="B272" s="31" t="n"/>
      <c r="C272" s="32" t="n"/>
      <c r="D272" s="32" t="n"/>
      <c r="E272" s="32" t="n"/>
      <c r="F272" s="32" t="n"/>
      <c r="G272" s="33">
        <f>IF(A272="","",IFERROR(INDEX(OffCat,MATCH(F272,OffList,0)),"Unlisted"))</f>
        <v/>
      </c>
      <c r="H272" s="30" t="n"/>
      <c r="I272" s="31" t="n"/>
      <c r="J272" s="34" t="n"/>
      <c r="K272" s="34" t="n"/>
      <c r="L272" s="34" t="n"/>
      <c r="M272" s="30" t="n"/>
      <c r="N272" s="30" t="n"/>
      <c r="O272" s="30" t="n"/>
      <c r="P272" s="30" t="n"/>
      <c r="Q272" s="31" t="n"/>
      <c r="R272" s="31" t="n"/>
      <c r="S272" s="31" t="n"/>
      <c r="T272" s="31" t="n"/>
      <c r="U272" s="31" t="n"/>
      <c r="V272" s="31" t="n"/>
      <c r="W272" s="30" t="n"/>
      <c r="X272" s="31" t="n"/>
      <c r="Y272" s="35" t="n"/>
      <c r="Z272" s="35" t="n"/>
      <c r="AA272" s="35" t="n"/>
      <c r="AB272" s="35" t="n"/>
      <c r="AC272" s="35" t="n"/>
      <c r="AD272" s="35" t="n"/>
      <c r="AE272" s="35" t="n"/>
      <c r="AF272" s="35" t="n"/>
      <c r="AG272" s="36">
        <f>IF(A272="","",IF(V272&lt;&gt;"",V272-B272,TODAY()-B272))</f>
        <v/>
      </c>
      <c r="AH272" s="36">
        <f>IF(OR(A272="",I272=""),"",MAX(0,IF(V272&lt;&gt;"",V272-I272,TODAY()-I272)))</f>
        <v/>
      </c>
      <c r="AI272" s="37">
        <f>IF(A272="","",IF(OR(K272="Closed",V272&lt;&gt;""),"Closed",IF(AH272&gt;=AgeCrit,"Critical",IF(AH272&gt;=AgeFu,"For Follow-up",IF(AH272&gt;=AgeMonitor,"Monitor","Within Standard")))))</f>
        <v/>
      </c>
      <c r="AJ272" s="38">
        <f>IF(A272="","",IFERROR(INDEX(StgPct,MATCH(H272,StgList,0)),0))</f>
        <v/>
      </c>
      <c r="AK272" s="38">
        <f>IF(A272="","",IFERROR(COUNTIF(Y272:AF272,"Y")/(COUNTIF(Y272:AF272,"Y")+COUNTIF(Y272:AF272,"N")),0))</f>
        <v/>
      </c>
      <c r="AL272" s="36">
        <f>IF(OR(A272="",X272=""),"",MAX(0,IF(V272&lt;&gt;"",V272,TODAY())-X272))</f>
        <v/>
      </c>
      <c r="AM272" s="32" t="n"/>
      <c r="AN272" s="33">
        <f>IF(A272="","",LOWER(AI272)&amp;"|"&amp;AH272&amp;"|"&amp;AJ272&amp;"|"&amp;AK272)</f>
        <v/>
      </c>
      <c r="AO272" s="33">
        <f>IF(OR(A272="",T272=""),"",T272-TODAY())</f>
        <v/>
      </c>
      <c r="AP272" s="33">
        <f>IF(OR(A272="",V272&lt;&gt;""),"",(TODAY()-B272)+ROW()/1000000)</f>
        <v/>
      </c>
    </row>
    <row r="273" ht="27" customHeight="1">
      <c r="A273" s="30" t="n"/>
      <c r="B273" s="31" t="n"/>
      <c r="C273" s="32" t="n"/>
      <c r="D273" s="32" t="n"/>
      <c r="E273" s="32" t="n"/>
      <c r="F273" s="32" t="n"/>
      <c r="G273" s="33">
        <f>IF(A273="","",IFERROR(INDEX(OffCat,MATCH(F273,OffList,0)),"Unlisted"))</f>
        <v/>
      </c>
      <c r="H273" s="30" t="n"/>
      <c r="I273" s="31" t="n"/>
      <c r="J273" s="34" t="n"/>
      <c r="K273" s="34" t="n"/>
      <c r="L273" s="34" t="n"/>
      <c r="M273" s="30" t="n"/>
      <c r="N273" s="30" t="n"/>
      <c r="O273" s="30" t="n"/>
      <c r="P273" s="30" t="n"/>
      <c r="Q273" s="31" t="n"/>
      <c r="R273" s="31" t="n"/>
      <c r="S273" s="31" t="n"/>
      <c r="T273" s="31" t="n"/>
      <c r="U273" s="31" t="n"/>
      <c r="V273" s="31" t="n"/>
      <c r="W273" s="30" t="n"/>
      <c r="X273" s="31" t="n"/>
      <c r="Y273" s="35" t="n"/>
      <c r="Z273" s="35" t="n"/>
      <c r="AA273" s="35" t="n"/>
      <c r="AB273" s="35" t="n"/>
      <c r="AC273" s="35" t="n"/>
      <c r="AD273" s="35" t="n"/>
      <c r="AE273" s="35" t="n"/>
      <c r="AF273" s="35" t="n"/>
      <c r="AG273" s="36">
        <f>IF(A273="","",IF(V273&lt;&gt;"",V273-B273,TODAY()-B273))</f>
        <v/>
      </c>
      <c r="AH273" s="36">
        <f>IF(OR(A273="",I273=""),"",MAX(0,IF(V273&lt;&gt;"",V273-I273,TODAY()-I273)))</f>
        <v/>
      </c>
      <c r="AI273" s="37">
        <f>IF(A273="","",IF(OR(K273="Closed",V273&lt;&gt;""),"Closed",IF(AH273&gt;=AgeCrit,"Critical",IF(AH273&gt;=AgeFu,"For Follow-up",IF(AH273&gt;=AgeMonitor,"Monitor","Within Standard")))))</f>
        <v/>
      </c>
      <c r="AJ273" s="38">
        <f>IF(A273="","",IFERROR(INDEX(StgPct,MATCH(H273,StgList,0)),0))</f>
        <v/>
      </c>
      <c r="AK273" s="38">
        <f>IF(A273="","",IFERROR(COUNTIF(Y273:AF273,"Y")/(COUNTIF(Y273:AF273,"Y")+COUNTIF(Y273:AF273,"N")),0))</f>
        <v/>
      </c>
      <c r="AL273" s="36">
        <f>IF(OR(A273="",X273=""),"",MAX(0,IF(V273&lt;&gt;"",V273,TODAY())-X273))</f>
        <v/>
      </c>
      <c r="AM273" s="32" t="n"/>
      <c r="AN273" s="33">
        <f>IF(A273="","",LOWER(AI273)&amp;"|"&amp;AH273&amp;"|"&amp;AJ273&amp;"|"&amp;AK273)</f>
        <v/>
      </c>
      <c r="AO273" s="33">
        <f>IF(OR(A273="",T273=""),"",T273-TODAY())</f>
        <v/>
      </c>
      <c r="AP273" s="33">
        <f>IF(OR(A273="",V273&lt;&gt;""),"",(TODAY()-B273)+ROW()/1000000)</f>
        <v/>
      </c>
    </row>
    <row r="274" ht="27" customHeight="1">
      <c r="A274" s="30" t="n"/>
      <c r="B274" s="31" t="n"/>
      <c r="C274" s="32" t="n"/>
      <c r="D274" s="32" t="n"/>
      <c r="E274" s="32" t="n"/>
      <c r="F274" s="32" t="n"/>
      <c r="G274" s="33">
        <f>IF(A274="","",IFERROR(INDEX(OffCat,MATCH(F274,OffList,0)),"Unlisted"))</f>
        <v/>
      </c>
      <c r="H274" s="30" t="n"/>
      <c r="I274" s="31" t="n"/>
      <c r="J274" s="34" t="n"/>
      <c r="K274" s="34" t="n"/>
      <c r="L274" s="34" t="n"/>
      <c r="M274" s="30" t="n"/>
      <c r="N274" s="30" t="n"/>
      <c r="O274" s="30" t="n"/>
      <c r="P274" s="30" t="n"/>
      <c r="Q274" s="31" t="n"/>
      <c r="R274" s="31" t="n"/>
      <c r="S274" s="31" t="n"/>
      <c r="T274" s="31" t="n"/>
      <c r="U274" s="31" t="n"/>
      <c r="V274" s="31" t="n"/>
      <c r="W274" s="30" t="n"/>
      <c r="X274" s="31" t="n"/>
      <c r="Y274" s="35" t="n"/>
      <c r="Z274" s="35" t="n"/>
      <c r="AA274" s="35" t="n"/>
      <c r="AB274" s="35" t="n"/>
      <c r="AC274" s="35" t="n"/>
      <c r="AD274" s="35" t="n"/>
      <c r="AE274" s="35" t="n"/>
      <c r="AF274" s="35" t="n"/>
      <c r="AG274" s="36">
        <f>IF(A274="","",IF(V274&lt;&gt;"",V274-B274,TODAY()-B274))</f>
        <v/>
      </c>
      <c r="AH274" s="36">
        <f>IF(OR(A274="",I274=""),"",MAX(0,IF(V274&lt;&gt;"",V274-I274,TODAY()-I274)))</f>
        <v/>
      </c>
      <c r="AI274" s="37">
        <f>IF(A274="","",IF(OR(K274="Closed",V274&lt;&gt;""),"Closed",IF(AH274&gt;=AgeCrit,"Critical",IF(AH274&gt;=AgeFu,"For Follow-up",IF(AH274&gt;=AgeMonitor,"Monitor","Within Standard")))))</f>
        <v/>
      </c>
      <c r="AJ274" s="38">
        <f>IF(A274="","",IFERROR(INDEX(StgPct,MATCH(H274,StgList,0)),0))</f>
        <v/>
      </c>
      <c r="AK274" s="38">
        <f>IF(A274="","",IFERROR(COUNTIF(Y274:AF274,"Y")/(COUNTIF(Y274:AF274,"Y")+COUNTIF(Y274:AF274,"N")),0))</f>
        <v/>
      </c>
      <c r="AL274" s="36">
        <f>IF(OR(A274="",X274=""),"",MAX(0,IF(V274&lt;&gt;"",V274,TODAY())-X274))</f>
        <v/>
      </c>
      <c r="AM274" s="32" t="n"/>
      <c r="AN274" s="33">
        <f>IF(A274="","",LOWER(AI274)&amp;"|"&amp;AH274&amp;"|"&amp;AJ274&amp;"|"&amp;AK274)</f>
        <v/>
      </c>
      <c r="AO274" s="33">
        <f>IF(OR(A274="",T274=""),"",T274-TODAY())</f>
        <v/>
      </c>
      <c r="AP274" s="33">
        <f>IF(OR(A274="",V274&lt;&gt;""),"",(TODAY()-B274)+ROW()/1000000)</f>
        <v/>
      </c>
    </row>
    <row r="275" ht="27" customHeight="1">
      <c r="A275" s="30" t="n"/>
      <c r="B275" s="31" t="n"/>
      <c r="C275" s="32" t="n"/>
      <c r="D275" s="32" t="n"/>
      <c r="E275" s="32" t="n"/>
      <c r="F275" s="32" t="n"/>
      <c r="G275" s="33">
        <f>IF(A275="","",IFERROR(INDEX(OffCat,MATCH(F275,OffList,0)),"Unlisted"))</f>
        <v/>
      </c>
      <c r="H275" s="30" t="n"/>
      <c r="I275" s="31" t="n"/>
      <c r="J275" s="34" t="n"/>
      <c r="K275" s="34" t="n"/>
      <c r="L275" s="34" t="n"/>
      <c r="M275" s="30" t="n"/>
      <c r="N275" s="30" t="n"/>
      <c r="O275" s="30" t="n"/>
      <c r="P275" s="30" t="n"/>
      <c r="Q275" s="31" t="n"/>
      <c r="R275" s="31" t="n"/>
      <c r="S275" s="31" t="n"/>
      <c r="T275" s="31" t="n"/>
      <c r="U275" s="31" t="n"/>
      <c r="V275" s="31" t="n"/>
      <c r="W275" s="30" t="n"/>
      <c r="X275" s="31" t="n"/>
      <c r="Y275" s="35" t="n"/>
      <c r="Z275" s="35" t="n"/>
      <c r="AA275" s="35" t="n"/>
      <c r="AB275" s="35" t="n"/>
      <c r="AC275" s="35" t="n"/>
      <c r="AD275" s="35" t="n"/>
      <c r="AE275" s="35" t="n"/>
      <c r="AF275" s="35" t="n"/>
      <c r="AG275" s="36">
        <f>IF(A275="","",IF(V275&lt;&gt;"",V275-B275,TODAY()-B275))</f>
        <v/>
      </c>
      <c r="AH275" s="36">
        <f>IF(OR(A275="",I275=""),"",MAX(0,IF(V275&lt;&gt;"",V275-I275,TODAY()-I275)))</f>
        <v/>
      </c>
      <c r="AI275" s="37">
        <f>IF(A275="","",IF(OR(K275="Closed",V275&lt;&gt;""),"Closed",IF(AH275&gt;=AgeCrit,"Critical",IF(AH275&gt;=AgeFu,"For Follow-up",IF(AH275&gt;=AgeMonitor,"Monitor","Within Standard")))))</f>
        <v/>
      </c>
      <c r="AJ275" s="38">
        <f>IF(A275="","",IFERROR(INDEX(StgPct,MATCH(H275,StgList,0)),0))</f>
        <v/>
      </c>
      <c r="AK275" s="38">
        <f>IF(A275="","",IFERROR(COUNTIF(Y275:AF275,"Y")/(COUNTIF(Y275:AF275,"Y")+COUNTIF(Y275:AF275,"N")),0))</f>
        <v/>
      </c>
      <c r="AL275" s="36">
        <f>IF(OR(A275="",X275=""),"",MAX(0,IF(V275&lt;&gt;"",V275,TODAY())-X275))</f>
        <v/>
      </c>
      <c r="AM275" s="32" t="n"/>
      <c r="AN275" s="33">
        <f>IF(A275="","",LOWER(AI275)&amp;"|"&amp;AH275&amp;"|"&amp;AJ275&amp;"|"&amp;AK275)</f>
        <v/>
      </c>
      <c r="AO275" s="33">
        <f>IF(OR(A275="",T275=""),"",T275-TODAY())</f>
        <v/>
      </c>
      <c r="AP275" s="33">
        <f>IF(OR(A275="",V275&lt;&gt;""),"",(TODAY()-B275)+ROW()/1000000)</f>
        <v/>
      </c>
    </row>
    <row r="276" ht="27" customHeight="1">
      <c r="A276" s="30" t="n"/>
      <c r="B276" s="31" t="n"/>
      <c r="C276" s="32" t="n"/>
      <c r="D276" s="32" t="n"/>
      <c r="E276" s="32" t="n"/>
      <c r="F276" s="32" t="n"/>
      <c r="G276" s="33">
        <f>IF(A276="","",IFERROR(INDEX(OffCat,MATCH(F276,OffList,0)),"Unlisted"))</f>
        <v/>
      </c>
      <c r="H276" s="30" t="n"/>
      <c r="I276" s="31" t="n"/>
      <c r="J276" s="34" t="n"/>
      <c r="K276" s="34" t="n"/>
      <c r="L276" s="34" t="n"/>
      <c r="M276" s="30" t="n"/>
      <c r="N276" s="30" t="n"/>
      <c r="O276" s="30" t="n"/>
      <c r="P276" s="30" t="n"/>
      <c r="Q276" s="31" t="n"/>
      <c r="R276" s="31" t="n"/>
      <c r="S276" s="31" t="n"/>
      <c r="T276" s="31" t="n"/>
      <c r="U276" s="31" t="n"/>
      <c r="V276" s="31" t="n"/>
      <c r="W276" s="30" t="n"/>
      <c r="X276" s="31" t="n"/>
      <c r="Y276" s="35" t="n"/>
      <c r="Z276" s="35" t="n"/>
      <c r="AA276" s="35" t="n"/>
      <c r="AB276" s="35" t="n"/>
      <c r="AC276" s="35" t="n"/>
      <c r="AD276" s="35" t="n"/>
      <c r="AE276" s="35" t="n"/>
      <c r="AF276" s="35" t="n"/>
      <c r="AG276" s="36">
        <f>IF(A276="","",IF(V276&lt;&gt;"",V276-B276,TODAY()-B276))</f>
        <v/>
      </c>
      <c r="AH276" s="36">
        <f>IF(OR(A276="",I276=""),"",MAX(0,IF(V276&lt;&gt;"",V276-I276,TODAY()-I276)))</f>
        <v/>
      </c>
      <c r="AI276" s="37">
        <f>IF(A276="","",IF(OR(K276="Closed",V276&lt;&gt;""),"Closed",IF(AH276&gt;=AgeCrit,"Critical",IF(AH276&gt;=AgeFu,"For Follow-up",IF(AH276&gt;=AgeMonitor,"Monitor","Within Standard")))))</f>
        <v/>
      </c>
      <c r="AJ276" s="38">
        <f>IF(A276="","",IFERROR(INDEX(StgPct,MATCH(H276,StgList,0)),0))</f>
        <v/>
      </c>
      <c r="AK276" s="38">
        <f>IF(A276="","",IFERROR(COUNTIF(Y276:AF276,"Y")/(COUNTIF(Y276:AF276,"Y")+COUNTIF(Y276:AF276,"N")),0))</f>
        <v/>
      </c>
      <c r="AL276" s="36">
        <f>IF(OR(A276="",X276=""),"",MAX(0,IF(V276&lt;&gt;"",V276,TODAY())-X276))</f>
        <v/>
      </c>
      <c r="AM276" s="32" t="n"/>
      <c r="AN276" s="33">
        <f>IF(A276="","",LOWER(AI276)&amp;"|"&amp;AH276&amp;"|"&amp;AJ276&amp;"|"&amp;AK276)</f>
        <v/>
      </c>
      <c r="AO276" s="33">
        <f>IF(OR(A276="",T276=""),"",T276-TODAY())</f>
        <v/>
      </c>
      <c r="AP276" s="33">
        <f>IF(OR(A276="",V276&lt;&gt;""),"",(TODAY()-B276)+ROW()/1000000)</f>
        <v/>
      </c>
    </row>
    <row r="277" ht="27" customHeight="1">
      <c r="A277" s="30" t="n"/>
      <c r="B277" s="31" t="n"/>
      <c r="C277" s="32" t="n"/>
      <c r="D277" s="32" t="n"/>
      <c r="E277" s="32" t="n"/>
      <c r="F277" s="32" t="n"/>
      <c r="G277" s="33">
        <f>IF(A277="","",IFERROR(INDEX(OffCat,MATCH(F277,OffList,0)),"Unlisted"))</f>
        <v/>
      </c>
      <c r="H277" s="30" t="n"/>
      <c r="I277" s="31" t="n"/>
      <c r="J277" s="34" t="n"/>
      <c r="K277" s="34" t="n"/>
      <c r="L277" s="34" t="n"/>
      <c r="M277" s="30" t="n"/>
      <c r="N277" s="30" t="n"/>
      <c r="O277" s="30" t="n"/>
      <c r="P277" s="30" t="n"/>
      <c r="Q277" s="31" t="n"/>
      <c r="R277" s="31" t="n"/>
      <c r="S277" s="31" t="n"/>
      <c r="T277" s="31" t="n"/>
      <c r="U277" s="31" t="n"/>
      <c r="V277" s="31" t="n"/>
      <c r="W277" s="30" t="n"/>
      <c r="X277" s="31" t="n"/>
      <c r="Y277" s="35" t="n"/>
      <c r="Z277" s="35" t="n"/>
      <c r="AA277" s="35" t="n"/>
      <c r="AB277" s="35" t="n"/>
      <c r="AC277" s="35" t="n"/>
      <c r="AD277" s="35" t="n"/>
      <c r="AE277" s="35" t="n"/>
      <c r="AF277" s="35" t="n"/>
      <c r="AG277" s="36">
        <f>IF(A277="","",IF(V277&lt;&gt;"",V277-B277,TODAY()-B277))</f>
        <v/>
      </c>
      <c r="AH277" s="36">
        <f>IF(OR(A277="",I277=""),"",MAX(0,IF(V277&lt;&gt;"",V277-I277,TODAY()-I277)))</f>
        <v/>
      </c>
      <c r="AI277" s="37">
        <f>IF(A277="","",IF(OR(K277="Closed",V277&lt;&gt;""),"Closed",IF(AH277&gt;=AgeCrit,"Critical",IF(AH277&gt;=AgeFu,"For Follow-up",IF(AH277&gt;=AgeMonitor,"Monitor","Within Standard")))))</f>
        <v/>
      </c>
      <c r="AJ277" s="38">
        <f>IF(A277="","",IFERROR(INDEX(StgPct,MATCH(H277,StgList,0)),0))</f>
        <v/>
      </c>
      <c r="AK277" s="38">
        <f>IF(A277="","",IFERROR(COUNTIF(Y277:AF277,"Y")/(COUNTIF(Y277:AF277,"Y")+COUNTIF(Y277:AF277,"N")),0))</f>
        <v/>
      </c>
      <c r="AL277" s="36">
        <f>IF(OR(A277="",X277=""),"",MAX(0,IF(V277&lt;&gt;"",V277,TODAY())-X277))</f>
        <v/>
      </c>
      <c r="AM277" s="32" t="n"/>
      <c r="AN277" s="33">
        <f>IF(A277="","",LOWER(AI277)&amp;"|"&amp;AH277&amp;"|"&amp;AJ277&amp;"|"&amp;AK277)</f>
        <v/>
      </c>
      <c r="AO277" s="33">
        <f>IF(OR(A277="",T277=""),"",T277-TODAY())</f>
        <v/>
      </c>
      <c r="AP277" s="33">
        <f>IF(OR(A277="",V277&lt;&gt;""),"",(TODAY()-B277)+ROW()/1000000)</f>
        <v/>
      </c>
    </row>
    <row r="278" ht="27" customHeight="1">
      <c r="A278" s="30" t="n"/>
      <c r="B278" s="31" t="n"/>
      <c r="C278" s="32" t="n"/>
      <c r="D278" s="32" t="n"/>
      <c r="E278" s="32" t="n"/>
      <c r="F278" s="32" t="n"/>
      <c r="G278" s="33">
        <f>IF(A278="","",IFERROR(INDEX(OffCat,MATCH(F278,OffList,0)),"Unlisted"))</f>
        <v/>
      </c>
      <c r="H278" s="30" t="n"/>
      <c r="I278" s="31" t="n"/>
      <c r="J278" s="34" t="n"/>
      <c r="K278" s="34" t="n"/>
      <c r="L278" s="34" t="n"/>
      <c r="M278" s="30" t="n"/>
      <c r="N278" s="30" t="n"/>
      <c r="O278" s="30" t="n"/>
      <c r="P278" s="30" t="n"/>
      <c r="Q278" s="31" t="n"/>
      <c r="R278" s="31" t="n"/>
      <c r="S278" s="31" t="n"/>
      <c r="T278" s="31" t="n"/>
      <c r="U278" s="31" t="n"/>
      <c r="V278" s="31" t="n"/>
      <c r="W278" s="30" t="n"/>
      <c r="X278" s="31" t="n"/>
      <c r="Y278" s="35" t="n"/>
      <c r="Z278" s="35" t="n"/>
      <c r="AA278" s="35" t="n"/>
      <c r="AB278" s="35" t="n"/>
      <c r="AC278" s="35" t="n"/>
      <c r="AD278" s="35" t="n"/>
      <c r="AE278" s="35" t="n"/>
      <c r="AF278" s="35" t="n"/>
      <c r="AG278" s="36">
        <f>IF(A278="","",IF(V278&lt;&gt;"",V278-B278,TODAY()-B278))</f>
        <v/>
      </c>
      <c r="AH278" s="36">
        <f>IF(OR(A278="",I278=""),"",MAX(0,IF(V278&lt;&gt;"",V278-I278,TODAY()-I278)))</f>
        <v/>
      </c>
      <c r="AI278" s="37">
        <f>IF(A278="","",IF(OR(K278="Closed",V278&lt;&gt;""),"Closed",IF(AH278&gt;=AgeCrit,"Critical",IF(AH278&gt;=AgeFu,"For Follow-up",IF(AH278&gt;=AgeMonitor,"Monitor","Within Standard")))))</f>
        <v/>
      </c>
      <c r="AJ278" s="38">
        <f>IF(A278="","",IFERROR(INDEX(StgPct,MATCH(H278,StgList,0)),0))</f>
        <v/>
      </c>
      <c r="AK278" s="38">
        <f>IF(A278="","",IFERROR(COUNTIF(Y278:AF278,"Y")/(COUNTIF(Y278:AF278,"Y")+COUNTIF(Y278:AF278,"N")),0))</f>
        <v/>
      </c>
      <c r="AL278" s="36">
        <f>IF(OR(A278="",X278=""),"",MAX(0,IF(V278&lt;&gt;"",V278,TODAY())-X278))</f>
        <v/>
      </c>
      <c r="AM278" s="32" t="n"/>
      <c r="AN278" s="33">
        <f>IF(A278="","",LOWER(AI278)&amp;"|"&amp;AH278&amp;"|"&amp;AJ278&amp;"|"&amp;AK278)</f>
        <v/>
      </c>
      <c r="AO278" s="33">
        <f>IF(OR(A278="",T278=""),"",T278-TODAY())</f>
        <v/>
      </c>
      <c r="AP278" s="33">
        <f>IF(OR(A278="",V278&lt;&gt;""),"",(TODAY()-B278)+ROW()/1000000)</f>
        <v/>
      </c>
    </row>
    <row r="279" ht="27" customHeight="1">
      <c r="A279" s="30" t="n"/>
      <c r="B279" s="31" t="n"/>
      <c r="C279" s="32" t="n"/>
      <c r="D279" s="32" t="n"/>
      <c r="E279" s="32" t="n"/>
      <c r="F279" s="32" t="n"/>
      <c r="G279" s="33">
        <f>IF(A279="","",IFERROR(INDEX(OffCat,MATCH(F279,OffList,0)),"Unlisted"))</f>
        <v/>
      </c>
      <c r="H279" s="30" t="n"/>
      <c r="I279" s="31" t="n"/>
      <c r="J279" s="34" t="n"/>
      <c r="K279" s="34" t="n"/>
      <c r="L279" s="34" t="n"/>
      <c r="M279" s="30" t="n"/>
      <c r="N279" s="30" t="n"/>
      <c r="O279" s="30" t="n"/>
      <c r="P279" s="30" t="n"/>
      <c r="Q279" s="31" t="n"/>
      <c r="R279" s="31" t="n"/>
      <c r="S279" s="31" t="n"/>
      <c r="T279" s="31" t="n"/>
      <c r="U279" s="31" t="n"/>
      <c r="V279" s="31" t="n"/>
      <c r="W279" s="30" t="n"/>
      <c r="X279" s="31" t="n"/>
      <c r="Y279" s="35" t="n"/>
      <c r="Z279" s="35" t="n"/>
      <c r="AA279" s="35" t="n"/>
      <c r="AB279" s="35" t="n"/>
      <c r="AC279" s="35" t="n"/>
      <c r="AD279" s="35" t="n"/>
      <c r="AE279" s="35" t="n"/>
      <c r="AF279" s="35" t="n"/>
      <c r="AG279" s="36">
        <f>IF(A279="","",IF(V279&lt;&gt;"",V279-B279,TODAY()-B279))</f>
        <v/>
      </c>
      <c r="AH279" s="36">
        <f>IF(OR(A279="",I279=""),"",MAX(0,IF(V279&lt;&gt;"",V279-I279,TODAY()-I279)))</f>
        <v/>
      </c>
      <c r="AI279" s="37">
        <f>IF(A279="","",IF(OR(K279="Closed",V279&lt;&gt;""),"Closed",IF(AH279&gt;=AgeCrit,"Critical",IF(AH279&gt;=AgeFu,"For Follow-up",IF(AH279&gt;=AgeMonitor,"Monitor","Within Standard")))))</f>
        <v/>
      </c>
      <c r="AJ279" s="38">
        <f>IF(A279="","",IFERROR(INDEX(StgPct,MATCH(H279,StgList,0)),0))</f>
        <v/>
      </c>
      <c r="AK279" s="38">
        <f>IF(A279="","",IFERROR(COUNTIF(Y279:AF279,"Y")/(COUNTIF(Y279:AF279,"Y")+COUNTIF(Y279:AF279,"N")),0))</f>
        <v/>
      </c>
      <c r="AL279" s="36">
        <f>IF(OR(A279="",X279=""),"",MAX(0,IF(V279&lt;&gt;"",V279,TODAY())-X279))</f>
        <v/>
      </c>
      <c r="AM279" s="32" t="n"/>
      <c r="AN279" s="33">
        <f>IF(A279="","",LOWER(AI279)&amp;"|"&amp;AH279&amp;"|"&amp;AJ279&amp;"|"&amp;AK279)</f>
        <v/>
      </c>
      <c r="AO279" s="33">
        <f>IF(OR(A279="",T279=""),"",T279-TODAY())</f>
        <v/>
      </c>
      <c r="AP279" s="33">
        <f>IF(OR(A279="",V279&lt;&gt;""),"",(TODAY()-B279)+ROW()/1000000)</f>
        <v/>
      </c>
    </row>
    <row r="280" ht="27" customHeight="1">
      <c r="A280" s="30" t="n"/>
      <c r="B280" s="31" t="n"/>
      <c r="C280" s="32" t="n"/>
      <c r="D280" s="32" t="n"/>
      <c r="E280" s="32" t="n"/>
      <c r="F280" s="32" t="n"/>
      <c r="G280" s="33">
        <f>IF(A280="","",IFERROR(INDEX(OffCat,MATCH(F280,OffList,0)),"Unlisted"))</f>
        <v/>
      </c>
      <c r="H280" s="30" t="n"/>
      <c r="I280" s="31" t="n"/>
      <c r="J280" s="34" t="n"/>
      <c r="K280" s="34" t="n"/>
      <c r="L280" s="34" t="n"/>
      <c r="M280" s="30" t="n"/>
      <c r="N280" s="30" t="n"/>
      <c r="O280" s="30" t="n"/>
      <c r="P280" s="30" t="n"/>
      <c r="Q280" s="31" t="n"/>
      <c r="R280" s="31" t="n"/>
      <c r="S280" s="31" t="n"/>
      <c r="T280" s="31" t="n"/>
      <c r="U280" s="31" t="n"/>
      <c r="V280" s="31" t="n"/>
      <c r="W280" s="30" t="n"/>
      <c r="X280" s="31" t="n"/>
      <c r="Y280" s="35" t="n"/>
      <c r="Z280" s="35" t="n"/>
      <c r="AA280" s="35" t="n"/>
      <c r="AB280" s="35" t="n"/>
      <c r="AC280" s="35" t="n"/>
      <c r="AD280" s="35" t="n"/>
      <c r="AE280" s="35" t="n"/>
      <c r="AF280" s="35" t="n"/>
      <c r="AG280" s="36">
        <f>IF(A280="","",IF(V280&lt;&gt;"",V280-B280,TODAY()-B280))</f>
        <v/>
      </c>
      <c r="AH280" s="36">
        <f>IF(OR(A280="",I280=""),"",MAX(0,IF(V280&lt;&gt;"",V280-I280,TODAY()-I280)))</f>
        <v/>
      </c>
      <c r="AI280" s="37">
        <f>IF(A280="","",IF(OR(K280="Closed",V280&lt;&gt;""),"Closed",IF(AH280&gt;=AgeCrit,"Critical",IF(AH280&gt;=AgeFu,"For Follow-up",IF(AH280&gt;=AgeMonitor,"Monitor","Within Standard")))))</f>
        <v/>
      </c>
      <c r="AJ280" s="38">
        <f>IF(A280="","",IFERROR(INDEX(StgPct,MATCH(H280,StgList,0)),0))</f>
        <v/>
      </c>
      <c r="AK280" s="38">
        <f>IF(A280="","",IFERROR(COUNTIF(Y280:AF280,"Y")/(COUNTIF(Y280:AF280,"Y")+COUNTIF(Y280:AF280,"N")),0))</f>
        <v/>
      </c>
      <c r="AL280" s="36">
        <f>IF(OR(A280="",X280=""),"",MAX(0,IF(V280&lt;&gt;"",V280,TODAY())-X280))</f>
        <v/>
      </c>
      <c r="AM280" s="32" t="n"/>
      <c r="AN280" s="33">
        <f>IF(A280="","",LOWER(AI280)&amp;"|"&amp;AH280&amp;"|"&amp;AJ280&amp;"|"&amp;AK280)</f>
        <v/>
      </c>
      <c r="AO280" s="33">
        <f>IF(OR(A280="",T280=""),"",T280-TODAY())</f>
        <v/>
      </c>
      <c r="AP280" s="33">
        <f>IF(OR(A280="",V280&lt;&gt;""),"",(TODAY()-B280)+ROW()/1000000)</f>
        <v/>
      </c>
    </row>
    <row r="281" ht="27" customHeight="1">
      <c r="A281" s="30" t="n"/>
      <c r="B281" s="31" t="n"/>
      <c r="C281" s="32" t="n"/>
      <c r="D281" s="32" t="n"/>
      <c r="E281" s="32" t="n"/>
      <c r="F281" s="32" t="n"/>
      <c r="G281" s="33">
        <f>IF(A281="","",IFERROR(INDEX(OffCat,MATCH(F281,OffList,0)),"Unlisted"))</f>
        <v/>
      </c>
      <c r="H281" s="30" t="n"/>
      <c r="I281" s="31" t="n"/>
      <c r="J281" s="34" t="n"/>
      <c r="K281" s="34" t="n"/>
      <c r="L281" s="34" t="n"/>
      <c r="M281" s="30" t="n"/>
      <c r="N281" s="30" t="n"/>
      <c r="O281" s="30" t="n"/>
      <c r="P281" s="30" t="n"/>
      <c r="Q281" s="31" t="n"/>
      <c r="R281" s="31" t="n"/>
      <c r="S281" s="31" t="n"/>
      <c r="T281" s="31" t="n"/>
      <c r="U281" s="31" t="n"/>
      <c r="V281" s="31" t="n"/>
      <c r="W281" s="30" t="n"/>
      <c r="X281" s="31" t="n"/>
      <c r="Y281" s="35" t="n"/>
      <c r="Z281" s="35" t="n"/>
      <c r="AA281" s="35" t="n"/>
      <c r="AB281" s="35" t="n"/>
      <c r="AC281" s="35" t="n"/>
      <c r="AD281" s="35" t="n"/>
      <c r="AE281" s="35" t="n"/>
      <c r="AF281" s="35" t="n"/>
      <c r="AG281" s="36">
        <f>IF(A281="","",IF(V281&lt;&gt;"",V281-B281,TODAY()-B281))</f>
        <v/>
      </c>
      <c r="AH281" s="36">
        <f>IF(OR(A281="",I281=""),"",MAX(0,IF(V281&lt;&gt;"",V281-I281,TODAY()-I281)))</f>
        <v/>
      </c>
      <c r="AI281" s="37">
        <f>IF(A281="","",IF(OR(K281="Closed",V281&lt;&gt;""),"Closed",IF(AH281&gt;=AgeCrit,"Critical",IF(AH281&gt;=AgeFu,"For Follow-up",IF(AH281&gt;=AgeMonitor,"Monitor","Within Standard")))))</f>
        <v/>
      </c>
      <c r="AJ281" s="38">
        <f>IF(A281="","",IFERROR(INDEX(StgPct,MATCH(H281,StgList,0)),0))</f>
        <v/>
      </c>
      <c r="AK281" s="38">
        <f>IF(A281="","",IFERROR(COUNTIF(Y281:AF281,"Y")/(COUNTIF(Y281:AF281,"Y")+COUNTIF(Y281:AF281,"N")),0))</f>
        <v/>
      </c>
      <c r="AL281" s="36">
        <f>IF(OR(A281="",X281=""),"",MAX(0,IF(V281&lt;&gt;"",V281,TODAY())-X281))</f>
        <v/>
      </c>
      <c r="AM281" s="32" t="n"/>
      <c r="AN281" s="33">
        <f>IF(A281="","",LOWER(AI281)&amp;"|"&amp;AH281&amp;"|"&amp;AJ281&amp;"|"&amp;AK281)</f>
        <v/>
      </c>
      <c r="AO281" s="33">
        <f>IF(OR(A281="",T281=""),"",T281-TODAY())</f>
        <v/>
      </c>
      <c r="AP281" s="33">
        <f>IF(OR(A281="",V281&lt;&gt;""),"",(TODAY()-B281)+ROW()/1000000)</f>
        <v/>
      </c>
    </row>
    <row r="282" ht="27" customHeight="1">
      <c r="A282" s="30" t="n"/>
      <c r="B282" s="31" t="n"/>
      <c r="C282" s="32" t="n"/>
      <c r="D282" s="32" t="n"/>
      <c r="E282" s="32" t="n"/>
      <c r="F282" s="32" t="n"/>
      <c r="G282" s="33">
        <f>IF(A282="","",IFERROR(INDEX(OffCat,MATCH(F282,OffList,0)),"Unlisted"))</f>
        <v/>
      </c>
      <c r="H282" s="30" t="n"/>
      <c r="I282" s="31" t="n"/>
      <c r="J282" s="34" t="n"/>
      <c r="K282" s="34" t="n"/>
      <c r="L282" s="34" t="n"/>
      <c r="M282" s="30" t="n"/>
      <c r="N282" s="30" t="n"/>
      <c r="O282" s="30" t="n"/>
      <c r="P282" s="30" t="n"/>
      <c r="Q282" s="31" t="n"/>
      <c r="R282" s="31" t="n"/>
      <c r="S282" s="31" t="n"/>
      <c r="T282" s="31" t="n"/>
      <c r="U282" s="31" t="n"/>
      <c r="V282" s="31" t="n"/>
      <c r="W282" s="30" t="n"/>
      <c r="X282" s="31" t="n"/>
      <c r="Y282" s="35" t="n"/>
      <c r="Z282" s="35" t="n"/>
      <c r="AA282" s="35" t="n"/>
      <c r="AB282" s="35" t="n"/>
      <c r="AC282" s="35" t="n"/>
      <c r="AD282" s="35" t="n"/>
      <c r="AE282" s="35" t="n"/>
      <c r="AF282" s="35" t="n"/>
      <c r="AG282" s="36">
        <f>IF(A282="","",IF(V282&lt;&gt;"",V282-B282,TODAY()-B282))</f>
        <v/>
      </c>
      <c r="AH282" s="36">
        <f>IF(OR(A282="",I282=""),"",MAX(0,IF(V282&lt;&gt;"",V282-I282,TODAY()-I282)))</f>
        <v/>
      </c>
      <c r="AI282" s="37">
        <f>IF(A282="","",IF(OR(K282="Closed",V282&lt;&gt;""),"Closed",IF(AH282&gt;=AgeCrit,"Critical",IF(AH282&gt;=AgeFu,"For Follow-up",IF(AH282&gt;=AgeMonitor,"Monitor","Within Standard")))))</f>
        <v/>
      </c>
      <c r="AJ282" s="38">
        <f>IF(A282="","",IFERROR(INDEX(StgPct,MATCH(H282,StgList,0)),0))</f>
        <v/>
      </c>
      <c r="AK282" s="38">
        <f>IF(A282="","",IFERROR(COUNTIF(Y282:AF282,"Y")/(COUNTIF(Y282:AF282,"Y")+COUNTIF(Y282:AF282,"N")),0))</f>
        <v/>
      </c>
      <c r="AL282" s="36">
        <f>IF(OR(A282="",X282=""),"",MAX(0,IF(V282&lt;&gt;"",V282,TODAY())-X282))</f>
        <v/>
      </c>
      <c r="AM282" s="32" t="n"/>
      <c r="AN282" s="33">
        <f>IF(A282="","",LOWER(AI282)&amp;"|"&amp;AH282&amp;"|"&amp;AJ282&amp;"|"&amp;AK282)</f>
        <v/>
      </c>
      <c r="AO282" s="33">
        <f>IF(OR(A282="",T282=""),"",T282-TODAY())</f>
        <v/>
      </c>
      <c r="AP282" s="33">
        <f>IF(OR(A282="",V282&lt;&gt;""),"",(TODAY()-B282)+ROW()/1000000)</f>
        <v/>
      </c>
    </row>
    <row r="283" ht="27" customHeight="1">
      <c r="A283" s="30" t="n"/>
      <c r="B283" s="31" t="n"/>
      <c r="C283" s="32" t="n"/>
      <c r="D283" s="32" t="n"/>
      <c r="E283" s="32" t="n"/>
      <c r="F283" s="32" t="n"/>
      <c r="G283" s="33">
        <f>IF(A283="","",IFERROR(INDEX(OffCat,MATCH(F283,OffList,0)),"Unlisted"))</f>
        <v/>
      </c>
      <c r="H283" s="30" t="n"/>
      <c r="I283" s="31" t="n"/>
      <c r="J283" s="34" t="n"/>
      <c r="K283" s="34" t="n"/>
      <c r="L283" s="34" t="n"/>
      <c r="M283" s="30" t="n"/>
      <c r="N283" s="30" t="n"/>
      <c r="O283" s="30" t="n"/>
      <c r="P283" s="30" t="n"/>
      <c r="Q283" s="31" t="n"/>
      <c r="R283" s="31" t="n"/>
      <c r="S283" s="31" t="n"/>
      <c r="T283" s="31" t="n"/>
      <c r="U283" s="31" t="n"/>
      <c r="V283" s="31" t="n"/>
      <c r="W283" s="30" t="n"/>
      <c r="X283" s="31" t="n"/>
      <c r="Y283" s="35" t="n"/>
      <c r="Z283" s="35" t="n"/>
      <c r="AA283" s="35" t="n"/>
      <c r="AB283" s="35" t="n"/>
      <c r="AC283" s="35" t="n"/>
      <c r="AD283" s="35" t="n"/>
      <c r="AE283" s="35" t="n"/>
      <c r="AF283" s="35" t="n"/>
      <c r="AG283" s="36">
        <f>IF(A283="","",IF(V283&lt;&gt;"",V283-B283,TODAY()-B283))</f>
        <v/>
      </c>
      <c r="AH283" s="36">
        <f>IF(OR(A283="",I283=""),"",MAX(0,IF(V283&lt;&gt;"",V283-I283,TODAY()-I283)))</f>
        <v/>
      </c>
      <c r="AI283" s="37">
        <f>IF(A283="","",IF(OR(K283="Closed",V283&lt;&gt;""),"Closed",IF(AH283&gt;=AgeCrit,"Critical",IF(AH283&gt;=AgeFu,"For Follow-up",IF(AH283&gt;=AgeMonitor,"Monitor","Within Standard")))))</f>
        <v/>
      </c>
      <c r="AJ283" s="38">
        <f>IF(A283="","",IFERROR(INDEX(StgPct,MATCH(H283,StgList,0)),0))</f>
        <v/>
      </c>
      <c r="AK283" s="38">
        <f>IF(A283="","",IFERROR(COUNTIF(Y283:AF283,"Y")/(COUNTIF(Y283:AF283,"Y")+COUNTIF(Y283:AF283,"N")),0))</f>
        <v/>
      </c>
      <c r="AL283" s="36">
        <f>IF(OR(A283="",X283=""),"",MAX(0,IF(V283&lt;&gt;"",V283,TODAY())-X283))</f>
        <v/>
      </c>
      <c r="AM283" s="32" t="n"/>
      <c r="AN283" s="33">
        <f>IF(A283="","",LOWER(AI283)&amp;"|"&amp;AH283&amp;"|"&amp;AJ283&amp;"|"&amp;AK283)</f>
        <v/>
      </c>
      <c r="AO283" s="33">
        <f>IF(OR(A283="",T283=""),"",T283-TODAY())</f>
        <v/>
      </c>
      <c r="AP283" s="33">
        <f>IF(OR(A283="",V283&lt;&gt;""),"",(TODAY()-B283)+ROW()/1000000)</f>
        <v/>
      </c>
    </row>
    <row r="284" ht="27" customHeight="1">
      <c r="A284" s="30" t="n"/>
      <c r="B284" s="31" t="n"/>
      <c r="C284" s="32" t="n"/>
      <c r="D284" s="32" t="n"/>
      <c r="E284" s="32" t="n"/>
      <c r="F284" s="32" t="n"/>
      <c r="G284" s="33">
        <f>IF(A284="","",IFERROR(INDEX(OffCat,MATCH(F284,OffList,0)),"Unlisted"))</f>
        <v/>
      </c>
      <c r="H284" s="30" t="n"/>
      <c r="I284" s="31" t="n"/>
      <c r="J284" s="34" t="n"/>
      <c r="K284" s="34" t="n"/>
      <c r="L284" s="34" t="n"/>
      <c r="M284" s="30" t="n"/>
      <c r="N284" s="30" t="n"/>
      <c r="O284" s="30" t="n"/>
      <c r="P284" s="30" t="n"/>
      <c r="Q284" s="31" t="n"/>
      <c r="R284" s="31" t="n"/>
      <c r="S284" s="31" t="n"/>
      <c r="T284" s="31" t="n"/>
      <c r="U284" s="31" t="n"/>
      <c r="V284" s="31" t="n"/>
      <c r="W284" s="30" t="n"/>
      <c r="X284" s="31" t="n"/>
      <c r="Y284" s="35" t="n"/>
      <c r="Z284" s="35" t="n"/>
      <c r="AA284" s="35" t="n"/>
      <c r="AB284" s="35" t="n"/>
      <c r="AC284" s="35" t="n"/>
      <c r="AD284" s="35" t="n"/>
      <c r="AE284" s="35" t="n"/>
      <c r="AF284" s="35" t="n"/>
      <c r="AG284" s="36">
        <f>IF(A284="","",IF(V284&lt;&gt;"",V284-B284,TODAY()-B284))</f>
        <v/>
      </c>
      <c r="AH284" s="36">
        <f>IF(OR(A284="",I284=""),"",MAX(0,IF(V284&lt;&gt;"",V284-I284,TODAY()-I284)))</f>
        <v/>
      </c>
      <c r="AI284" s="37">
        <f>IF(A284="","",IF(OR(K284="Closed",V284&lt;&gt;""),"Closed",IF(AH284&gt;=AgeCrit,"Critical",IF(AH284&gt;=AgeFu,"For Follow-up",IF(AH284&gt;=AgeMonitor,"Monitor","Within Standard")))))</f>
        <v/>
      </c>
      <c r="AJ284" s="38">
        <f>IF(A284="","",IFERROR(INDEX(StgPct,MATCH(H284,StgList,0)),0))</f>
        <v/>
      </c>
      <c r="AK284" s="38">
        <f>IF(A284="","",IFERROR(COUNTIF(Y284:AF284,"Y")/(COUNTIF(Y284:AF284,"Y")+COUNTIF(Y284:AF284,"N")),0))</f>
        <v/>
      </c>
      <c r="AL284" s="36">
        <f>IF(OR(A284="",X284=""),"",MAX(0,IF(V284&lt;&gt;"",V284,TODAY())-X284))</f>
        <v/>
      </c>
      <c r="AM284" s="32" t="n"/>
      <c r="AN284" s="33">
        <f>IF(A284="","",LOWER(AI284)&amp;"|"&amp;AH284&amp;"|"&amp;AJ284&amp;"|"&amp;AK284)</f>
        <v/>
      </c>
      <c r="AO284" s="33">
        <f>IF(OR(A284="",T284=""),"",T284-TODAY())</f>
        <v/>
      </c>
      <c r="AP284" s="33">
        <f>IF(OR(A284="",V284&lt;&gt;""),"",(TODAY()-B284)+ROW()/1000000)</f>
        <v/>
      </c>
    </row>
    <row r="285" ht="27" customHeight="1">
      <c r="A285" s="30" t="n"/>
      <c r="B285" s="31" t="n"/>
      <c r="C285" s="32" t="n"/>
      <c r="D285" s="32" t="n"/>
      <c r="E285" s="32" t="n"/>
      <c r="F285" s="32" t="n"/>
      <c r="G285" s="33">
        <f>IF(A285="","",IFERROR(INDEX(OffCat,MATCH(F285,OffList,0)),"Unlisted"))</f>
        <v/>
      </c>
      <c r="H285" s="30" t="n"/>
      <c r="I285" s="31" t="n"/>
      <c r="J285" s="34" t="n"/>
      <c r="K285" s="34" t="n"/>
      <c r="L285" s="34" t="n"/>
      <c r="M285" s="30" t="n"/>
      <c r="N285" s="30" t="n"/>
      <c r="O285" s="30" t="n"/>
      <c r="P285" s="30" t="n"/>
      <c r="Q285" s="31" t="n"/>
      <c r="R285" s="31" t="n"/>
      <c r="S285" s="31" t="n"/>
      <c r="T285" s="31" t="n"/>
      <c r="U285" s="31" t="n"/>
      <c r="V285" s="31" t="n"/>
      <c r="W285" s="30" t="n"/>
      <c r="X285" s="31" t="n"/>
      <c r="Y285" s="35" t="n"/>
      <c r="Z285" s="35" t="n"/>
      <c r="AA285" s="35" t="n"/>
      <c r="AB285" s="35" t="n"/>
      <c r="AC285" s="35" t="n"/>
      <c r="AD285" s="35" t="n"/>
      <c r="AE285" s="35" t="n"/>
      <c r="AF285" s="35" t="n"/>
      <c r="AG285" s="36">
        <f>IF(A285="","",IF(V285&lt;&gt;"",V285-B285,TODAY()-B285))</f>
        <v/>
      </c>
      <c r="AH285" s="36">
        <f>IF(OR(A285="",I285=""),"",MAX(0,IF(V285&lt;&gt;"",V285-I285,TODAY()-I285)))</f>
        <v/>
      </c>
      <c r="AI285" s="37">
        <f>IF(A285="","",IF(OR(K285="Closed",V285&lt;&gt;""),"Closed",IF(AH285&gt;=AgeCrit,"Critical",IF(AH285&gt;=AgeFu,"For Follow-up",IF(AH285&gt;=AgeMonitor,"Monitor","Within Standard")))))</f>
        <v/>
      </c>
      <c r="AJ285" s="38">
        <f>IF(A285="","",IFERROR(INDEX(StgPct,MATCH(H285,StgList,0)),0))</f>
        <v/>
      </c>
      <c r="AK285" s="38">
        <f>IF(A285="","",IFERROR(COUNTIF(Y285:AF285,"Y")/(COUNTIF(Y285:AF285,"Y")+COUNTIF(Y285:AF285,"N")),0))</f>
        <v/>
      </c>
      <c r="AL285" s="36">
        <f>IF(OR(A285="",X285=""),"",MAX(0,IF(V285&lt;&gt;"",V285,TODAY())-X285))</f>
        <v/>
      </c>
      <c r="AM285" s="32" t="n"/>
      <c r="AN285" s="33">
        <f>IF(A285="","",LOWER(AI285)&amp;"|"&amp;AH285&amp;"|"&amp;AJ285&amp;"|"&amp;AK285)</f>
        <v/>
      </c>
      <c r="AO285" s="33">
        <f>IF(OR(A285="",T285=""),"",T285-TODAY())</f>
        <v/>
      </c>
      <c r="AP285" s="33">
        <f>IF(OR(A285="",V285&lt;&gt;""),"",(TODAY()-B285)+ROW()/1000000)</f>
        <v/>
      </c>
    </row>
    <row r="286" ht="27" customHeight="1">
      <c r="A286" s="30" t="n"/>
      <c r="B286" s="31" t="n"/>
      <c r="C286" s="32" t="n"/>
      <c r="D286" s="32" t="n"/>
      <c r="E286" s="32" t="n"/>
      <c r="F286" s="32" t="n"/>
      <c r="G286" s="33">
        <f>IF(A286="","",IFERROR(INDEX(OffCat,MATCH(F286,OffList,0)),"Unlisted"))</f>
        <v/>
      </c>
      <c r="H286" s="30" t="n"/>
      <c r="I286" s="31" t="n"/>
      <c r="J286" s="34" t="n"/>
      <c r="K286" s="34" t="n"/>
      <c r="L286" s="34" t="n"/>
      <c r="M286" s="30" t="n"/>
      <c r="N286" s="30" t="n"/>
      <c r="O286" s="30" t="n"/>
      <c r="P286" s="30" t="n"/>
      <c r="Q286" s="31" t="n"/>
      <c r="R286" s="31" t="n"/>
      <c r="S286" s="31" t="n"/>
      <c r="T286" s="31" t="n"/>
      <c r="U286" s="31" t="n"/>
      <c r="V286" s="31" t="n"/>
      <c r="W286" s="30" t="n"/>
      <c r="X286" s="31" t="n"/>
      <c r="Y286" s="35" t="n"/>
      <c r="Z286" s="35" t="n"/>
      <c r="AA286" s="35" t="n"/>
      <c r="AB286" s="35" t="n"/>
      <c r="AC286" s="35" t="n"/>
      <c r="AD286" s="35" t="n"/>
      <c r="AE286" s="35" t="n"/>
      <c r="AF286" s="35" t="n"/>
      <c r="AG286" s="36">
        <f>IF(A286="","",IF(V286&lt;&gt;"",V286-B286,TODAY()-B286))</f>
        <v/>
      </c>
      <c r="AH286" s="36">
        <f>IF(OR(A286="",I286=""),"",MAX(0,IF(V286&lt;&gt;"",V286-I286,TODAY()-I286)))</f>
        <v/>
      </c>
      <c r="AI286" s="37">
        <f>IF(A286="","",IF(OR(K286="Closed",V286&lt;&gt;""),"Closed",IF(AH286&gt;=AgeCrit,"Critical",IF(AH286&gt;=AgeFu,"For Follow-up",IF(AH286&gt;=AgeMonitor,"Monitor","Within Standard")))))</f>
        <v/>
      </c>
      <c r="AJ286" s="38">
        <f>IF(A286="","",IFERROR(INDEX(StgPct,MATCH(H286,StgList,0)),0))</f>
        <v/>
      </c>
      <c r="AK286" s="38">
        <f>IF(A286="","",IFERROR(COUNTIF(Y286:AF286,"Y")/(COUNTIF(Y286:AF286,"Y")+COUNTIF(Y286:AF286,"N")),0))</f>
        <v/>
      </c>
      <c r="AL286" s="36">
        <f>IF(OR(A286="",X286=""),"",MAX(0,IF(V286&lt;&gt;"",V286,TODAY())-X286))</f>
        <v/>
      </c>
      <c r="AM286" s="32" t="n"/>
      <c r="AN286" s="33">
        <f>IF(A286="","",LOWER(AI286)&amp;"|"&amp;AH286&amp;"|"&amp;AJ286&amp;"|"&amp;AK286)</f>
        <v/>
      </c>
      <c r="AO286" s="33">
        <f>IF(OR(A286="",T286=""),"",T286-TODAY())</f>
        <v/>
      </c>
      <c r="AP286" s="33">
        <f>IF(OR(A286="",V286&lt;&gt;""),"",(TODAY()-B286)+ROW()/1000000)</f>
        <v/>
      </c>
    </row>
    <row r="287" ht="27" customHeight="1">
      <c r="A287" s="30" t="n"/>
      <c r="B287" s="31" t="n"/>
      <c r="C287" s="32" t="n"/>
      <c r="D287" s="32" t="n"/>
      <c r="E287" s="32" t="n"/>
      <c r="F287" s="32" t="n"/>
      <c r="G287" s="33">
        <f>IF(A287="","",IFERROR(INDEX(OffCat,MATCH(F287,OffList,0)),"Unlisted"))</f>
        <v/>
      </c>
      <c r="H287" s="30" t="n"/>
      <c r="I287" s="31" t="n"/>
      <c r="J287" s="34" t="n"/>
      <c r="K287" s="34" t="n"/>
      <c r="L287" s="34" t="n"/>
      <c r="M287" s="30" t="n"/>
      <c r="N287" s="30" t="n"/>
      <c r="O287" s="30" t="n"/>
      <c r="P287" s="30" t="n"/>
      <c r="Q287" s="31" t="n"/>
      <c r="R287" s="31" t="n"/>
      <c r="S287" s="31" t="n"/>
      <c r="T287" s="31" t="n"/>
      <c r="U287" s="31" t="n"/>
      <c r="V287" s="31" t="n"/>
      <c r="W287" s="30" t="n"/>
      <c r="X287" s="31" t="n"/>
      <c r="Y287" s="35" t="n"/>
      <c r="Z287" s="35" t="n"/>
      <c r="AA287" s="35" t="n"/>
      <c r="AB287" s="35" t="n"/>
      <c r="AC287" s="35" t="n"/>
      <c r="AD287" s="35" t="n"/>
      <c r="AE287" s="35" t="n"/>
      <c r="AF287" s="35" t="n"/>
      <c r="AG287" s="36">
        <f>IF(A287="","",IF(V287&lt;&gt;"",V287-B287,TODAY()-B287))</f>
        <v/>
      </c>
      <c r="AH287" s="36">
        <f>IF(OR(A287="",I287=""),"",MAX(0,IF(V287&lt;&gt;"",V287-I287,TODAY()-I287)))</f>
        <v/>
      </c>
      <c r="AI287" s="37">
        <f>IF(A287="","",IF(OR(K287="Closed",V287&lt;&gt;""),"Closed",IF(AH287&gt;=AgeCrit,"Critical",IF(AH287&gt;=AgeFu,"For Follow-up",IF(AH287&gt;=AgeMonitor,"Monitor","Within Standard")))))</f>
        <v/>
      </c>
      <c r="AJ287" s="38">
        <f>IF(A287="","",IFERROR(INDEX(StgPct,MATCH(H287,StgList,0)),0))</f>
        <v/>
      </c>
      <c r="AK287" s="38">
        <f>IF(A287="","",IFERROR(COUNTIF(Y287:AF287,"Y")/(COUNTIF(Y287:AF287,"Y")+COUNTIF(Y287:AF287,"N")),0))</f>
        <v/>
      </c>
      <c r="AL287" s="36">
        <f>IF(OR(A287="",X287=""),"",MAX(0,IF(V287&lt;&gt;"",V287,TODAY())-X287))</f>
        <v/>
      </c>
      <c r="AM287" s="32" t="n"/>
      <c r="AN287" s="33">
        <f>IF(A287="","",LOWER(AI287)&amp;"|"&amp;AH287&amp;"|"&amp;AJ287&amp;"|"&amp;AK287)</f>
        <v/>
      </c>
      <c r="AO287" s="33">
        <f>IF(OR(A287="",T287=""),"",T287-TODAY())</f>
        <v/>
      </c>
      <c r="AP287" s="33">
        <f>IF(OR(A287="",V287&lt;&gt;""),"",(TODAY()-B287)+ROW()/1000000)</f>
        <v/>
      </c>
    </row>
    <row r="288" ht="27" customHeight="1">
      <c r="A288" s="30" t="n"/>
      <c r="B288" s="31" t="n"/>
      <c r="C288" s="32" t="n"/>
      <c r="D288" s="32" t="n"/>
      <c r="E288" s="32" t="n"/>
      <c r="F288" s="32" t="n"/>
      <c r="G288" s="33">
        <f>IF(A288="","",IFERROR(INDEX(OffCat,MATCH(F288,OffList,0)),"Unlisted"))</f>
        <v/>
      </c>
      <c r="H288" s="30" t="n"/>
      <c r="I288" s="31" t="n"/>
      <c r="J288" s="34" t="n"/>
      <c r="K288" s="34" t="n"/>
      <c r="L288" s="34" t="n"/>
      <c r="M288" s="30" t="n"/>
      <c r="N288" s="30" t="n"/>
      <c r="O288" s="30" t="n"/>
      <c r="P288" s="30" t="n"/>
      <c r="Q288" s="31" t="n"/>
      <c r="R288" s="31" t="n"/>
      <c r="S288" s="31" t="n"/>
      <c r="T288" s="31" t="n"/>
      <c r="U288" s="31" t="n"/>
      <c r="V288" s="31" t="n"/>
      <c r="W288" s="30" t="n"/>
      <c r="X288" s="31" t="n"/>
      <c r="Y288" s="35" t="n"/>
      <c r="Z288" s="35" t="n"/>
      <c r="AA288" s="35" t="n"/>
      <c r="AB288" s="35" t="n"/>
      <c r="AC288" s="35" t="n"/>
      <c r="AD288" s="35" t="n"/>
      <c r="AE288" s="35" t="n"/>
      <c r="AF288" s="35" t="n"/>
      <c r="AG288" s="36">
        <f>IF(A288="","",IF(V288&lt;&gt;"",V288-B288,TODAY()-B288))</f>
        <v/>
      </c>
      <c r="AH288" s="36">
        <f>IF(OR(A288="",I288=""),"",MAX(0,IF(V288&lt;&gt;"",V288-I288,TODAY()-I288)))</f>
        <v/>
      </c>
      <c r="AI288" s="37">
        <f>IF(A288="","",IF(OR(K288="Closed",V288&lt;&gt;""),"Closed",IF(AH288&gt;=AgeCrit,"Critical",IF(AH288&gt;=AgeFu,"For Follow-up",IF(AH288&gt;=AgeMonitor,"Monitor","Within Standard")))))</f>
        <v/>
      </c>
      <c r="AJ288" s="38">
        <f>IF(A288="","",IFERROR(INDEX(StgPct,MATCH(H288,StgList,0)),0))</f>
        <v/>
      </c>
      <c r="AK288" s="38">
        <f>IF(A288="","",IFERROR(COUNTIF(Y288:AF288,"Y")/(COUNTIF(Y288:AF288,"Y")+COUNTIF(Y288:AF288,"N")),0))</f>
        <v/>
      </c>
      <c r="AL288" s="36">
        <f>IF(OR(A288="",X288=""),"",MAX(0,IF(V288&lt;&gt;"",V288,TODAY())-X288))</f>
        <v/>
      </c>
      <c r="AM288" s="32" t="n"/>
      <c r="AN288" s="33">
        <f>IF(A288="","",LOWER(AI288)&amp;"|"&amp;AH288&amp;"|"&amp;AJ288&amp;"|"&amp;AK288)</f>
        <v/>
      </c>
      <c r="AO288" s="33">
        <f>IF(OR(A288="",T288=""),"",T288-TODAY())</f>
        <v/>
      </c>
      <c r="AP288" s="33">
        <f>IF(OR(A288="",V288&lt;&gt;""),"",(TODAY()-B288)+ROW()/1000000)</f>
        <v/>
      </c>
    </row>
    <row r="289" ht="27" customHeight="1">
      <c r="A289" s="30" t="n"/>
      <c r="B289" s="31" t="n"/>
      <c r="C289" s="32" t="n"/>
      <c r="D289" s="32" t="n"/>
      <c r="E289" s="32" t="n"/>
      <c r="F289" s="32" t="n"/>
      <c r="G289" s="33">
        <f>IF(A289="","",IFERROR(INDEX(OffCat,MATCH(F289,OffList,0)),"Unlisted"))</f>
        <v/>
      </c>
      <c r="H289" s="30" t="n"/>
      <c r="I289" s="31" t="n"/>
      <c r="J289" s="34" t="n"/>
      <c r="K289" s="34" t="n"/>
      <c r="L289" s="34" t="n"/>
      <c r="M289" s="30" t="n"/>
      <c r="N289" s="30" t="n"/>
      <c r="O289" s="30" t="n"/>
      <c r="P289" s="30" t="n"/>
      <c r="Q289" s="31" t="n"/>
      <c r="R289" s="31" t="n"/>
      <c r="S289" s="31" t="n"/>
      <c r="T289" s="31" t="n"/>
      <c r="U289" s="31" t="n"/>
      <c r="V289" s="31" t="n"/>
      <c r="W289" s="30" t="n"/>
      <c r="X289" s="31" t="n"/>
      <c r="Y289" s="35" t="n"/>
      <c r="Z289" s="35" t="n"/>
      <c r="AA289" s="35" t="n"/>
      <c r="AB289" s="35" t="n"/>
      <c r="AC289" s="35" t="n"/>
      <c r="AD289" s="35" t="n"/>
      <c r="AE289" s="35" t="n"/>
      <c r="AF289" s="35" t="n"/>
      <c r="AG289" s="36">
        <f>IF(A289="","",IF(V289&lt;&gt;"",V289-B289,TODAY()-B289))</f>
        <v/>
      </c>
      <c r="AH289" s="36">
        <f>IF(OR(A289="",I289=""),"",MAX(0,IF(V289&lt;&gt;"",V289-I289,TODAY()-I289)))</f>
        <v/>
      </c>
      <c r="AI289" s="37">
        <f>IF(A289="","",IF(OR(K289="Closed",V289&lt;&gt;""),"Closed",IF(AH289&gt;=AgeCrit,"Critical",IF(AH289&gt;=AgeFu,"For Follow-up",IF(AH289&gt;=AgeMonitor,"Monitor","Within Standard")))))</f>
        <v/>
      </c>
      <c r="AJ289" s="38">
        <f>IF(A289="","",IFERROR(INDEX(StgPct,MATCH(H289,StgList,0)),0))</f>
        <v/>
      </c>
      <c r="AK289" s="38">
        <f>IF(A289="","",IFERROR(COUNTIF(Y289:AF289,"Y")/(COUNTIF(Y289:AF289,"Y")+COUNTIF(Y289:AF289,"N")),0))</f>
        <v/>
      </c>
      <c r="AL289" s="36">
        <f>IF(OR(A289="",X289=""),"",MAX(0,IF(V289&lt;&gt;"",V289,TODAY())-X289))</f>
        <v/>
      </c>
      <c r="AM289" s="32" t="n"/>
      <c r="AN289" s="33">
        <f>IF(A289="","",LOWER(AI289)&amp;"|"&amp;AH289&amp;"|"&amp;AJ289&amp;"|"&amp;AK289)</f>
        <v/>
      </c>
      <c r="AO289" s="33">
        <f>IF(OR(A289="",T289=""),"",T289-TODAY())</f>
        <v/>
      </c>
      <c r="AP289" s="33">
        <f>IF(OR(A289="",V289&lt;&gt;""),"",(TODAY()-B289)+ROW()/1000000)</f>
        <v/>
      </c>
    </row>
    <row r="290" ht="27" customHeight="1">
      <c r="A290" s="30" t="n"/>
      <c r="B290" s="31" t="n"/>
      <c r="C290" s="32" t="n"/>
      <c r="D290" s="32" t="n"/>
      <c r="E290" s="32" t="n"/>
      <c r="F290" s="32" t="n"/>
      <c r="G290" s="33">
        <f>IF(A290="","",IFERROR(INDEX(OffCat,MATCH(F290,OffList,0)),"Unlisted"))</f>
        <v/>
      </c>
      <c r="H290" s="30" t="n"/>
      <c r="I290" s="31" t="n"/>
      <c r="J290" s="34" t="n"/>
      <c r="K290" s="34" t="n"/>
      <c r="L290" s="34" t="n"/>
      <c r="M290" s="30" t="n"/>
      <c r="N290" s="30" t="n"/>
      <c r="O290" s="30" t="n"/>
      <c r="P290" s="30" t="n"/>
      <c r="Q290" s="31" t="n"/>
      <c r="R290" s="31" t="n"/>
      <c r="S290" s="31" t="n"/>
      <c r="T290" s="31" t="n"/>
      <c r="U290" s="31" t="n"/>
      <c r="V290" s="31" t="n"/>
      <c r="W290" s="30" t="n"/>
      <c r="X290" s="31" t="n"/>
      <c r="Y290" s="35" t="n"/>
      <c r="Z290" s="35" t="n"/>
      <c r="AA290" s="35" t="n"/>
      <c r="AB290" s="35" t="n"/>
      <c r="AC290" s="35" t="n"/>
      <c r="AD290" s="35" t="n"/>
      <c r="AE290" s="35" t="n"/>
      <c r="AF290" s="35" t="n"/>
      <c r="AG290" s="36">
        <f>IF(A290="","",IF(V290&lt;&gt;"",V290-B290,TODAY()-B290))</f>
        <v/>
      </c>
      <c r="AH290" s="36">
        <f>IF(OR(A290="",I290=""),"",MAX(0,IF(V290&lt;&gt;"",V290-I290,TODAY()-I290)))</f>
        <v/>
      </c>
      <c r="AI290" s="37">
        <f>IF(A290="","",IF(OR(K290="Closed",V290&lt;&gt;""),"Closed",IF(AH290&gt;=AgeCrit,"Critical",IF(AH290&gt;=AgeFu,"For Follow-up",IF(AH290&gt;=AgeMonitor,"Monitor","Within Standard")))))</f>
        <v/>
      </c>
      <c r="AJ290" s="38">
        <f>IF(A290="","",IFERROR(INDEX(StgPct,MATCH(H290,StgList,0)),0))</f>
        <v/>
      </c>
      <c r="AK290" s="38">
        <f>IF(A290="","",IFERROR(COUNTIF(Y290:AF290,"Y")/(COUNTIF(Y290:AF290,"Y")+COUNTIF(Y290:AF290,"N")),0))</f>
        <v/>
      </c>
      <c r="AL290" s="36">
        <f>IF(OR(A290="",X290=""),"",MAX(0,IF(V290&lt;&gt;"",V290,TODAY())-X290))</f>
        <v/>
      </c>
      <c r="AM290" s="32" t="n"/>
      <c r="AN290" s="33">
        <f>IF(A290="","",LOWER(AI290)&amp;"|"&amp;AH290&amp;"|"&amp;AJ290&amp;"|"&amp;AK290)</f>
        <v/>
      </c>
      <c r="AO290" s="33">
        <f>IF(OR(A290="",T290=""),"",T290-TODAY())</f>
        <v/>
      </c>
      <c r="AP290" s="33">
        <f>IF(OR(A290="",V290&lt;&gt;""),"",(TODAY()-B290)+ROW()/1000000)</f>
        <v/>
      </c>
    </row>
    <row r="291" ht="27" customHeight="1">
      <c r="A291" s="30" t="n"/>
      <c r="B291" s="31" t="n"/>
      <c r="C291" s="32" t="n"/>
      <c r="D291" s="32" t="n"/>
      <c r="E291" s="32" t="n"/>
      <c r="F291" s="32" t="n"/>
      <c r="G291" s="33">
        <f>IF(A291="","",IFERROR(INDEX(OffCat,MATCH(F291,OffList,0)),"Unlisted"))</f>
        <v/>
      </c>
      <c r="H291" s="30" t="n"/>
      <c r="I291" s="31" t="n"/>
      <c r="J291" s="34" t="n"/>
      <c r="K291" s="34" t="n"/>
      <c r="L291" s="34" t="n"/>
      <c r="M291" s="30" t="n"/>
      <c r="N291" s="30" t="n"/>
      <c r="O291" s="30" t="n"/>
      <c r="P291" s="30" t="n"/>
      <c r="Q291" s="31" t="n"/>
      <c r="R291" s="31" t="n"/>
      <c r="S291" s="31" t="n"/>
      <c r="T291" s="31" t="n"/>
      <c r="U291" s="31" t="n"/>
      <c r="V291" s="31" t="n"/>
      <c r="W291" s="30" t="n"/>
      <c r="X291" s="31" t="n"/>
      <c r="Y291" s="35" t="n"/>
      <c r="Z291" s="35" t="n"/>
      <c r="AA291" s="35" t="n"/>
      <c r="AB291" s="35" t="n"/>
      <c r="AC291" s="35" t="n"/>
      <c r="AD291" s="35" t="n"/>
      <c r="AE291" s="35" t="n"/>
      <c r="AF291" s="35" t="n"/>
      <c r="AG291" s="36">
        <f>IF(A291="","",IF(V291&lt;&gt;"",V291-B291,TODAY()-B291))</f>
        <v/>
      </c>
      <c r="AH291" s="36">
        <f>IF(OR(A291="",I291=""),"",MAX(0,IF(V291&lt;&gt;"",V291-I291,TODAY()-I291)))</f>
        <v/>
      </c>
      <c r="AI291" s="37">
        <f>IF(A291="","",IF(OR(K291="Closed",V291&lt;&gt;""),"Closed",IF(AH291&gt;=AgeCrit,"Critical",IF(AH291&gt;=AgeFu,"For Follow-up",IF(AH291&gt;=AgeMonitor,"Monitor","Within Standard")))))</f>
        <v/>
      </c>
      <c r="AJ291" s="38">
        <f>IF(A291="","",IFERROR(INDEX(StgPct,MATCH(H291,StgList,0)),0))</f>
        <v/>
      </c>
      <c r="AK291" s="38">
        <f>IF(A291="","",IFERROR(COUNTIF(Y291:AF291,"Y")/(COUNTIF(Y291:AF291,"Y")+COUNTIF(Y291:AF291,"N")),0))</f>
        <v/>
      </c>
      <c r="AL291" s="36">
        <f>IF(OR(A291="",X291=""),"",MAX(0,IF(V291&lt;&gt;"",V291,TODAY())-X291))</f>
        <v/>
      </c>
      <c r="AM291" s="32" t="n"/>
      <c r="AN291" s="33">
        <f>IF(A291="","",LOWER(AI291)&amp;"|"&amp;AH291&amp;"|"&amp;AJ291&amp;"|"&amp;AK291)</f>
        <v/>
      </c>
      <c r="AO291" s="33">
        <f>IF(OR(A291="",T291=""),"",T291-TODAY())</f>
        <v/>
      </c>
      <c r="AP291" s="33">
        <f>IF(OR(A291="",V291&lt;&gt;""),"",(TODAY()-B291)+ROW()/1000000)</f>
        <v/>
      </c>
    </row>
    <row r="292" ht="27" customHeight="1">
      <c r="A292" s="30" t="n"/>
      <c r="B292" s="31" t="n"/>
      <c r="C292" s="32" t="n"/>
      <c r="D292" s="32" t="n"/>
      <c r="E292" s="32" t="n"/>
      <c r="F292" s="32" t="n"/>
      <c r="G292" s="33">
        <f>IF(A292="","",IFERROR(INDEX(OffCat,MATCH(F292,OffList,0)),"Unlisted"))</f>
        <v/>
      </c>
      <c r="H292" s="30" t="n"/>
      <c r="I292" s="31" t="n"/>
      <c r="J292" s="34" t="n"/>
      <c r="K292" s="34" t="n"/>
      <c r="L292" s="34" t="n"/>
      <c r="M292" s="30" t="n"/>
      <c r="N292" s="30" t="n"/>
      <c r="O292" s="30" t="n"/>
      <c r="P292" s="30" t="n"/>
      <c r="Q292" s="31" t="n"/>
      <c r="R292" s="31" t="n"/>
      <c r="S292" s="31" t="n"/>
      <c r="T292" s="31" t="n"/>
      <c r="U292" s="31" t="n"/>
      <c r="V292" s="31" t="n"/>
      <c r="W292" s="30" t="n"/>
      <c r="X292" s="31" t="n"/>
      <c r="Y292" s="35" t="n"/>
      <c r="Z292" s="35" t="n"/>
      <c r="AA292" s="35" t="n"/>
      <c r="AB292" s="35" t="n"/>
      <c r="AC292" s="35" t="n"/>
      <c r="AD292" s="35" t="n"/>
      <c r="AE292" s="35" t="n"/>
      <c r="AF292" s="35" t="n"/>
      <c r="AG292" s="36">
        <f>IF(A292="","",IF(V292&lt;&gt;"",V292-B292,TODAY()-B292))</f>
        <v/>
      </c>
      <c r="AH292" s="36">
        <f>IF(OR(A292="",I292=""),"",MAX(0,IF(V292&lt;&gt;"",V292-I292,TODAY()-I292)))</f>
        <v/>
      </c>
      <c r="AI292" s="37">
        <f>IF(A292="","",IF(OR(K292="Closed",V292&lt;&gt;""),"Closed",IF(AH292&gt;=AgeCrit,"Critical",IF(AH292&gt;=AgeFu,"For Follow-up",IF(AH292&gt;=AgeMonitor,"Monitor","Within Standard")))))</f>
        <v/>
      </c>
      <c r="AJ292" s="38">
        <f>IF(A292="","",IFERROR(INDEX(StgPct,MATCH(H292,StgList,0)),0))</f>
        <v/>
      </c>
      <c r="AK292" s="38">
        <f>IF(A292="","",IFERROR(COUNTIF(Y292:AF292,"Y")/(COUNTIF(Y292:AF292,"Y")+COUNTIF(Y292:AF292,"N")),0))</f>
        <v/>
      </c>
      <c r="AL292" s="36">
        <f>IF(OR(A292="",X292=""),"",MAX(0,IF(V292&lt;&gt;"",V292,TODAY())-X292))</f>
        <v/>
      </c>
      <c r="AM292" s="32" t="n"/>
      <c r="AN292" s="33">
        <f>IF(A292="","",LOWER(AI292)&amp;"|"&amp;AH292&amp;"|"&amp;AJ292&amp;"|"&amp;AK292)</f>
        <v/>
      </c>
      <c r="AO292" s="33">
        <f>IF(OR(A292="",T292=""),"",T292-TODAY())</f>
        <v/>
      </c>
      <c r="AP292" s="33">
        <f>IF(OR(A292="",V292&lt;&gt;""),"",(TODAY()-B292)+ROW()/1000000)</f>
        <v/>
      </c>
    </row>
    <row r="293" ht="27" customHeight="1">
      <c r="A293" s="30" t="n"/>
      <c r="B293" s="31" t="n"/>
      <c r="C293" s="32" t="n"/>
      <c r="D293" s="32" t="n"/>
      <c r="E293" s="32" t="n"/>
      <c r="F293" s="32" t="n"/>
      <c r="G293" s="33">
        <f>IF(A293="","",IFERROR(INDEX(OffCat,MATCH(F293,OffList,0)),"Unlisted"))</f>
        <v/>
      </c>
      <c r="H293" s="30" t="n"/>
      <c r="I293" s="31" t="n"/>
      <c r="J293" s="34" t="n"/>
      <c r="K293" s="34" t="n"/>
      <c r="L293" s="34" t="n"/>
      <c r="M293" s="30" t="n"/>
      <c r="N293" s="30" t="n"/>
      <c r="O293" s="30" t="n"/>
      <c r="P293" s="30" t="n"/>
      <c r="Q293" s="31" t="n"/>
      <c r="R293" s="31" t="n"/>
      <c r="S293" s="31" t="n"/>
      <c r="T293" s="31" t="n"/>
      <c r="U293" s="31" t="n"/>
      <c r="V293" s="31" t="n"/>
      <c r="W293" s="30" t="n"/>
      <c r="X293" s="31" t="n"/>
      <c r="Y293" s="35" t="n"/>
      <c r="Z293" s="35" t="n"/>
      <c r="AA293" s="35" t="n"/>
      <c r="AB293" s="35" t="n"/>
      <c r="AC293" s="35" t="n"/>
      <c r="AD293" s="35" t="n"/>
      <c r="AE293" s="35" t="n"/>
      <c r="AF293" s="35" t="n"/>
      <c r="AG293" s="36">
        <f>IF(A293="","",IF(V293&lt;&gt;"",V293-B293,TODAY()-B293))</f>
        <v/>
      </c>
      <c r="AH293" s="36">
        <f>IF(OR(A293="",I293=""),"",MAX(0,IF(V293&lt;&gt;"",V293-I293,TODAY()-I293)))</f>
        <v/>
      </c>
      <c r="AI293" s="37">
        <f>IF(A293="","",IF(OR(K293="Closed",V293&lt;&gt;""),"Closed",IF(AH293&gt;=AgeCrit,"Critical",IF(AH293&gt;=AgeFu,"For Follow-up",IF(AH293&gt;=AgeMonitor,"Monitor","Within Standard")))))</f>
        <v/>
      </c>
      <c r="AJ293" s="38">
        <f>IF(A293="","",IFERROR(INDEX(StgPct,MATCH(H293,StgList,0)),0))</f>
        <v/>
      </c>
      <c r="AK293" s="38">
        <f>IF(A293="","",IFERROR(COUNTIF(Y293:AF293,"Y")/(COUNTIF(Y293:AF293,"Y")+COUNTIF(Y293:AF293,"N")),0))</f>
        <v/>
      </c>
      <c r="AL293" s="36">
        <f>IF(OR(A293="",X293=""),"",MAX(0,IF(V293&lt;&gt;"",V293,TODAY())-X293))</f>
        <v/>
      </c>
      <c r="AM293" s="32" t="n"/>
      <c r="AN293" s="33">
        <f>IF(A293="","",LOWER(AI293)&amp;"|"&amp;AH293&amp;"|"&amp;AJ293&amp;"|"&amp;AK293)</f>
        <v/>
      </c>
      <c r="AO293" s="33">
        <f>IF(OR(A293="",T293=""),"",T293-TODAY())</f>
        <v/>
      </c>
      <c r="AP293" s="33">
        <f>IF(OR(A293="",V293&lt;&gt;""),"",(TODAY()-B293)+ROW()/1000000)</f>
        <v/>
      </c>
    </row>
    <row r="294" ht="27" customHeight="1">
      <c r="A294" s="30" t="n"/>
      <c r="B294" s="31" t="n"/>
      <c r="C294" s="32" t="n"/>
      <c r="D294" s="32" t="n"/>
      <c r="E294" s="32" t="n"/>
      <c r="F294" s="32" t="n"/>
      <c r="G294" s="33">
        <f>IF(A294="","",IFERROR(INDEX(OffCat,MATCH(F294,OffList,0)),"Unlisted"))</f>
        <v/>
      </c>
      <c r="H294" s="30" t="n"/>
      <c r="I294" s="31" t="n"/>
      <c r="J294" s="34" t="n"/>
      <c r="K294" s="34" t="n"/>
      <c r="L294" s="34" t="n"/>
      <c r="M294" s="30" t="n"/>
      <c r="N294" s="30" t="n"/>
      <c r="O294" s="30" t="n"/>
      <c r="P294" s="30" t="n"/>
      <c r="Q294" s="31" t="n"/>
      <c r="R294" s="31" t="n"/>
      <c r="S294" s="31" t="n"/>
      <c r="T294" s="31" t="n"/>
      <c r="U294" s="31" t="n"/>
      <c r="V294" s="31" t="n"/>
      <c r="W294" s="30" t="n"/>
      <c r="X294" s="31" t="n"/>
      <c r="Y294" s="35" t="n"/>
      <c r="Z294" s="35" t="n"/>
      <c r="AA294" s="35" t="n"/>
      <c r="AB294" s="35" t="n"/>
      <c r="AC294" s="35" t="n"/>
      <c r="AD294" s="35" t="n"/>
      <c r="AE294" s="35" t="n"/>
      <c r="AF294" s="35" t="n"/>
      <c r="AG294" s="36">
        <f>IF(A294="","",IF(V294&lt;&gt;"",V294-B294,TODAY()-B294))</f>
        <v/>
      </c>
      <c r="AH294" s="36">
        <f>IF(OR(A294="",I294=""),"",MAX(0,IF(V294&lt;&gt;"",V294-I294,TODAY()-I294)))</f>
        <v/>
      </c>
      <c r="AI294" s="37">
        <f>IF(A294="","",IF(OR(K294="Closed",V294&lt;&gt;""),"Closed",IF(AH294&gt;=AgeCrit,"Critical",IF(AH294&gt;=AgeFu,"For Follow-up",IF(AH294&gt;=AgeMonitor,"Monitor","Within Standard")))))</f>
        <v/>
      </c>
      <c r="AJ294" s="38">
        <f>IF(A294="","",IFERROR(INDEX(StgPct,MATCH(H294,StgList,0)),0))</f>
        <v/>
      </c>
      <c r="AK294" s="38">
        <f>IF(A294="","",IFERROR(COUNTIF(Y294:AF294,"Y")/(COUNTIF(Y294:AF294,"Y")+COUNTIF(Y294:AF294,"N")),0))</f>
        <v/>
      </c>
      <c r="AL294" s="36">
        <f>IF(OR(A294="",X294=""),"",MAX(0,IF(V294&lt;&gt;"",V294,TODAY())-X294))</f>
        <v/>
      </c>
      <c r="AM294" s="32" t="n"/>
      <c r="AN294" s="33">
        <f>IF(A294="","",LOWER(AI294)&amp;"|"&amp;AH294&amp;"|"&amp;AJ294&amp;"|"&amp;AK294)</f>
        <v/>
      </c>
      <c r="AO294" s="33">
        <f>IF(OR(A294="",T294=""),"",T294-TODAY())</f>
        <v/>
      </c>
      <c r="AP294" s="33">
        <f>IF(OR(A294="",V294&lt;&gt;""),"",(TODAY()-B294)+ROW()/1000000)</f>
        <v/>
      </c>
    </row>
    <row r="295" ht="27" customHeight="1">
      <c r="A295" s="30" t="n"/>
      <c r="B295" s="31" t="n"/>
      <c r="C295" s="32" t="n"/>
      <c r="D295" s="32" t="n"/>
      <c r="E295" s="32" t="n"/>
      <c r="F295" s="32" t="n"/>
      <c r="G295" s="33">
        <f>IF(A295="","",IFERROR(INDEX(OffCat,MATCH(F295,OffList,0)),"Unlisted"))</f>
        <v/>
      </c>
      <c r="H295" s="30" t="n"/>
      <c r="I295" s="31" t="n"/>
      <c r="J295" s="34" t="n"/>
      <c r="K295" s="34" t="n"/>
      <c r="L295" s="34" t="n"/>
      <c r="M295" s="30" t="n"/>
      <c r="N295" s="30" t="n"/>
      <c r="O295" s="30" t="n"/>
      <c r="P295" s="30" t="n"/>
      <c r="Q295" s="31" t="n"/>
      <c r="R295" s="31" t="n"/>
      <c r="S295" s="31" t="n"/>
      <c r="T295" s="31" t="n"/>
      <c r="U295" s="31" t="n"/>
      <c r="V295" s="31" t="n"/>
      <c r="W295" s="30" t="n"/>
      <c r="X295" s="31" t="n"/>
      <c r="Y295" s="35" t="n"/>
      <c r="Z295" s="35" t="n"/>
      <c r="AA295" s="35" t="n"/>
      <c r="AB295" s="35" t="n"/>
      <c r="AC295" s="35" t="n"/>
      <c r="AD295" s="35" t="n"/>
      <c r="AE295" s="35" t="n"/>
      <c r="AF295" s="35" t="n"/>
      <c r="AG295" s="36">
        <f>IF(A295="","",IF(V295&lt;&gt;"",V295-B295,TODAY()-B295))</f>
        <v/>
      </c>
      <c r="AH295" s="36">
        <f>IF(OR(A295="",I295=""),"",MAX(0,IF(V295&lt;&gt;"",V295-I295,TODAY()-I295)))</f>
        <v/>
      </c>
      <c r="AI295" s="37">
        <f>IF(A295="","",IF(OR(K295="Closed",V295&lt;&gt;""),"Closed",IF(AH295&gt;=AgeCrit,"Critical",IF(AH295&gt;=AgeFu,"For Follow-up",IF(AH295&gt;=AgeMonitor,"Monitor","Within Standard")))))</f>
        <v/>
      </c>
      <c r="AJ295" s="38">
        <f>IF(A295="","",IFERROR(INDEX(StgPct,MATCH(H295,StgList,0)),0))</f>
        <v/>
      </c>
      <c r="AK295" s="38">
        <f>IF(A295="","",IFERROR(COUNTIF(Y295:AF295,"Y")/(COUNTIF(Y295:AF295,"Y")+COUNTIF(Y295:AF295,"N")),0))</f>
        <v/>
      </c>
      <c r="AL295" s="36">
        <f>IF(OR(A295="",X295=""),"",MAX(0,IF(V295&lt;&gt;"",V295,TODAY())-X295))</f>
        <v/>
      </c>
      <c r="AM295" s="32" t="n"/>
      <c r="AN295" s="33">
        <f>IF(A295="","",LOWER(AI295)&amp;"|"&amp;AH295&amp;"|"&amp;AJ295&amp;"|"&amp;AK295)</f>
        <v/>
      </c>
      <c r="AO295" s="33">
        <f>IF(OR(A295="",T295=""),"",T295-TODAY())</f>
        <v/>
      </c>
      <c r="AP295" s="33">
        <f>IF(OR(A295="",V295&lt;&gt;""),"",(TODAY()-B295)+ROW()/1000000)</f>
        <v/>
      </c>
    </row>
    <row r="296" ht="27" customHeight="1">
      <c r="A296" s="30" t="n"/>
      <c r="B296" s="31" t="n"/>
      <c r="C296" s="32" t="n"/>
      <c r="D296" s="32" t="n"/>
      <c r="E296" s="32" t="n"/>
      <c r="F296" s="32" t="n"/>
      <c r="G296" s="33">
        <f>IF(A296="","",IFERROR(INDEX(OffCat,MATCH(F296,OffList,0)),"Unlisted"))</f>
        <v/>
      </c>
      <c r="H296" s="30" t="n"/>
      <c r="I296" s="31" t="n"/>
      <c r="J296" s="34" t="n"/>
      <c r="K296" s="34" t="n"/>
      <c r="L296" s="34" t="n"/>
      <c r="M296" s="30" t="n"/>
      <c r="N296" s="30" t="n"/>
      <c r="O296" s="30" t="n"/>
      <c r="P296" s="30" t="n"/>
      <c r="Q296" s="31" t="n"/>
      <c r="R296" s="31" t="n"/>
      <c r="S296" s="31" t="n"/>
      <c r="T296" s="31" t="n"/>
      <c r="U296" s="31" t="n"/>
      <c r="V296" s="31" t="n"/>
      <c r="W296" s="30" t="n"/>
      <c r="X296" s="31" t="n"/>
      <c r="Y296" s="35" t="n"/>
      <c r="Z296" s="35" t="n"/>
      <c r="AA296" s="35" t="n"/>
      <c r="AB296" s="35" t="n"/>
      <c r="AC296" s="35" t="n"/>
      <c r="AD296" s="35" t="n"/>
      <c r="AE296" s="35" t="n"/>
      <c r="AF296" s="35" t="n"/>
      <c r="AG296" s="36">
        <f>IF(A296="","",IF(V296&lt;&gt;"",V296-B296,TODAY()-B296))</f>
        <v/>
      </c>
      <c r="AH296" s="36">
        <f>IF(OR(A296="",I296=""),"",MAX(0,IF(V296&lt;&gt;"",V296-I296,TODAY()-I296)))</f>
        <v/>
      </c>
      <c r="AI296" s="37">
        <f>IF(A296="","",IF(OR(K296="Closed",V296&lt;&gt;""),"Closed",IF(AH296&gt;=AgeCrit,"Critical",IF(AH296&gt;=AgeFu,"For Follow-up",IF(AH296&gt;=AgeMonitor,"Monitor","Within Standard")))))</f>
        <v/>
      </c>
      <c r="AJ296" s="38">
        <f>IF(A296="","",IFERROR(INDEX(StgPct,MATCH(H296,StgList,0)),0))</f>
        <v/>
      </c>
      <c r="AK296" s="38">
        <f>IF(A296="","",IFERROR(COUNTIF(Y296:AF296,"Y")/(COUNTIF(Y296:AF296,"Y")+COUNTIF(Y296:AF296,"N")),0))</f>
        <v/>
      </c>
      <c r="AL296" s="36">
        <f>IF(OR(A296="",X296=""),"",MAX(0,IF(V296&lt;&gt;"",V296,TODAY())-X296))</f>
        <v/>
      </c>
      <c r="AM296" s="32" t="n"/>
      <c r="AN296" s="33">
        <f>IF(A296="","",LOWER(AI296)&amp;"|"&amp;AH296&amp;"|"&amp;AJ296&amp;"|"&amp;AK296)</f>
        <v/>
      </c>
      <c r="AO296" s="33">
        <f>IF(OR(A296="",T296=""),"",T296-TODAY())</f>
        <v/>
      </c>
      <c r="AP296" s="33">
        <f>IF(OR(A296="",V296&lt;&gt;""),"",(TODAY()-B296)+ROW()/1000000)</f>
        <v/>
      </c>
    </row>
    <row r="297" ht="27" customHeight="1">
      <c r="A297" s="30" t="n"/>
      <c r="B297" s="31" t="n"/>
      <c r="C297" s="32" t="n"/>
      <c r="D297" s="32" t="n"/>
      <c r="E297" s="32" t="n"/>
      <c r="F297" s="32" t="n"/>
      <c r="G297" s="33">
        <f>IF(A297="","",IFERROR(INDEX(OffCat,MATCH(F297,OffList,0)),"Unlisted"))</f>
        <v/>
      </c>
      <c r="H297" s="30" t="n"/>
      <c r="I297" s="31" t="n"/>
      <c r="J297" s="34" t="n"/>
      <c r="K297" s="34" t="n"/>
      <c r="L297" s="34" t="n"/>
      <c r="M297" s="30" t="n"/>
      <c r="N297" s="30" t="n"/>
      <c r="O297" s="30" t="n"/>
      <c r="P297" s="30" t="n"/>
      <c r="Q297" s="31" t="n"/>
      <c r="R297" s="31" t="n"/>
      <c r="S297" s="31" t="n"/>
      <c r="T297" s="31" t="n"/>
      <c r="U297" s="31" t="n"/>
      <c r="V297" s="31" t="n"/>
      <c r="W297" s="30" t="n"/>
      <c r="X297" s="31" t="n"/>
      <c r="Y297" s="35" t="n"/>
      <c r="Z297" s="35" t="n"/>
      <c r="AA297" s="35" t="n"/>
      <c r="AB297" s="35" t="n"/>
      <c r="AC297" s="35" t="n"/>
      <c r="AD297" s="35" t="n"/>
      <c r="AE297" s="35" t="n"/>
      <c r="AF297" s="35" t="n"/>
      <c r="AG297" s="36">
        <f>IF(A297="","",IF(V297&lt;&gt;"",V297-B297,TODAY()-B297))</f>
        <v/>
      </c>
      <c r="AH297" s="36">
        <f>IF(OR(A297="",I297=""),"",MAX(0,IF(V297&lt;&gt;"",V297-I297,TODAY()-I297)))</f>
        <v/>
      </c>
      <c r="AI297" s="37">
        <f>IF(A297="","",IF(OR(K297="Closed",V297&lt;&gt;""),"Closed",IF(AH297&gt;=AgeCrit,"Critical",IF(AH297&gt;=AgeFu,"For Follow-up",IF(AH297&gt;=AgeMonitor,"Monitor","Within Standard")))))</f>
        <v/>
      </c>
      <c r="AJ297" s="38">
        <f>IF(A297="","",IFERROR(INDEX(StgPct,MATCH(H297,StgList,0)),0))</f>
        <v/>
      </c>
      <c r="AK297" s="38">
        <f>IF(A297="","",IFERROR(COUNTIF(Y297:AF297,"Y")/(COUNTIF(Y297:AF297,"Y")+COUNTIF(Y297:AF297,"N")),0))</f>
        <v/>
      </c>
      <c r="AL297" s="36">
        <f>IF(OR(A297="",X297=""),"",MAX(0,IF(V297&lt;&gt;"",V297,TODAY())-X297))</f>
        <v/>
      </c>
      <c r="AM297" s="32" t="n"/>
      <c r="AN297" s="33">
        <f>IF(A297="","",LOWER(AI297)&amp;"|"&amp;AH297&amp;"|"&amp;AJ297&amp;"|"&amp;AK297)</f>
        <v/>
      </c>
      <c r="AO297" s="33">
        <f>IF(OR(A297="",T297=""),"",T297-TODAY())</f>
        <v/>
      </c>
      <c r="AP297" s="33">
        <f>IF(OR(A297="",V297&lt;&gt;""),"",(TODAY()-B297)+ROW()/1000000)</f>
        <v/>
      </c>
    </row>
    <row r="298" ht="27" customHeight="1">
      <c r="A298" s="30" t="n"/>
      <c r="B298" s="31" t="n"/>
      <c r="C298" s="32" t="n"/>
      <c r="D298" s="32" t="n"/>
      <c r="E298" s="32" t="n"/>
      <c r="F298" s="32" t="n"/>
      <c r="G298" s="33">
        <f>IF(A298="","",IFERROR(INDEX(OffCat,MATCH(F298,OffList,0)),"Unlisted"))</f>
        <v/>
      </c>
      <c r="H298" s="30" t="n"/>
      <c r="I298" s="31" t="n"/>
      <c r="J298" s="34" t="n"/>
      <c r="K298" s="34" t="n"/>
      <c r="L298" s="34" t="n"/>
      <c r="M298" s="30" t="n"/>
      <c r="N298" s="30" t="n"/>
      <c r="O298" s="30" t="n"/>
      <c r="P298" s="30" t="n"/>
      <c r="Q298" s="31" t="n"/>
      <c r="R298" s="31" t="n"/>
      <c r="S298" s="31" t="n"/>
      <c r="T298" s="31" t="n"/>
      <c r="U298" s="31" t="n"/>
      <c r="V298" s="31" t="n"/>
      <c r="W298" s="30" t="n"/>
      <c r="X298" s="31" t="n"/>
      <c r="Y298" s="35" t="n"/>
      <c r="Z298" s="35" t="n"/>
      <c r="AA298" s="35" t="n"/>
      <c r="AB298" s="35" t="n"/>
      <c r="AC298" s="35" t="n"/>
      <c r="AD298" s="35" t="n"/>
      <c r="AE298" s="35" t="n"/>
      <c r="AF298" s="35" t="n"/>
      <c r="AG298" s="36">
        <f>IF(A298="","",IF(V298&lt;&gt;"",V298-B298,TODAY()-B298))</f>
        <v/>
      </c>
      <c r="AH298" s="36">
        <f>IF(OR(A298="",I298=""),"",MAX(0,IF(V298&lt;&gt;"",V298-I298,TODAY()-I298)))</f>
        <v/>
      </c>
      <c r="AI298" s="37">
        <f>IF(A298="","",IF(OR(K298="Closed",V298&lt;&gt;""),"Closed",IF(AH298&gt;=AgeCrit,"Critical",IF(AH298&gt;=AgeFu,"For Follow-up",IF(AH298&gt;=AgeMonitor,"Monitor","Within Standard")))))</f>
        <v/>
      </c>
      <c r="AJ298" s="38">
        <f>IF(A298="","",IFERROR(INDEX(StgPct,MATCH(H298,StgList,0)),0))</f>
        <v/>
      </c>
      <c r="AK298" s="38">
        <f>IF(A298="","",IFERROR(COUNTIF(Y298:AF298,"Y")/(COUNTIF(Y298:AF298,"Y")+COUNTIF(Y298:AF298,"N")),0))</f>
        <v/>
      </c>
      <c r="AL298" s="36">
        <f>IF(OR(A298="",X298=""),"",MAX(0,IF(V298&lt;&gt;"",V298,TODAY())-X298))</f>
        <v/>
      </c>
      <c r="AM298" s="32" t="n"/>
      <c r="AN298" s="33">
        <f>IF(A298="","",LOWER(AI298)&amp;"|"&amp;AH298&amp;"|"&amp;AJ298&amp;"|"&amp;AK298)</f>
        <v/>
      </c>
      <c r="AO298" s="33">
        <f>IF(OR(A298="",T298=""),"",T298-TODAY())</f>
        <v/>
      </c>
      <c r="AP298" s="33">
        <f>IF(OR(A298="",V298&lt;&gt;""),"",(TODAY()-B298)+ROW()/1000000)</f>
        <v/>
      </c>
    </row>
    <row r="299" ht="27" customHeight="1">
      <c r="A299" s="30" t="n"/>
      <c r="B299" s="31" t="n"/>
      <c r="C299" s="32" t="n"/>
      <c r="D299" s="32" t="n"/>
      <c r="E299" s="32" t="n"/>
      <c r="F299" s="32" t="n"/>
      <c r="G299" s="33">
        <f>IF(A299="","",IFERROR(INDEX(OffCat,MATCH(F299,OffList,0)),"Unlisted"))</f>
        <v/>
      </c>
      <c r="H299" s="30" t="n"/>
      <c r="I299" s="31" t="n"/>
      <c r="J299" s="34" t="n"/>
      <c r="K299" s="34" t="n"/>
      <c r="L299" s="34" t="n"/>
      <c r="M299" s="30" t="n"/>
      <c r="N299" s="30" t="n"/>
      <c r="O299" s="30" t="n"/>
      <c r="P299" s="30" t="n"/>
      <c r="Q299" s="31" t="n"/>
      <c r="R299" s="31" t="n"/>
      <c r="S299" s="31" t="n"/>
      <c r="T299" s="31" t="n"/>
      <c r="U299" s="31" t="n"/>
      <c r="V299" s="31" t="n"/>
      <c r="W299" s="30" t="n"/>
      <c r="X299" s="31" t="n"/>
      <c r="Y299" s="35" t="n"/>
      <c r="Z299" s="35" t="n"/>
      <c r="AA299" s="35" t="n"/>
      <c r="AB299" s="35" t="n"/>
      <c r="AC299" s="35" t="n"/>
      <c r="AD299" s="35" t="n"/>
      <c r="AE299" s="35" t="n"/>
      <c r="AF299" s="35" t="n"/>
      <c r="AG299" s="36">
        <f>IF(A299="","",IF(V299&lt;&gt;"",V299-B299,TODAY()-B299))</f>
        <v/>
      </c>
      <c r="AH299" s="36">
        <f>IF(OR(A299="",I299=""),"",MAX(0,IF(V299&lt;&gt;"",V299-I299,TODAY()-I299)))</f>
        <v/>
      </c>
      <c r="AI299" s="37">
        <f>IF(A299="","",IF(OR(K299="Closed",V299&lt;&gt;""),"Closed",IF(AH299&gt;=AgeCrit,"Critical",IF(AH299&gt;=AgeFu,"For Follow-up",IF(AH299&gt;=AgeMonitor,"Monitor","Within Standard")))))</f>
        <v/>
      </c>
      <c r="AJ299" s="38">
        <f>IF(A299="","",IFERROR(INDEX(StgPct,MATCH(H299,StgList,0)),0))</f>
        <v/>
      </c>
      <c r="AK299" s="38">
        <f>IF(A299="","",IFERROR(COUNTIF(Y299:AF299,"Y")/(COUNTIF(Y299:AF299,"Y")+COUNTIF(Y299:AF299,"N")),0))</f>
        <v/>
      </c>
      <c r="AL299" s="36">
        <f>IF(OR(A299="",X299=""),"",MAX(0,IF(V299&lt;&gt;"",V299,TODAY())-X299))</f>
        <v/>
      </c>
      <c r="AM299" s="32" t="n"/>
      <c r="AN299" s="33">
        <f>IF(A299="","",LOWER(AI299)&amp;"|"&amp;AH299&amp;"|"&amp;AJ299&amp;"|"&amp;AK299)</f>
        <v/>
      </c>
      <c r="AO299" s="33">
        <f>IF(OR(A299="",T299=""),"",T299-TODAY())</f>
        <v/>
      </c>
      <c r="AP299" s="33">
        <f>IF(OR(A299="",V299&lt;&gt;""),"",(TODAY()-B299)+ROW()/1000000)</f>
        <v/>
      </c>
    </row>
    <row r="300" ht="27" customHeight="1">
      <c r="A300" s="30" t="n"/>
      <c r="B300" s="31" t="n"/>
      <c r="C300" s="32" t="n"/>
      <c r="D300" s="32" t="n"/>
      <c r="E300" s="32" t="n"/>
      <c r="F300" s="32" t="n"/>
      <c r="G300" s="33">
        <f>IF(A300="","",IFERROR(INDEX(OffCat,MATCH(F300,OffList,0)),"Unlisted"))</f>
        <v/>
      </c>
      <c r="H300" s="30" t="n"/>
      <c r="I300" s="31" t="n"/>
      <c r="J300" s="34" t="n"/>
      <c r="K300" s="34" t="n"/>
      <c r="L300" s="34" t="n"/>
      <c r="M300" s="30" t="n"/>
      <c r="N300" s="30" t="n"/>
      <c r="O300" s="30" t="n"/>
      <c r="P300" s="30" t="n"/>
      <c r="Q300" s="31" t="n"/>
      <c r="R300" s="31" t="n"/>
      <c r="S300" s="31" t="n"/>
      <c r="T300" s="31" t="n"/>
      <c r="U300" s="31" t="n"/>
      <c r="V300" s="31" t="n"/>
      <c r="W300" s="30" t="n"/>
      <c r="X300" s="31" t="n"/>
      <c r="Y300" s="35" t="n"/>
      <c r="Z300" s="35" t="n"/>
      <c r="AA300" s="35" t="n"/>
      <c r="AB300" s="35" t="n"/>
      <c r="AC300" s="35" t="n"/>
      <c r="AD300" s="35" t="n"/>
      <c r="AE300" s="35" t="n"/>
      <c r="AF300" s="35" t="n"/>
      <c r="AG300" s="36">
        <f>IF(A300="","",IF(V300&lt;&gt;"",V300-B300,TODAY()-B300))</f>
        <v/>
      </c>
      <c r="AH300" s="36">
        <f>IF(OR(A300="",I300=""),"",MAX(0,IF(V300&lt;&gt;"",V300-I300,TODAY()-I300)))</f>
        <v/>
      </c>
      <c r="AI300" s="37">
        <f>IF(A300="","",IF(OR(K300="Closed",V300&lt;&gt;""),"Closed",IF(AH300&gt;=AgeCrit,"Critical",IF(AH300&gt;=AgeFu,"For Follow-up",IF(AH300&gt;=AgeMonitor,"Monitor","Within Standard")))))</f>
        <v/>
      </c>
      <c r="AJ300" s="38">
        <f>IF(A300="","",IFERROR(INDEX(StgPct,MATCH(H300,StgList,0)),0))</f>
        <v/>
      </c>
      <c r="AK300" s="38">
        <f>IF(A300="","",IFERROR(COUNTIF(Y300:AF300,"Y")/(COUNTIF(Y300:AF300,"Y")+COUNTIF(Y300:AF300,"N")),0))</f>
        <v/>
      </c>
      <c r="AL300" s="36">
        <f>IF(OR(A300="",X300=""),"",MAX(0,IF(V300&lt;&gt;"",V300,TODAY())-X300))</f>
        <v/>
      </c>
      <c r="AM300" s="32" t="n"/>
      <c r="AN300" s="33">
        <f>IF(A300="","",LOWER(AI300)&amp;"|"&amp;AH300&amp;"|"&amp;AJ300&amp;"|"&amp;AK300)</f>
        <v/>
      </c>
      <c r="AO300" s="33">
        <f>IF(OR(A300="",T300=""),"",T300-TODAY())</f>
        <v/>
      </c>
      <c r="AP300" s="33">
        <f>IF(OR(A300="",V300&lt;&gt;""),"",(TODAY()-B300)+ROW()/1000000)</f>
        <v/>
      </c>
    </row>
    <row r="301" ht="27" customHeight="1">
      <c r="A301" s="30" t="n"/>
      <c r="B301" s="31" t="n"/>
      <c r="C301" s="32" t="n"/>
      <c r="D301" s="32" t="n"/>
      <c r="E301" s="32" t="n"/>
      <c r="F301" s="32" t="n"/>
      <c r="G301" s="33">
        <f>IF(A301="","",IFERROR(INDEX(OffCat,MATCH(F301,OffList,0)),"Unlisted"))</f>
        <v/>
      </c>
      <c r="H301" s="30" t="n"/>
      <c r="I301" s="31" t="n"/>
      <c r="J301" s="34" t="n"/>
      <c r="K301" s="34" t="n"/>
      <c r="L301" s="34" t="n"/>
      <c r="M301" s="30" t="n"/>
      <c r="N301" s="30" t="n"/>
      <c r="O301" s="30" t="n"/>
      <c r="P301" s="30" t="n"/>
      <c r="Q301" s="31" t="n"/>
      <c r="R301" s="31" t="n"/>
      <c r="S301" s="31" t="n"/>
      <c r="T301" s="31" t="n"/>
      <c r="U301" s="31" t="n"/>
      <c r="V301" s="31" t="n"/>
      <c r="W301" s="30" t="n"/>
      <c r="X301" s="31" t="n"/>
      <c r="Y301" s="35" t="n"/>
      <c r="Z301" s="35" t="n"/>
      <c r="AA301" s="35" t="n"/>
      <c r="AB301" s="35" t="n"/>
      <c r="AC301" s="35" t="n"/>
      <c r="AD301" s="35" t="n"/>
      <c r="AE301" s="35" t="n"/>
      <c r="AF301" s="35" t="n"/>
      <c r="AG301" s="36">
        <f>IF(A301="","",IF(V301&lt;&gt;"",V301-B301,TODAY()-B301))</f>
        <v/>
      </c>
      <c r="AH301" s="36">
        <f>IF(OR(A301="",I301=""),"",MAX(0,IF(V301&lt;&gt;"",V301-I301,TODAY()-I301)))</f>
        <v/>
      </c>
      <c r="AI301" s="37">
        <f>IF(A301="","",IF(OR(K301="Closed",V301&lt;&gt;""),"Closed",IF(AH301&gt;=AgeCrit,"Critical",IF(AH301&gt;=AgeFu,"For Follow-up",IF(AH301&gt;=AgeMonitor,"Monitor","Within Standard")))))</f>
        <v/>
      </c>
      <c r="AJ301" s="38">
        <f>IF(A301="","",IFERROR(INDEX(StgPct,MATCH(H301,StgList,0)),0))</f>
        <v/>
      </c>
      <c r="AK301" s="38">
        <f>IF(A301="","",IFERROR(COUNTIF(Y301:AF301,"Y")/(COUNTIF(Y301:AF301,"Y")+COUNTIF(Y301:AF301,"N")),0))</f>
        <v/>
      </c>
      <c r="AL301" s="36">
        <f>IF(OR(A301="",X301=""),"",MAX(0,IF(V301&lt;&gt;"",V301,TODAY())-X301))</f>
        <v/>
      </c>
      <c r="AM301" s="32" t="n"/>
      <c r="AN301" s="33">
        <f>IF(A301="","",LOWER(AI301)&amp;"|"&amp;AH301&amp;"|"&amp;AJ301&amp;"|"&amp;AK301)</f>
        <v/>
      </c>
      <c r="AO301" s="33">
        <f>IF(OR(A301="",T301=""),"",T301-TODAY())</f>
        <v/>
      </c>
      <c r="AP301" s="33">
        <f>IF(OR(A301="",V301&lt;&gt;""),"",(TODAY()-B301)+ROW()/1000000)</f>
        <v/>
      </c>
    </row>
    <row r="302" ht="27" customHeight="1">
      <c r="A302" s="30" t="n"/>
      <c r="B302" s="31" t="n"/>
      <c r="C302" s="32" t="n"/>
      <c r="D302" s="32" t="n"/>
      <c r="E302" s="32" t="n"/>
      <c r="F302" s="32" t="n"/>
      <c r="G302" s="33">
        <f>IF(A302="","",IFERROR(INDEX(OffCat,MATCH(F302,OffList,0)),"Unlisted"))</f>
        <v/>
      </c>
      <c r="H302" s="30" t="n"/>
      <c r="I302" s="31" t="n"/>
      <c r="J302" s="34" t="n"/>
      <c r="K302" s="34" t="n"/>
      <c r="L302" s="34" t="n"/>
      <c r="M302" s="30" t="n"/>
      <c r="N302" s="30" t="n"/>
      <c r="O302" s="30" t="n"/>
      <c r="P302" s="30" t="n"/>
      <c r="Q302" s="31" t="n"/>
      <c r="R302" s="31" t="n"/>
      <c r="S302" s="31" t="n"/>
      <c r="T302" s="31" t="n"/>
      <c r="U302" s="31" t="n"/>
      <c r="V302" s="31" t="n"/>
      <c r="W302" s="30" t="n"/>
      <c r="X302" s="31" t="n"/>
      <c r="Y302" s="35" t="n"/>
      <c r="Z302" s="35" t="n"/>
      <c r="AA302" s="35" t="n"/>
      <c r="AB302" s="35" t="n"/>
      <c r="AC302" s="35" t="n"/>
      <c r="AD302" s="35" t="n"/>
      <c r="AE302" s="35" t="n"/>
      <c r="AF302" s="35" t="n"/>
      <c r="AG302" s="36">
        <f>IF(A302="","",IF(V302&lt;&gt;"",V302-B302,TODAY()-B302))</f>
        <v/>
      </c>
      <c r="AH302" s="36">
        <f>IF(OR(A302="",I302=""),"",MAX(0,IF(V302&lt;&gt;"",V302-I302,TODAY()-I302)))</f>
        <v/>
      </c>
      <c r="AI302" s="37">
        <f>IF(A302="","",IF(OR(K302="Closed",V302&lt;&gt;""),"Closed",IF(AH302&gt;=AgeCrit,"Critical",IF(AH302&gt;=AgeFu,"For Follow-up",IF(AH302&gt;=AgeMonitor,"Monitor","Within Standard")))))</f>
        <v/>
      </c>
      <c r="AJ302" s="38">
        <f>IF(A302="","",IFERROR(INDEX(StgPct,MATCH(H302,StgList,0)),0))</f>
        <v/>
      </c>
      <c r="AK302" s="38">
        <f>IF(A302="","",IFERROR(COUNTIF(Y302:AF302,"Y")/(COUNTIF(Y302:AF302,"Y")+COUNTIF(Y302:AF302,"N")),0))</f>
        <v/>
      </c>
      <c r="AL302" s="36">
        <f>IF(OR(A302="",X302=""),"",MAX(0,IF(V302&lt;&gt;"",V302,TODAY())-X302))</f>
        <v/>
      </c>
      <c r="AM302" s="32" t="n"/>
      <c r="AN302" s="33">
        <f>IF(A302="","",LOWER(AI302)&amp;"|"&amp;AH302&amp;"|"&amp;AJ302&amp;"|"&amp;AK302)</f>
        <v/>
      </c>
      <c r="AO302" s="33">
        <f>IF(OR(A302="",T302=""),"",T302-TODAY())</f>
        <v/>
      </c>
      <c r="AP302" s="33">
        <f>IF(OR(A302="",V302&lt;&gt;""),"",(TODAY()-B302)+ROW()/1000000)</f>
        <v/>
      </c>
    </row>
    <row r="303" ht="27" customHeight="1">
      <c r="A303" s="30" t="n"/>
      <c r="B303" s="31" t="n"/>
      <c r="C303" s="32" t="n"/>
      <c r="D303" s="32" t="n"/>
      <c r="E303" s="32" t="n"/>
      <c r="F303" s="32" t="n"/>
      <c r="G303" s="33">
        <f>IF(A303="","",IFERROR(INDEX(OffCat,MATCH(F303,OffList,0)),"Unlisted"))</f>
        <v/>
      </c>
      <c r="H303" s="30" t="n"/>
      <c r="I303" s="31" t="n"/>
      <c r="J303" s="34" t="n"/>
      <c r="K303" s="34" t="n"/>
      <c r="L303" s="34" t="n"/>
      <c r="M303" s="30" t="n"/>
      <c r="N303" s="30" t="n"/>
      <c r="O303" s="30" t="n"/>
      <c r="P303" s="30" t="n"/>
      <c r="Q303" s="31" t="n"/>
      <c r="R303" s="31" t="n"/>
      <c r="S303" s="31" t="n"/>
      <c r="T303" s="31" t="n"/>
      <c r="U303" s="31" t="n"/>
      <c r="V303" s="31" t="n"/>
      <c r="W303" s="30" t="n"/>
      <c r="X303" s="31" t="n"/>
      <c r="Y303" s="35" t="n"/>
      <c r="Z303" s="35" t="n"/>
      <c r="AA303" s="35" t="n"/>
      <c r="AB303" s="35" t="n"/>
      <c r="AC303" s="35" t="n"/>
      <c r="AD303" s="35" t="n"/>
      <c r="AE303" s="35" t="n"/>
      <c r="AF303" s="35" t="n"/>
      <c r="AG303" s="36">
        <f>IF(A303="","",IF(V303&lt;&gt;"",V303-B303,TODAY()-B303))</f>
        <v/>
      </c>
      <c r="AH303" s="36">
        <f>IF(OR(A303="",I303=""),"",MAX(0,IF(V303&lt;&gt;"",V303-I303,TODAY()-I303)))</f>
        <v/>
      </c>
      <c r="AI303" s="37">
        <f>IF(A303="","",IF(OR(K303="Closed",V303&lt;&gt;""),"Closed",IF(AH303&gt;=AgeCrit,"Critical",IF(AH303&gt;=AgeFu,"For Follow-up",IF(AH303&gt;=AgeMonitor,"Monitor","Within Standard")))))</f>
        <v/>
      </c>
      <c r="AJ303" s="38">
        <f>IF(A303="","",IFERROR(INDEX(StgPct,MATCH(H303,StgList,0)),0))</f>
        <v/>
      </c>
      <c r="AK303" s="38">
        <f>IF(A303="","",IFERROR(COUNTIF(Y303:AF303,"Y")/(COUNTIF(Y303:AF303,"Y")+COUNTIF(Y303:AF303,"N")),0))</f>
        <v/>
      </c>
      <c r="AL303" s="36">
        <f>IF(OR(A303="",X303=""),"",MAX(0,IF(V303&lt;&gt;"",V303,TODAY())-X303))</f>
        <v/>
      </c>
      <c r="AM303" s="32" t="n"/>
      <c r="AN303" s="33">
        <f>IF(A303="","",LOWER(AI303)&amp;"|"&amp;AH303&amp;"|"&amp;AJ303&amp;"|"&amp;AK303)</f>
        <v/>
      </c>
      <c r="AO303" s="33">
        <f>IF(OR(A303="",T303=""),"",T303-TODAY())</f>
        <v/>
      </c>
      <c r="AP303" s="33">
        <f>IF(OR(A303="",V303&lt;&gt;""),"",(TODAY()-B303)+ROW()/1000000)</f>
        <v/>
      </c>
    </row>
    <row r="304" ht="27" customHeight="1">
      <c r="A304" s="30" t="n"/>
      <c r="B304" s="31" t="n"/>
      <c r="C304" s="32" t="n"/>
      <c r="D304" s="32" t="n"/>
      <c r="E304" s="32" t="n"/>
      <c r="F304" s="32" t="n"/>
      <c r="G304" s="33">
        <f>IF(A304="","",IFERROR(INDEX(OffCat,MATCH(F304,OffList,0)),"Unlisted"))</f>
        <v/>
      </c>
      <c r="H304" s="30" t="n"/>
      <c r="I304" s="31" t="n"/>
      <c r="J304" s="34" t="n"/>
      <c r="K304" s="34" t="n"/>
      <c r="L304" s="34" t="n"/>
      <c r="M304" s="30" t="n"/>
      <c r="N304" s="30" t="n"/>
      <c r="O304" s="30" t="n"/>
      <c r="P304" s="30" t="n"/>
      <c r="Q304" s="31" t="n"/>
      <c r="R304" s="31" t="n"/>
      <c r="S304" s="31" t="n"/>
      <c r="T304" s="31" t="n"/>
      <c r="U304" s="31" t="n"/>
      <c r="V304" s="31" t="n"/>
      <c r="W304" s="30" t="n"/>
      <c r="X304" s="31" t="n"/>
      <c r="Y304" s="35" t="n"/>
      <c r="Z304" s="35" t="n"/>
      <c r="AA304" s="35" t="n"/>
      <c r="AB304" s="35" t="n"/>
      <c r="AC304" s="35" t="n"/>
      <c r="AD304" s="35" t="n"/>
      <c r="AE304" s="35" t="n"/>
      <c r="AF304" s="35" t="n"/>
      <c r="AG304" s="36">
        <f>IF(A304="","",IF(V304&lt;&gt;"",V304-B304,TODAY()-B304))</f>
        <v/>
      </c>
      <c r="AH304" s="36">
        <f>IF(OR(A304="",I304=""),"",MAX(0,IF(V304&lt;&gt;"",V304-I304,TODAY()-I304)))</f>
        <v/>
      </c>
      <c r="AI304" s="37">
        <f>IF(A304="","",IF(OR(K304="Closed",V304&lt;&gt;""),"Closed",IF(AH304&gt;=AgeCrit,"Critical",IF(AH304&gt;=AgeFu,"For Follow-up",IF(AH304&gt;=AgeMonitor,"Monitor","Within Standard")))))</f>
        <v/>
      </c>
      <c r="AJ304" s="38">
        <f>IF(A304="","",IFERROR(INDEX(StgPct,MATCH(H304,StgList,0)),0))</f>
        <v/>
      </c>
      <c r="AK304" s="38">
        <f>IF(A304="","",IFERROR(COUNTIF(Y304:AF304,"Y")/(COUNTIF(Y304:AF304,"Y")+COUNTIF(Y304:AF304,"N")),0))</f>
        <v/>
      </c>
      <c r="AL304" s="36">
        <f>IF(OR(A304="",X304=""),"",MAX(0,IF(V304&lt;&gt;"",V304,TODAY())-X304))</f>
        <v/>
      </c>
      <c r="AM304" s="32" t="n"/>
      <c r="AN304" s="33">
        <f>IF(A304="","",LOWER(AI304)&amp;"|"&amp;AH304&amp;"|"&amp;AJ304&amp;"|"&amp;AK304)</f>
        <v/>
      </c>
      <c r="AO304" s="33">
        <f>IF(OR(A304="",T304=""),"",T304-TODAY())</f>
        <v/>
      </c>
      <c r="AP304" s="33">
        <f>IF(OR(A304="",V304&lt;&gt;""),"",(TODAY()-B304)+ROW()/1000000)</f>
        <v/>
      </c>
    </row>
    <row r="305" ht="27" customHeight="1">
      <c r="A305" s="30" t="n"/>
      <c r="B305" s="31" t="n"/>
      <c r="C305" s="32" t="n"/>
      <c r="D305" s="32" t="n"/>
      <c r="E305" s="32" t="n"/>
      <c r="F305" s="32" t="n"/>
      <c r="G305" s="33">
        <f>IF(A305="","",IFERROR(INDEX(OffCat,MATCH(F305,OffList,0)),"Unlisted"))</f>
        <v/>
      </c>
      <c r="H305" s="30" t="n"/>
      <c r="I305" s="31" t="n"/>
      <c r="J305" s="34" t="n"/>
      <c r="K305" s="34" t="n"/>
      <c r="L305" s="34" t="n"/>
      <c r="M305" s="30" t="n"/>
      <c r="N305" s="30" t="n"/>
      <c r="O305" s="30" t="n"/>
      <c r="P305" s="30" t="n"/>
      <c r="Q305" s="31" t="n"/>
      <c r="R305" s="31" t="n"/>
      <c r="S305" s="31" t="n"/>
      <c r="T305" s="31" t="n"/>
      <c r="U305" s="31" t="n"/>
      <c r="V305" s="31" t="n"/>
      <c r="W305" s="30" t="n"/>
      <c r="X305" s="31" t="n"/>
      <c r="Y305" s="35" t="n"/>
      <c r="Z305" s="35" t="n"/>
      <c r="AA305" s="35" t="n"/>
      <c r="AB305" s="35" t="n"/>
      <c r="AC305" s="35" t="n"/>
      <c r="AD305" s="35" t="n"/>
      <c r="AE305" s="35" t="n"/>
      <c r="AF305" s="35" t="n"/>
      <c r="AG305" s="36">
        <f>IF(A305="","",IF(V305&lt;&gt;"",V305-B305,TODAY()-B305))</f>
        <v/>
      </c>
      <c r="AH305" s="36">
        <f>IF(OR(A305="",I305=""),"",MAX(0,IF(V305&lt;&gt;"",V305-I305,TODAY()-I305)))</f>
        <v/>
      </c>
      <c r="AI305" s="37">
        <f>IF(A305="","",IF(OR(K305="Closed",V305&lt;&gt;""),"Closed",IF(AH305&gt;=AgeCrit,"Critical",IF(AH305&gt;=AgeFu,"For Follow-up",IF(AH305&gt;=AgeMonitor,"Monitor","Within Standard")))))</f>
        <v/>
      </c>
      <c r="AJ305" s="38">
        <f>IF(A305="","",IFERROR(INDEX(StgPct,MATCH(H305,StgList,0)),0))</f>
        <v/>
      </c>
      <c r="AK305" s="38">
        <f>IF(A305="","",IFERROR(COUNTIF(Y305:AF305,"Y")/(COUNTIF(Y305:AF305,"Y")+COUNTIF(Y305:AF305,"N")),0))</f>
        <v/>
      </c>
      <c r="AL305" s="36">
        <f>IF(OR(A305="",X305=""),"",MAX(0,IF(V305&lt;&gt;"",V305,TODAY())-X305))</f>
        <v/>
      </c>
      <c r="AM305" s="32" t="n"/>
      <c r="AN305" s="33">
        <f>IF(A305="","",LOWER(AI305)&amp;"|"&amp;AH305&amp;"|"&amp;AJ305&amp;"|"&amp;AK305)</f>
        <v/>
      </c>
      <c r="AO305" s="33">
        <f>IF(OR(A305="",T305=""),"",T305-TODAY())</f>
        <v/>
      </c>
      <c r="AP305" s="33">
        <f>IF(OR(A305="",V305&lt;&gt;""),"",(TODAY()-B305)+ROW()/1000000)</f>
        <v/>
      </c>
    </row>
    <row r="306" ht="27" customHeight="1">
      <c r="A306" s="30" t="n"/>
      <c r="B306" s="31" t="n"/>
      <c r="C306" s="32" t="n"/>
      <c r="D306" s="32" t="n"/>
      <c r="E306" s="32" t="n"/>
      <c r="F306" s="32" t="n"/>
      <c r="G306" s="33">
        <f>IF(A306="","",IFERROR(INDEX(OffCat,MATCH(F306,OffList,0)),"Unlisted"))</f>
        <v/>
      </c>
      <c r="H306" s="30" t="n"/>
      <c r="I306" s="31" t="n"/>
      <c r="J306" s="34" t="n"/>
      <c r="K306" s="34" t="n"/>
      <c r="L306" s="34" t="n"/>
      <c r="M306" s="30" t="n"/>
      <c r="N306" s="30" t="n"/>
      <c r="O306" s="30" t="n"/>
      <c r="P306" s="30" t="n"/>
      <c r="Q306" s="31" t="n"/>
      <c r="R306" s="31" t="n"/>
      <c r="S306" s="31" t="n"/>
      <c r="T306" s="31" t="n"/>
      <c r="U306" s="31" t="n"/>
      <c r="V306" s="31" t="n"/>
      <c r="W306" s="30" t="n"/>
      <c r="X306" s="31" t="n"/>
      <c r="Y306" s="35" t="n"/>
      <c r="Z306" s="35" t="n"/>
      <c r="AA306" s="35" t="n"/>
      <c r="AB306" s="35" t="n"/>
      <c r="AC306" s="35" t="n"/>
      <c r="AD306" s="35" t="n"/>
      <c r="AE306" s="35" t="n"/>
      <c r="AF306" s="35" t="n"/>
      <c r="AG306" s="36">
        <f>IF(A306="","",IF(V306&lt;&gt;"",V306-B306,TODAY()-B306))</f>
        <v/>
      </c>
      <c r="AH306" s="36">
        <f>IF(OR(A306="",I306=""),"",MAX(0,IF(V306&lt;&gt;"",V306-I306,TODAY()-I306)))</f>
        <v/>
      </c>
      <c r="AI306" s="37">
        <f>IF(A306="","",IF(OR(K306="Closed",V306&lt;&gt;""),"Closed",IF(AH306&gt;=AgeCrit,"Critical",IF(AH306&gt;=AgeFu,"For Follow-up",IF(AH306&gt;=AgeMonitor,"Monitor","Within Standard")))))</f>
        <v/>
      </c>
      <c r="AJ306" s="38">
        <f>IF(A306="","",IFERROR(INDEX(StgPct,MATCH(H306,StgList,0)),0))</f>
        <v/>
      </c>
      <c r="AK306" s="38">
        <f>IF(A306="","",IFERROR(COUNTIF(Y306:AF306,"Y")/(COUNTIF(Y306:AF306,"Y")+COUNTIF(Y306:AF306,"N")),0))</f>
        <v/>
      </c>
      <c r="AL306" s="36">
        <f>IF(OR(A306="",X306=""),"",MAX(0,IF(V306&lt;&gt;"",V306,TODAY())-X306))</f>
        <v/>
      </c>
      <c r="AM306" s="32" t="n"/>
      <c r="AN306" s="33">
        <f>IF(A306="","",LOWER(AI306)&amp;"|"&amp;AH306&amp;"|"&amp;AJ306&amp;"|"&amp;AK306)</f>
        <v/>
      </c>
      <c r="AO306" s="33">
        <f>IF(OR(A306="",T306=""),"",T306-TODAY())</f>
        <v/>
      </c>
      <c r="AP306" s="33">
        <f>IF(OR(A306="",V306&lt;&gt;""),"",(TODAY()-B306)+ROW()/1000000)</f>
        <v/>
      </c>
    </row>
    <row r="307" ht="27" customHeight="1">
      <c r="A307" s="30" t="n"/>
      <c r="B307" s="31" t="n"/>
      <c r="C307" s="32" t="n"/>
      <c r="D307" s="32" t="n"/>
      <c r="E307" s="32" t="n"/>
      <c r="F307" s="32" t="n"/>
      <c r="G307" s="33">
        <f>IF(A307="","",IFERROR(INDEX(OffCat,MATCH(F307,OffList,0)),"Unlisted"))</f>
        <v/>
      </c>
      <c r="H307" s="30" t="n"/>
      <c r="I307" s="31" t="n"/>
      <c r="J307" s="34" t="n"/>
      <c r="K307" s="34" t="n"/>
      <c r="L307" s="34" t="n"/>
      <c r="M307" s="30" t="n"/>
      <c r="N307" s="30" t="n"/>
      <c r="O307" s="30" t="n"/>
      <c r="P307" s="30" t="n"/>
      <c r="Q307" s="31" t="n"/>
      <c r="R307" s="31" t="n"/>
      <c r="S307" s="31" t="n"/>
      <c r="T307" s="31" t="n"/>
      <c r="U307" s="31" t="n"/>
      <c r="V307" s="31" t="n"/>
      <c r="W307" s="30" t="n"/>
      <c r="X307" s="31" t="n"/>
      <c r="Y307" s="35" t="n"/>
      <c r="Z307" s="35" t="n"/>
      <c r="AA307" s="35" t="n"/>
      <c r="AB307" s="35" t="n"/>
      <c r="AC307" s="35" t="n"/>
      <c r="AD307" s="35" t="n"/>
      <c r="AE307" s="35" t="n"/>
      <c r="AF307" s="35" t="n"/>
      <c r="AG307" s="36">
        <f>IF(A307="","",IF(V307&lt;&gt;"",V307-B307,TODAY()-B307))</f>
        <v/>
      </c>
      <c r="AH307" s="36">
        <f>IF(OR(A307="",I307=""),"",MAX(0,IF(V307&lt;&gt;"",V307-I307,TODAY()-I307)))</f>
        <v/>
      </c>
      <c r="AI307" s="37">
        <f>IF(A307="","",IF(OR(K307="Closed",V307&lt;&gt;""),"Closed",IF(AH307&gt;=AgeCrit,"Critical",IF(AH307&gt;=AgeFu,"For Follow-up",IF(AH307&gt;=AgeMonitor,"Monitor","Within Standard")))))</f>
        <v/>
      </c>
      <c r="AJ307" s="38">
        <f>IF(A307="","",IFERROR(INDEX(StgPct,MATCH(H307,StgList,0)),0))</f>
        <v/>
      </c>
      <c r="AK307" s="38">
        <f>IF(A307="","",IFERROR(COUNTIF(Y307:AF307,"Y")/(COUNTIF(Y307:AF307,"Y")+COUNTIF(Y307:AF307,"N")),0))</f>
        <v/>
      </c>
      <c r="AL307" s="36">
        <f>IF(OR(A307="",X307=""),"",MAX(0,IF(V307&lt;&gt;"",V307,TODAY())-X307))</f>
        <v/>
      </c>
      <c r="AM307" s="32" t="n"/>
      <c r="AN307" s="33">
        <f>IF(A307="","",LOWER(AI307)&amp;"|"&amp;AH307&amp;"|"&amp;AJ307&amp;"|"&amp;AK307)</f>
        <v/>
      </c>
      <c r="AO307" s="33">
        <f>IF(OR(A307="",T307=""),"",T307-TODAY())</f>
        <v/>
      </c>
      <c r="AP307" s="33">
        <f>IF(OR(A307="",V307&lt;&gt;""),"",(TODAY()-B307)+ROW()/1000000)</f>
        <v/>
      </c>
    </row>
    <row r="308" ht="27" customHeight="1">
      <c r="A308" s="30" t="n"/>
      <c r="B308" s="31" t="n"/>
      <c r="C308" s="32" t="n"/>
      <c r="D308" s="32" t="n"/>
      <c r="E308" s="32" t="n"/>
      <c r="F308" s="32" t="n"/>
      <c r="G308" s="33">
        <f>IF(A308="","",IFERROR(INDEX(OffCat,MATCH(F308,OffList,0)),"Unlisted"))</f>
        <v/>
      </c>
      <c r="H308" s="30" t="n"/>
      <c r="I308" s="31" t="n"/>
      <c r="J308" s="34" t="n"/>
      <c r="K308" s="34" t="n"/>
      <c r="L308" s="34" t="n"/>
      <c r="M308" s="30" t="n"/>
      <c r="N308" s="30" t="n"/>
      <c r="O308" s="30" t="n"/>
      <c r="P308" s="30" t="n"/>
      <c r="Q308" s="31" t="n"/>
      <c r="R308" s="31" t="n"/>
      <c r="S308" s="31" t="n"/>
      <c r="T308" s="31" t="n"/>
      <c r="U308" s="31" t="n"/>
      <c r="V308" s="31" t="n"/>
      <c r="W308" s="30" t="n"/>
      <c r="X308" s="31" t="n"/>
      <c r="Y308" s="35" t="n"/>
      <c r="Z308" s="35" t="n"/>
      <c r="AA308" s="35" t="n"/>
      <c r="AB308" s="35" t="n"/>
      <c r="AC308" s="35" t="n"/>
      <c r="AD308" s="35" t="n"/>
      <c r="AE308" s="35" t="n"/>
      <c r="AF308" s="35" t="n"/>
      <c r="AG308" s="36">
        <f>IF(A308="","",IF(V308&lt;&gt;"",V308-B308,TODAY()-B308))</f>
        <v/>
      </c>
      <c r="AH308" s="36">
        <f>IF(OR(A308="",I308=""),"",MAX(0,IF(V308&lt;&gt;"",V308-I308,TODAY()-I308)))</f>
        <v/>
      </c>
      <c r="AI308" s="37">
        <f>IF(A308="","",IF(OR(K308="Closed",V308&lt;&gt;""),"Closed",IF(AH308&gt;=AgeCrit,"Critical",IF(AH308&gt;=AgeFu,"For Follow-up",IF(AH308&gt;=AgeMonitor,"Monitor","Within Standard")))))</f>
        <v/>
      </c>
      <c r="AJ308" s="38">
        <f>IF(A308="","",IFERROR(INDEX(StgPct,MATCH(H308,StgList,0)),0))</f>
        <v/>
      </c>
      <c r="AK308" s="38">
        <f>IF(A308="","",IFERROR(COUNTIF(Y308:AF308,"Y")/(COUNTIF(Y308:AF308,"Y")+COUNTIF(Y308:AF308,"N")),0))</f>
        <v/>
      </c>
      <c r="AL308" s="36">
        <f>IF(OR(A308="",X308=""),"",MAX(0,IF(V308&lt;&gt;"",V308,TODAY())-X308))</f>
        <v/>
      </c>
      <c r="AM308" s="32" t="n"/>
      <c r="AN308" s="33">
        <f>IF(A308="","",LOWER(AI308)&amp;"|"&amp;AH308&amp;"|"&amp;AJ308&amp;"|"&amp;AK308)</f>
        <v/>
      </c>
      <c r="AO308" s="33">
        <f>IF(OR(A308="",T308=""),"",T308-TODAY())</f>
        <v/>
      </c>
      <c r="AP308" s="33">
        <f>IF(OR(A308="",V308&lt;&gt;""),"",(TODAY()-B308)+ROW()/1000000)</f>
        <v/>
      </c>
    </row>
    <row r="309" ht="27" customHeight="1">
      <c r="A309" s="30" t="n"/>
      <c r="B309" s="31" t="n"/>
      <c r="C309" s="32" t="n"/>
      <c r="D309" s="32" t="n"/>
      <c r="E309" s="32" t="n"/>
      <c r="F309" s="32" t="n"/>
      <c r="G309" s="33">
        <f>IF(A309="","",IFERROR(INDEX(OffCat,MATCH(F309,OffList,0)),"Unlisted"))</f>
        <v/>
      </c>
      <c r="H309" s="30" t="n"/>
      <c r="I309" s="31" t="n"/>
      <c r="J309" s="34" t="n"/>
      <c r="K309" s="34" t="n"/>
      <c r="L309" s="34" t="n"/>
      <c r="M309" s="30" t="n"/>
      <c r="N309" s="30" t="n"/>
      <c r="O309" s="30" t="n"/>
      <c r="P309" s="30" t="n"/>
      <c r="Q309" s="31" t="n"/>
      <c r="R309" s="31" t="n"/>
      <c r="S309" s="31" t="n"/>
      <c r="T309" s="31" t="n"/>
      <c r="U309" s="31" t="n"/>
      <c r="V309" s="31" t="n"/>
      <c r="W309" s="30" t="n"/>
      <c r="X309" s="31" t="n"/>
      <c r="Y309" s="35" t="n"/>
      <c r="Z309" s="35" t="n"/>
      <c r="AA309" s="35" t="n"/>
      <c r="AB309" s="35" t="n"/>
      <c r="AC309" s="35" t="n"/>
      <c r="AD309" s="35" t="n"/>
      <c r="AE309" s="35" t="n"/>
      <c r="AF309" s="35" t="n"/>
      <c r="AG309" s="36">
        <f>IF(A309="","",IF(V309&lt;&gt;"",V309-B309,TODAY()-B309))</f>
        <v/>
      </c>
      <c r="AH309" s="36">
        <f>IF(OR(A309="",I309=""),"",MAX(0,IF(V309&lt;&gt;"",V309-I309,TODAY()-I309)))</f>
        <v/>
      </c>
      <c r="AI309" s="37">
        <f>IF(A309="","",IF(OR(K309="Closed",V309&lt;&gt;""),"Closed",IF(AH309&gt;=AgeCrit,"Critical",IF(AH309&gt;=AgeFu,"For Follow-up",IF(AH309&gt;=AgeMonitor,"Monitor","Within Standard")))))</f>
        <v/>
      </c>
      <c r="AJ309" s="38">
        <f>IF(A309="","",IFERROR(INDEX(StgPct,MATCH(H309,StgList,0)),0))</f>
        <v/>
      </c>
      <c r="AK309" s="38">
        <f>IF(A309="","",IFERROR(COUNTIF(Y309:AF309,"Y")/(COUNTIF(Y309:AF309,"Y")+COUNTIF(Y309:AF309,"N")),0))</f>
        <v/>
      </c>
      <c r="AL309" s="36">
        <f>IF(OR(A309="",X309=""),"",MAX(0,IF(V309&lt;&gt;"",V309,TODAY())-X309))</f>
        <v/>
      </c>
      <c r="AM309" s="32" t="n"/>
      <c r="AN309" s="33">
        <f>IF(A309="","",LOWER(AI309)&amp;"|"&amp;AH309&amp;"|"&amp;AJ309&amp;"|"&amp;AK309)</f>
        <v/>
      </c>
      <c r="AO309" s="33">
        <f>IF(OR(A309="",T309=""),"",T309-TODAY())</f>
        <v/>
      </c>
      <c r="AP309" s="33">
        <f>IF(OR(A309="",V309&lt;&gt;""),"",(TODAY()-B309)+ROW()/1000000)</f>
        <v/>
      </c>
    </row>
    <row r="310" ht="27" customHeight="1">
      <c r="A310" s="30" t="n"/>
      <c r="B310" s="31" t="n"/>
      <c r="C310" s="32" t="n"/>
      <c r="D310" s="32" t="n"/>
      <c r="E310" s="32" t="n"/>
      <c r="F310" s="32" t="n"/>
      <c r="G310" s="33">
        <f>IF(A310="","",IFERROR(INDEX(OffCat,MATCH(F310,OffList,0)),"Unlisted"))</f>
        <v/>
      </c>
      <c r="H310" s="30" t="n"/>
      <c r="I310" s="31" t="n"/>
      <c r="J310" s="34" t="n"/>
      <c r="K310" s="34" t="n"/>
      <c r="L310" s="34" t="n"/>
      <c r="M310" s="30" t="n"/>
      <c r="N310" s="30" t="n"/>
      <c r="O310" s="30" t="n"/>
      <c r="P310" s="30" t="n"/>
      <c r="Q310" s="31" t="n"/>
      <c r="R310" s="31" t="n"/>
      <c r="S310" s="31" t="n"/>
      <c r="T310" s="31" t="n"/>
      <c r="U310" s="31" t="n"/>
      <c r="V310" s="31" t="n"/>
      <c r="W310" s="30" t="n"/>
      <c r="X310" s="31" t="n"/>
      <c r="Y310" s="35" t="n"/>
      <c r="Z310" s="35" t="n"/>
      <c r="AA310" s="35" t="n"/>
      <c r="AB310" s="35" t="n"/>
      <c r="AC310" s="35" t="n"/>
      <c r="AD310" s="35" t="n"/>
      <c r="AE310" s="35" t="n"/>
      <c r="AF310" s="35" t="n"/>
      <c r="AG310" s="36">
        <f>IF(A310="","",IF(V310&lt;&gt;"",V310-B310,TODAY()-B310))</f>
        <v/>
      </c>
      <c r="AH310" s="36">
        <f>IF(OR(A310="",I310=""),"",MAX(0,IF(V310&lt;&gt;"",V310-I310,TODAY()-I310)))</f>
        <v/>
      </c>
      <c r="AI310" s="37">
        <f>IF(A310="","",IF(OR(K310="Closed",V310&lt;&gt;""),"Closed",IF(AH310&gt;=AgeCrit,"Critical",IF(AH310&gt;=AgeFu,"For Follow-up",IF(AH310&gt;=AgeMonitor,"Monitor","Within Standard")))))</f>
        <v/>
      </c>
      <c r="AJ310" s="38">
        <f>IF(A310="","",IFERROR(INDEX(StgPct,MATCH(H310,StgList,0)),0))</f>
        <v/>
      </c>
      <c r="AK310" s="38">
        <f>IF(A310="","",IFERROR(COUNTIF(Y310:AF310,"Y")/(COUNTIF(Y310:AF310,"Y")+COUNTIF(Y310:AF310,"N")),0))</f>
        <v/>
      </c>
      <c r="AL310" s="36">
        <f>IF(OR(A310="",X310=""),"",MAX(0,IF(V310&lt;&gt;"",V310,TODAY())-X310))</f>
        <v/>
      </c>
      <c r="AM310" s="32" t="n"/>
      <c r="AN310" s="33">
        <f>IF(A310="","",LOWER(AI310)&amp;"|"&amp;AH310&amp;"|"&amp;AJ310&amp;"|"&amp;AK310)</f>
        <v/>
      </c>
      <c r="AO310" s="33">
        <f>IF(OR(A310="",T310=""),"",T310-TODAY())</f>
        <v/>
      </c>
      <c r="AP310" s="33">
        <f>IF(OR(A310="",V310&lt;&gt;""),"",(TODAY()-B310)+ROW()/1000000)</f>
        <v/>
      </c>
    </row>
    <row r="311" ht="27" customHeight="1">
      <c r="A311" s="30" t="n"/>
      <c r="B311" s="31" t="n"/>
      <c r="C311" s="32" t="n"/>
      <c r="D311" s="32" t="n"/>
      <c r="E311" s="32" t="n"/>
      <c r="F311" s="32" t="n"/>
      <c r="G311" s="33">
        <f>IF(A311="","",IFERROR(INDEX(OffCat,MATCH(F311,OffList,0)),"Unlisted"))</f>
        <v/>
      </c>
      <c r="H311" s="30" t="n"/>
      <c r="I311" s="31" t="n"/>
      <c r="J311" s="34" t="n"/>
      <c r="K311" s="34" t="n"/>
      <c r="L311" s="34" t="n"/>
      <c r="M311" s="30" t="n"/>
      <c r="N311" s="30" t="n"/>
      <c r="O311" s="30" t="n"/>
      <c r="P311" s="30" t="n"/>
      <c r="Q311" s="31" t="n"/>
      <c r="R311" s="31" t="n"/>
      <c r="S311" s="31" t="n"/>
      <c r="T311" s="31" t="n"/>
      <c r="U311" s="31" t="n"/>
      <c r="V311" s="31" t="n"/>
      <c r="W311" s="30" t="n"/>
      <c r="X311" s="31" t="n"/>
      <c r="Y311" s="35" t="n"/>
      <c r="Z311" s="35" t="n"/>
      <c r="AA311" s="35" t="n"/>
      <c r="AB311" s="35" t="n"/>
      <c r="AC311" s="35" t="n"/>
      <c r="AD311" s="35" t="n"/>
      <c r="AE311" s="35" t="n"/>
      <c r="AF311" s="35" t="n"/>
      <c r="AG311" s="36">
        <f>IF(A311="","",IF(V311&lt;&gt;"",V311-B311,TODAY()-B311))</f>
        <v/>
      </c>
      <c r="AH311" s="36">
        <f>IF(OR(A311="",I311=""),"",MAX(0,IF(V311&lt;&gt;"",V311-I311,TODAY()-I311)))</f>
        <v/>
      </c>
      <c r="AI311" s="37">
        <f>IF(A311="","",IF(OR(K311="Closed",V311&lt;&gt;""),"Closed",IF(AH311&gt;=AgeCrit,"Critical",IF(AH311&gt;=AgeFu,"For Follow-up",IF(AH311&gt;=AgeMonitor,"Monitor","Within Standard")))))</f>
        <v/>
      </c>
      <c r="AJ311" s="38">
        <f>IF(A311="","",IFERROR(INDEX(StgPct,MATCH(H311,StgList,0)),0))</f>
        <v/>
      </c>
      <c r="AK311" s="38">
        <f>IF(A311="","",IFERROR(COUNTIF(Y311:AF311,"Y")/(COUNTIF(Y311:AF311,"Y")+COUNTIF(Y311:AF311,"N")),0))</f>
        <v/>
      </c>
      <c r="AL311" s="36">
        <f>IF(OR(A311="",X311=""),"",MAX(0,IF(V311&lt;&gt;"",V311,TODAY())-X311))</f>
        <v/>
      </c>
      <c r="AM311" s="32" t="n"/>
      <c r="AN311" s="33">
        <f>IF(A311="","",LOWER(AI311)&amp;"|"&amp;AH311&amp;"|"&amp;AJ311&amp;"|"&amp;AK311)</f>
        <v/>
      </c>
      <c r="AO311" s="33">
        <f>IF(OR(A311="",T311=""),"",T311-TODAY())</f>
        <v/>
      </c>
      <c r="AP311" s="33">
        <f>IF(OR(A311="",V311&lt;&gt;""),"",(TODAY()-B311)+ROW()/1000000)</f>
        <v/>
      </c>
    </row>
    <row r="312" ht="27" customHeight="1">
      <c r="A312" s="30" t="n"/>
      <c r="B312" s="31" t="n"/>
      <c r="C312" s="32" t="n"/>
      <c r="D312" s="32" t="n"/>
      <c r="E312" s="32" t="n"/>
      <c r="F312" s="32" t="n"/>
      <c r="G312" s="33">
        <f>IF(A312="","",IFERROR(INDEX(OffCat,MATCH(F312,OffList,0)),"Unlisted"))</f>
        <v/>
      </c>
      <c r="H312" s="30" t="n"/>
      <c r="I312" s="31" t="n"/>
      <c r="J312" s="34" t="n"/>
      <c r="K312" s="34" t="n"/>
      <c r="L312" s="34" t="n"/>
      <c r="M312" s="30" t="n"/>
      <c r="N312" s="30" t="n"/>
      <c r="O312" s="30" t="n"/>
      <c r="P312" s="30" t="n"/>
      <c r="Q312" s="31" t="n"/>
      <c r="R312" s="31" t="n"/>
      <c r="S312" s="31" t="n"/>
      <c r="T312" s="31" t="n"/>
      <c r="U312" s="31" t="n"/>
      <c r="V312" s="31" t="n"/>
      <c r="W312" s="30" t="n"/>
      <c r="X312" s="31" t="n"/>
      <c r="Y312" s="35" t="n"/>
      <c r="Z312" s="35" t="n"/>
      <c r="AA312" s="35" t="n"/>
      <c r="AB312" s="35" t="n"/>
      <c r="AC312" s="35" t="n"/>
      <c r="AD312" s="35" t="n"/>
      <c r="AE312" s="35" t="n"/>
      <c r="AF312" s="35" t="n"/>
      <c r="AG312" s="36">
        <f>IF(A312="","",IF(V312&lt;&gt;"",V312-B312,TODAY()-B312))</f>
        <v/>
      </c>
      <c r="AH312" s="36">
        <f>IF(OR(A312="",I312=""),"",MAX(0,IF(V312&lt;&gt;"",V312-I312,TODAY()-I312)))</f>
        <v/>
      </c>
      <c r="AI312" s="37">
        <f>IF(A312="","",IF(OR(K312="Closed",V312&lt;&gt;""),"Closed",IF(AH312&gt;=AgeCrit,"Critical",IF(AH312&gt;=AgeFu,"For Follow-up",IF(AH312&gt;=AgeMonitor,"Monitor","Within Standard")))))</f>
        <v/>
      </c>
      <c r="AJ312" s="38">
        <f>IF(A312="","",IFERROR(INDEX(StgPct,MATCH(H312,StgList,0)),0))</f>
        <v/>
      </c>
      <c r="AK312" s="38">
        <f>IF(A312="","",IFERROR(COUNTIF(Y312:AF312,"Y")/(COUNTIF(Y312:AF312,"Y")+COUNTIF(Y312:AF312,"N")),0))</f>
        <v/>
      </c>
      <c r="AL312" s="36">
        <f>IF(OR(A312="",X312=""),"",MAX(0,IF(V312&lt;&gt;"",V312,TODAY())-X312))</f>
        <v/>
      </c>
      <c r="AM312" s="32" t="n"/>
      <c r="AN312" s="33">
        <f>IF(A312="","",LOWER(AI312)&amp;"|"&amp;AH312&amp;"|"&amp;AJ312&amp;"|"&amp;AK312)</f>
        <v/>
      </c>
      <c r="AO312" s="33">
        <f>IF(OR(A312="",T312=""),"",T312-TODAY())</f>
        <v/>
      </c>
      <c r="AP312" s="33">
        <f>IF(OR(A312="",V312&lt;&gt;""),"",(TODAY()-B312)+ROW()/1000000)</f>
        <v/>
      </c>
    </row>
    <row r="313" ht="27" customHeight="1">
      <c r="A313" s="30" t="n"/>
      <c r="B313" s="31" t="n"/>
      <c r="C313" s="32" t="n"/>
      <c r="D313" s="32" t="n"/>
      <c r="E313" s="32" t="n"/>
      <c r="F313" s="32" t="n"/>
      <c r="G313" s="33">
        <f>IF(A313="","",IFERROR(INDEX(OffCat,MATCH(F313,OffList,0)),"Unlisted"))</f>
        <v/>
      </c>
      <c r="H313" s="30" t="n"/>
      <c r="I313" s="31" t="n"/>
      <c r="J313" s="34" t="n"/>
      <c r="K313" s="34" t="n"/>
      <c r="L313" s="34" t="n"/>
      <c r="M313" s="30" t="n"/>
      <c r="N313" s="30" t="n"/>
      <c r="O313" s="30" t="n"/>
      <c r="P313" s="30" t="n"/>
      <c r="Q313" s="31" t="n"/>
      <c r="R313" s="31" t="n"/>
      <c r="S313" s="31" t="n"/>
      <c r="T313" s="31" t="n"/>
      <c r="U313" s="31" t="n"/>
      <c r="V313" s="31" t="n"/>
      <c r="W313" s="30" t="n"/>
      <c r="X313" s="31" t="n"/>
      <c r="Y313" s="35" t="n"/>
      <c r="Z313" s="35" t="n"/>
      <c r="AA313" s="35" t="n"/>
      <c r="AB313" s="35" t="n"/>
      <c r="AC313" s="35" t="n"/>
      <c r="AD313" s="35" t="n"/>
      <c r="AE313" s="35" t="n"/>
      <c r="AF313" s="35" t="n"/>
      <c r="AG313" s="36">
        <f>IF(A313="","",IF(V313&lt;&gt;"",V313-B313,TODAY()-B313))</f>
        <v/>
      </c>
      <c r="AH313" s="36">
        <f>IF(OR(A313="",I313=""),"",MAX(0,IF(V313&lt;&gt;"",V313-I313,TODAY()-I313)))</f>
        <v/>
      </c>
      <c r="AI313" s="37">
        <f>IF(A313="","",IF(OR(K313="Closed",V313&lt;&gt;""),"Closed",IF(AH313&gt;=AgeCrit,"Critical",IF(AH313&gt;=AgeFu,"For Follow-up",IF(AH313&gt;=AgeMonitor,"Monitor","Within Standard")))))</f>
        <v/>
      </c>
      <c r="AJ313" s="38">
        <f>IF(A313="","",IFERROR(INDEX(StgPct,MATCH(H313,StgList,0)),0))</f>
        <v/>
      </c>
      <c r="AK313" s="38">
        <f>IF(A313="","",IFERROR(COUNTIF(Y313:AF313,"Y")/(COUNTIF(Y313:AF313,"Y")+COUNTIF(Y313:AF313,"N")),0))</f>
        <v/>
      </c>
      <c r="AL313" s="36">
        <f>IF(OR(A313="",X313=""),"",MAX(0,IF(V313&lt;&gt;"",V313,TODAY())-X313))</f>
        <v/>
      </c>
      <c r="AM313" s="32" t="n"/>
      <c r="AN313" s="33">
        <f>IF(A313="","",LOWER(AI313)&amp;"|"&amp;AH313&amp;"|"&amp;AJ313&amp;"|"&amp;AK313)</f>
        <v/>
      </c>
      <c r="AO313" s="33">
        <f>IF(OR(A313="",T313=""),"",T313-TODAY())</f>
        <v/>
      </c>
      <c r="AP313" s="33">
        <f>IF(OR(A313="",V313&lt;&gt;""),"",(TODAY()-B313)+ROW()/1000000)</f>
        <v/>
      </c>
    </row>
    <row r="314" ht="27" customHeight="1">
      <c r="A314" s="30" t="n"/>
      <c r="B314" s="31" t="n"/>
      <c r="C314" s="32" t="n"/>
      <c r="D314" s="32" t="n"/>
      <c r="E314" s="32" t="n"/>
      <c r="F314" s="32" t="n"/>
      <c r="G314" s="33">
        <f>IF(A314="","",IFERROR(INDEX(OffCat,MATCH(F314,OffList,0)),"Unlisted"))</f>
        <v/>
      </c>
      <c r="H314" s="30" t="n"/>
      <c r="I314" s="31" t="n"/>
      <c r="J314" s="34" t="n"/>
      <c r="K314" s="34" t="n"/>
      <c r="L314" s="34" t="n"/>
      <c r="M314" s="30" t="n"/>
      <c r="N314" s="30" t="n"/>
      <c r="O314" s="30" t="n"/>
      <c r="P314" s="30" t="n"/>
      <c r="Q314" s="31" t="n"/>
      <c r="R314" s="31" t="n"/>
      <c r="S314" s="31" t="n"/>
      <c r="T314" s="31" t="n"/>
      <c r="U314" s="31" t="n"/>
      <c r="V314" s="31" t="n"/>
      <c r="W314" s="30" t="n"/>
      <c r="X314" s="31" t="n"/>
      <c r="Y314" s="35" t="n"/>
      <c r="Z314" s="35" t="n"/>
      <c r="AA314" s="35" t="n"/>
      <c r="AB314" s="35" t="n"/>
      <c r="AC314" s="35" t="n"/>
      <c r="AD314" s="35" t="n"/>
      <c r="AE314" s="35" t="n"/>
      <c r="AF314" s="35" t="n"/>
      <c r="AG314" s="36">
        <f>IF(A314="","",IF(V314&lt;&gt;"",V314-B314,TODAY()-B314))</f>
        <v/>
      </c>
      <c r="AH314" s="36">
        <f>IF(OR(A314="",I314=""),"",MAX(0,IF(V314&lt;&gt;"",V314-I314,TODAY()-I314)))</f>
        <v/>
      </c>
      <c r="AI314" s="37">
        <f>IF(A314="","",IF(OR(K314="Closed",V314&lt;&gt;""),"Closed",IF(AH314&gt;=AgeCrit,"Critical",IF(AH314&gt;=AgeFu,"For Follow-up",IF(AH314&gt;=AgeMonitor,"Monitor","Within Standard")))))</f>
        <v/>
      </c>
      <c r="AJ314" s="38">
        <f>IF(A314="","",IFERROR(INDEX(StgPct,MATCH(H314,StgList,0)),0))</f>
        <v/>
      </c>
      <c r="AK314" s="38">
        <f>IF(A314="","",IFERROR(COUNTIF(Y314:AF314,"Y")/(COUNTIF(Y314:AF314,"Y")+COUNTIF(Y314:AF314,"N")),0))</f>
        <v/>
      </c>
      <c r="AL314" s="36">
        <f>IF(OR(A314="",X314=""),"",MAX(0,IF(V314&lt;&gt;"",V314,TODAY())-X314))</f>
        <v/>
      </c>
      <c r="AM314" s="32" t="n"/>
      <c r="AN314" s="33">
        <f>IF(A314="","",LOWER(AI314)&amp;"|"&amp;AH314&amp;"|"&amp;AJ314&amp;"|"&amp;AK314)</f>
        <v/>
      </c>
      <c r="AO314" s="33">
        <f>IF(OR(A314="",T314=""),"",T314-TODAY())</f>
        <v/>
      </c>
      <c r="AP314" s="33">
        <f>IF(OR(A314="",V314&lt;&gt;""),"",(TODAY()-B314)+ROW()/1000000)</f>
        <v/>
      </c>
    </row>
    <row r="315" ht="27" customHeight="1">
      <c r="A315" s="30" t="n"/>
      <c r="B315" s="31" t="n"/>
      <c r="C315" s="32" t="n"/>
      <c r="D315" s="32" t="n"/>
      <c r="E315" s="32" t="n"/>
      <c r="F315" s="32" t="n"/>
      <c r="G315" s="33">
        <f>IF(A315="","",IFERROR(INDEX(OffCat,MATCH(F315,OffList,0)),"Unlisted"))</f>
        <v/>
      </c>
      <c r="H315" s="30" t="n"/>
      <c r="I315" s="31" t="n"/>
      <c r="J315" s="34" t="n"/>
      <c r="K315" s="34" t="n"/>
      <c r="L315" s="34" t="n"/>
      <c r="M315" s="30" t="n"/>
      <c r="N315" s="30" t="n"/>
      <c r="O315" s="30" t="n"/>
      <c r="P315" s="30" t="n"/>
      <c r="Q315" s="31" t="n"/>
      <c r="R315" s="31" t="n"/>
      <c r="S315" s="31" t="n"/>
      <c r="T315" s="31" t="n"/>
      <c r="U315" s="31" t="n"/>
      <c r="V315" s="31" t="n"/>
      <c r="W315" s="30" t="n"/>
      <c r="X315" s="31" t="n"/>
      <c r="Y315" s="35" t="n"/>
      <c r="Z315" s="35" t="n"/>
      <c r="AA315" s="35" t="n"/>
      <c r="AB315" s="35" t="n"/>
      <c r="AC315" s="35" t="n"/>
      <c r="AD315" s="35" t="n"/>
      <c r="AE315" s="35" t="n"/>
      <c r="AF315" s="35" t="n"/>
      <c r="AG315" s="36">
        <f>IF(A315="","",IF(V315&lt;&gt;"",V315-B315,TODAY()-B315))</f>
        <v/>
      </c>
      <c r="AH315" s="36">
        <f>IF(OR(A315="",I315=""),"",MAX(0,IF(V315&lt;&gt;"",V315-I315,TODAY()-I315)))</f>
        <v/>
      </c>
      <c r="AI315" s="37">
        <f>IF(A315="","",IF(OR(K315="Closed",V315&lt;&gt;""),"Closed",IF(AH315&gt;=AgeCrit,"Critical",IF(AH315&gt;=AgeFu,"For Follow-up",IF(AH315&gt;=AgeMonitor,"Monitor","Within Standard")))))</f>
        <v/>
      </c>
      <c r="AJ315" s="38">
        <f>IF(A315="","",IFERROR(INDEX(StgPct,MATCH(H315,StgList,0)),0))</f>
        <v/>
      </c>
      <c r="AK315" s="38">
        <f>IF(A315="","",IFERROR(COUNTIF(Y315:AF315,"Y")/(COUNTIF(Y315:AF315,"Y")+COUNTIF(Y315:AF315,"N")),0))</f>
        <v/>
      </c>
      <c r="AL315" s="36">
        <f>IF(OR(A315="",X315=""),"",MAX(0,IF(V315&lt;&gt;"",V315,TODAY())-X315))</f>
        <v/>
      </c>
      <c r="AM315" s="32" t="n"/>
      <c r="AN315" s="33">
        <f>IF(A315="","",LOWER(AI315)&amp;"|"&amp;AH315&amp;"|"&amp;AJ315&amp;"|"&amp;AK315)</f>
        <v/>
      </c>
      <c r="AO315" s="33">
        <f>IF(OR(A315="",T315=""),"",T315-TODAY())</f>
        <v/>
      </c>
      <c r="AP315" s="33">
        <f>IF(OR(A315="",V315&lt;&gt;""),"",(TODAY()-B315)+ROW()/1000000)</f>
        <v/>
      </c>
    </row>
    <row r="316" ht="27" customHeight="1">
      <c r="A316" s="30" t="n"/>
      <c r="B316" s="31" t="n"/>
      <c r="C316" s="32" t="n"/>
      <c r="D316" s="32" t="n"/>
      <c r="E316" s="32" t="n"/>
      <c r="F316" s="32" t="n"/>
      <c r="G316" s="33">
        <f>IF(A316="","",IFERROR(INDEX(OffCat,MATCH(F316,OffList,0)),"Unlisted"))</f>
        <v/>
      </c>
      <c r="H316" s="30" t="n"/>
      <c r="I316" s="31" t="n"/>
      <c r="J316" s="34" t="n"/>
      <c r="K316" s="34" t="n"/>
      <c r="L316" s="34" t="n"/>
      <c r="M316" s="30" t="n"/>
      <c r="N316" s="30" t="n"/>
      <c r="O316" s="30" t="n"/>
      <c r="P316" s="30" t="n"/>
      <c r="Q316" s="31" t="n"/>
      <c r="R316" s="31" t="n"/>
      <c r="S316" s="31" t="n"/>
      <c r="T316" s="31" t="n"/>
      <c r="U316" s="31" t="n"/>
      <c r="V316" s="31" t="n"/>
      <c r="W316" s="30" t="n"/>
      <c r="X316" s="31" t="n"/>
      <c r="Y316" s="35" t="n"/>
      <c r="Z316" s="35" t="n"/>
      <c r="AA316" s="35" t="n"/>
      <c r="AB316" s="35" t="n"/>
      <c r="AC316" s="35" t="n"/>
      <c r="AD316" s="35" t="n"/>
      <c r="AE316" s="35" t="n"/>
      <c r="AF316" s="35" t="n"/>
      <c r="AG316" s="36">
        <f>IF(A316="","",IF(V316&lt;&gt;"",V316-B316,TODAY()-B316))</f>
        <v/>
      </c>
      <c r="AH316" s="36">
        <f>IF(OR(A316="",I316=""),"",MAX(0,IF(V316&lt;&gt;"",V316-I316,TODAY()-I316)))</f>
        <v/>
      </c>
      <c r="AI316" s="37">
        <f>IF(A316="","",IF(OR(K316="Closed",V316&lt;&gt;""),"Closed",IF(AH316&gt;=AgeCrit,"Critical",IF(AH316&gt;=AgeFu,"For Follow-up",IF(AH316&gt;=AgeMonitor,"Monitor","Within Standard")))))</f>
        <v/>
      </c>
      <c r="AJ316" s="38">
        <f>IF(A316="","",IFERROR(INDEX(StgPct,MATCH(H316,StgList,0)),0))</f>
        <v/>
      </c>
      <c r="AK316" s="38">
        <f>IF(A316="","",IFERROR(COUNTIF(Y316:AF316,"Y")/(COUNTIF(Y316:AF316,"Y")+COUNTIF(Y316:AF316,"N")),0))</f>
        <v/>
      </c>
      <c r="AL316" s="36">
        <f>IF(OR(A316="",X316=""),"",MAX(0,IF(V316&lt;&gt;"",V316,TODAY())-X316))</f>
        <v/>
      </c>
      <c r="AM316" s="32" t="n"/>
      <c r="AN316" s="33">
        <f>IF(A316="","",LOWER(AI316)&amp;"|"&amp;AH316&amp;"|"&amp;AJ316&amp;"|"&amp;AK316)</f>
        <v/>
      </c>
      <c r="AO316" s="33">
        <f>IF(OR(A316="",T316=""),"",T316-TODAY())</f>
        <v/>
      </c>
      <c r="AP316" s="33">
        <f>IF(OR(A316="",V316&lt;&gt;""),"",(TODAY()-B316)+ROW()/1000000)</f>
        <v/>
      </c>
    </row>
    <row r="317" ht="27" customHeight="1">
      <c r="A317" s="30" t="n"/>
      <c r="B317" s="31" t="n"/>
      <c r="C317" s="32" t="n"/>
      <c r="D317" s="32" t="n"/>
      <c r="E317" s="32" t="n"/>
      <c r="F317" s="32" t="n"/>
      <c r="G317" s="33">
        <f>IF(A317="","",IFERROR(INDEX(OffCat,MATCH(F317,OffList,0)),"Unlisted"))</f>
        <v/>
      </c>
      <c r="H317" s="30" t="n"/>
      <c r="I317" s="31" t="n"/>
      <c r="J317" s="34" t="n"/>
      <c r="K317" s="34" t="n"/>
      <c r="L317" s="34" t="n"/>
      <c r="M317" s="30" t="n"/>
      <c r="N317" s="30" t="n"/>
      <c r="O317" s="30" t="n"/>
      <c r="P317" s="30" t="n"/>
      <c r="Q317" s="31" t="n"/>
      <c r="R317" s="31" t="n"/>
      <c r="S317" s="31" t="n"/>
      <c r="T317" s="31" t="n"/>
      <c r="U317" s="31" t="n"/>
      <c r="V317" s="31" t="n"/>
      <c r="W317" s="30" t="n"/>
      <c r="X317" s="31" t="n"/>
      <c r="Y317" s="35" t="n"/>
      <c r="Z317" s="35" t="n"/>
      <c r="AA317" s="35" t="n"/>
      <c r="AB317" s="35" t="n"/>
      <c r="AC317" s="35" t="n"/>
      <c r="AD317" s="35" t="n"/>
      <c r="AE317" s="35" t="n"/>
      <c r="AF317" s="35" t="n"/>
      <c r="AG317" s="36">
        <f>IF(A317="","",IF(V317&lt;&gt;"",V317-B317,TODAY()-B317))</f>
        <v/>
      </c>
      <c r="AH317" s="36">
        <f>IF(OR(A317="",I317=""),"",MAX(0,IF(V317&lt;&gt;"",V317-I317,TODAY()-I317)))</f>
        <v/>
      </c>
      <c r="AI317" s="37">
        <f>IF(A317="","",IF(OR(K317="Closed",V317&lt;&gt;""),"Closed",IF(AH317&gt;=AgeCrit,"Critical",IF(AH317&gt;=AgeFu,"For Follow-up",IF(AH317&gt;=AgeMonitor,"Monitor","Within Standard")))))</f>
        <v/>
      </c>
      <c r="AJ317" s="38">
        <f>IF(A317="","",IFERROR(INDEX(StgPct,MATCH(H317,StgList,0)),0))</f>
        <v/>
      </c>
      <c r="AK317" s="38">
        <f>IF(A317="","",IFERROR(COUNTIF(Y317:AF317,"Y")/(COUNTIF(Y317:AF317,"Y")+COUNTIF(Y317:AF317,"N")),0))</f>
        <v/>
      </c>
      <c r="AL317" s="36">
        <f>IF(OR(A317="",X317=""),"",MAX(0,IF(V317&lt;&gt;"",V317,TODAY())-X317))</f>
        <v/>
      </c>
      <c r="AM317" s="32" t="n"/>
      <c r="AN317" s="33">
        <f>IF(A317="","",LOWER(AI317)&amp;"|"&amp;AH317&amp;"|"&amp;AJ317&amp;"|"&amp;AK317)</f>
        <v/>
      </c>
      <c r="AO317" s="33">
        <f>IF(OR(A317="",T317=""),"",T317-TODAY())</f>
        <v/>
      </c>
      <c r="AP317" s="33">
        <f>IF(OR(A317="",V317&lt;&gt;""),"",(TODAY()-B317)+ROW()/1000000)</f>
        <v/>
      </c>
    </row>
    <row r="318" ht="27" customHeight="1">
      <c r="A318" s="30" t="n"/>
      <c r="B318" s="31" t="n"/>
      <c r="C318" s="32" t="n"/>
      <c r="D318" s="32" t="n"/>
      <c r="E318" s="32" t="n"/>
      <c r="F318" s="32" t="n"/>
      <c r="G318" s="33">
        <f>IF(A318="","",IFERROR(INDEX(OffCat,MATCH(F318,OffList,0)),"Unlisted"))</f>
        <v/>
      </c>
      <c r="H318" s="30" t="n"/>
      <c r="I318" s="31" t="n"/>
      <c r="J318" s="34" t="n"/>
      <c r="K318" s="34" t="n"/>
      <c r="L318" s="34" t="n"/>
      <c r="M318" s="30" t="n"/>
      <c r="N318" s="30" t="n"/>
      <c r="O318" s="30" t="n"/>
      <c r="P318" s="30" t="n"/>
      <c r="Q318" s="31" t="n"/>
      <c r="R318" s="31" t="n"/>
      <c r="S318" s="31" t="n"/>
      <c r="T318" s="31" t="n"/>
      <c r="U318" s="31" t="n"/>
      <c r="V318" s="31" t="n"/>
      <c r="W318" s="30" t="n"/>
      <c r="X318" s="31" t="n"/>
      <c r="Y318" s="35" t="n"/>
      <c r="Z318" s="35" t="n"/>
      <c r="AA318" s="35" t="n"/>
      <c r="AB318" s="35" t="n"/>
      <c r="AC318" s="35" t="n"/>
      <c r="AD318" s="35" t="n"/>
      <c r="AE318" s="35" t="n"/>
      <c r="AF318" s="35" t="n"/>
      <c r="AG318" s="36">
        <f>IF(A318="","",IF(V318&lt;&gt;"",V318-B318,TODAY()-B318))</f>
        <v/>
      </c>
      <c r="AH318" s="36">
        <f>IF(OR(A318="",I318=""),"",MAX(0,IF(V318&lt;&gt;"",V318-I318,TODAY()-I318)))</f>
        <v/>
      </c>
      <c r="AI318" s="37">
        <f>IF(A318="","",IF(OR(K318="Closed",V318&lt;&gt;""),"Closed",IF(AH318&gt;=AgeCrit,"Critical",IF(AH318&gt;=AgeFu,"For Follow-up",IF(AH318&gt;=AgeMonitor,"Monitor","Within Standard")))))</f>
        <v/>
      </c>
      <c r="AJ318" s="38">
        <f>IF(A318="","",IFERROR(INDEX(StgPct,MATCH(H318,StgList,0)),0))</f>
        <v/>
      </c>
      <c r="AK318" s="38">
        <f>IF(A318="","",IFERROR(COUNTIF(Y318:AF318,"Y")/(COUNTIF(Y318:AF318,"Y")+COUNTIF(Y318:AF318,"N")),0))</f>
        <v/>
      </c>
      <c r="AL318" s="36">
        <f>IF(OR(A318="",X318=""),"",MAX(0,IF(V318&lt;&gt;"",V318,TODAY())-X318))</f>
        <v/>
      </c>
      <c r="AM318" s="32" t="n"/>
      <c r="AN318" s="33">
        <f>IF(A318="","",LOWER(AI318)&amp;"|"&amp;AH318&amp;"|"&amp;AJ318&amp;"|"&amp;AK318)</f>
        <v/>
      </c>
      <c r="AO318" s="33">
        <f>IF(OR(A318="",T318=""),"",T318-TODAY())</f>
        <v/>
      </c>
      <c r="AP318" s="33">
        <f>IF(OR(A318="",V318&lt;&gt;""),"",(TODAY()-B318)+ROW()/1000000)</f>
        <v/>
      </c>
    </row>
    <row r="319" ht="27" customHeight="1">
      <c r="A319" s="30" t="n"/>
      <c r="B319" s="31" t="n"/>
      <c r="C319" s="32" t="n"/>
      <c r="D319" s="32" t="n"/>
      <c r="E319" s="32" t="n"/>
      <c r="F319" s="32" t="n"/>
      <c r="G319" s="33">
        <f>IF(A319="","",IFERROR(INDEX(OffCat,MATCH(F319,OffList,0)),"Unlisted"))</f>
        <v/>
      </c>
      <c r="H319" s="30" t="n"/>
      <c r="I319" s="31" t="n"/>
      <c r="J319" s="34" t="n"/>
      <c r="K319" s="34" t="n"/>
      <c r="L319" s="34" t="n"/>
      <c r="M319" s="30" t="n"/>
      <c r="N319" s="30" t="n"/>
      <c r="O319" s="30" t="n"/>
      <c r="P319" s="30" t="n"/>
      <c r="Q319" s="31" t="n"/>
      <c r="R319" s="31" t="n"/>
      <c r="S319" s="31" t="n"/>
      <c r="T319" s="31" t="n"/>
      <c r="U319" s="31" t="n"/>
      <c r="V319" s="31" t="n"/>
      <c r="W319" s="30" t="n"/>
      <c r="X319" s="31" t="n"/>
      <c r="Y319" s="35" t="n"/>
      <c r="Z319" s="35" t="n"/>
      <c r="AA319" s="35" t="n"/>
      <c r="AB319" s="35" t="n"/>
      <c r="AC319" s="35" t="n"/>
      <c r="AD319" s="35" t="n"/>
      <c r="AE319" s="35" t="n"/>
      <c r="AF319" s="35" t="n"/>
      <c r="AG319" s="36">
        <f>IF(A319="","",IF(V319&lt;&gt;"",V319-B319,TODAY()-B319))</f>
        <v/>
      </c>
      <c r="AH319" s="36">
        <f>IF(OR(A319="",I319=""),"",MAX(0,IF(V319&lt;&gt;"",V319-I319,TODAY()-I319)))</f>
        <v/>
      </c>
      <c r="AI319" s="37">
        <f>IF(A319="","",IF(OR(K319="Closed",V319&lt;&gt;""),"Closed",IF(AH319&gt;=AgeCrit,"Critical",IF(AH319&gt;=AgeFu,"For Follow-up",IF(AH319&gt;=AgeMonitor,"Monitor","Within Standard")))))</f>
        <v/>
      </c>
      <c r="AJ319" s="38">
        <f>IF(A319="","",IFERROR(INDEX(StgPct,MATCH(H319,StgList,0)),0))</f>
        <v/>
      </c>
      <c r="AK319" s="38">
        <f>IF(A319="","",IFERROR(COUNTIF(Y319:AF319,"Y")/(COUNTIF(Y319:AF319,"Y")+COUNTIF(Y319:AF319,"N")),0))</f>
        <v/>
      </c>
      <c r="AL319" s="36">
        <f>IF(OR(A319="",X319=""),"",MAX(0,IF(V319&lt;&gt;"",V319,TODAY())-X319))</f>
        <v/>
      </c>
      <c r="AM319" s="32" t="n"/>
      <c r="AN319" s="33">
        <f>IF(A319="","",LOWER(AI319)&amp;"|"&amp;AH319&amp;"|"&amp;AJ319&amp;"|"&amp;AK319)</f>
        <v/>
      </c>
      <c r="AO319" s="33">
        <f>IF(OR(A319="",T319=""),"",T319-TODAY())</f>
        <v/>
      </c>
      <c r="AP319" s="33">
        <f>IF(OR(A319="",V319&lt;&gt;""),"",(TODAY()-B319)+ROW()/1000000)</f>
        <v/>
      </c>
    </row>
    <row r="320" ht="27" customHeight="1">
      <c r="A320" s="30" t="n"/>
      <c r="B320" s="31" t="n"/>
      <c r="C320" s="32" t="n"/>
      <c r="D320" s="32" t="n"/>
      <c r="E320" s="32" t="n"/>
      <c r="F320" s="32" t="n"/>
      <c r="G320" s="33">
        <f>IF(A320="","",IFERROR(INDEX(OffCat,MATCH(F320,OffList,0)),"Unlisted"))</f>
        <v/>
      </c>
      <c r="H320" s="30" t="n"/>
      <c r="I320" s="31" t="n"/>
      <c r="J320" s="34" t="n"/>
      <c r="K320" s="34" t="n"/>
      <c r="L320" s="34" t="n"/>
      <c r="M320" s="30" t="n"/>
      <c r="N320" s="30" t="n"/>
      <c r="O320" s="30" t="n"/>
      <c r="P320" s="30" t="n"/>
      <c r="Q320" s="31" t="n"/>
      <c r="R320" s="31" t="n"/>
      <c r="S320" s="31" t="n"/>
      <c r="T320" s="31" t="n"/>
      <c r="U320" s="31" t="n"/>
      <c r="V320" s="31" t="n"/>
      <c r="W320" s="30" t="n"/>
      <c r="X320" s="31" t="n"/>
      <c r="Y320" s="35" t="n"/>
      <c r="Z320" s="35" t="n"/>
      <c r="AA320" s="35" t="n"/>
      <c r="AB320" s="35" t="n"/>
      <c r="AC320" s="35" t="n"/>
      <c r="AD320" s="35" t="n"/>
      <c r="AE320" s="35" t="n"/>
      <c r="AF320" s="35" t="n"/>
      <c r="AG320" s="36">
        <f>IF(A320="","",IF(V320&lt;&gt;"",V320-B320,TODAY()-B320))</f>
        <v/>
      </c>
      <c r="AH320" s="36">
        <f>IF(OR(A320="",I320=""),"",MAX(0,IF(V320&lt;&gt;"",V320-I320,TODAY()-I320)))</f>
        <v/>
      </c>
      <c r="AI320" s="37">
        <f>IF(A320="","",IF(OR(K320="Closed",V320&lt;&gt;""),"Closed",IF(AH320&gt;=AgeCrit,"Critical",IF(AH320&gt;=AgeFu,"For Follow-up",IF(AH320&gt;=AgeMonitor,"Monitor","Within Standard")))))</f>
        <v/>
      </c>
      <c r="AJ320" s="38">
        <f>IF(A320="","",IFERROR(INDEX(StgPct,MATCH(H320,StgList,0)),0))</f>
        <v/>
      </c>
      <c r="AK320" s="38">
        <f>IF(A320="","",IFERROR(COUNTIF(Y320:AF320,"Y")/(COUNTIF(Y320:AF320,"Y")+COUNTIF(Y320:AF320,"N")),0))</f>
        <v/>
      </c>
      <c r="AL320" s="36">
        <f>IF(OR(A320="",X320=""),"",MAX(0,IF(V320&lt;&gt;"",V320,TODAY())-X320))</f>
        <v/>
      </c>
      <c r="AM320" s="32" t="n"/>
      <c r="AN320" s="33">
        <f>IF(A320="","",LOWER(AI320)&amp;"|"&amp;AH320&amp;"|"&amp;AJ320&amp;"|"&amp;AK320)</f>
        <v/>
      </c>
      <c r="AO320" s="33">
        <f>IF(OR(A320="",T320=""),"",T320-TODAY())</f>
        <v/>
      </c>
      <c r="AP320" s="33">
        <f>IF(OR(A320="",V320&lt;&gt;""),"",(TODAY()-B320)+ROW()/1000000)</f>
        <v/>
      </c>
    </row>
    <row r="321" ht="27" customHeight="1">
      <c r="A321" s="30" t="n"/>
      <c r="B321" s="31" t="n"/>
      <c r="C321" s="32" t="n"/>
      <c r="D321" s="32" t="n"/>
      <c r="E321" s="32" t="n"/>
      <c r="F321" s="32" t="n"/>
      <c r="G321" s="33">
        <f>IF(A321="","",IFERROR(INDEX(OffCat,MATCH(F321,OffList,0)),"Unlisted"))</f>
        <v/>
      </c>
      <c r="H321" s="30" t="n"/>
      <c r="I321" s="31" t="n"/>
      <c r="J321" s="34" t="n"/>
      <c r="K321" s="34" t="n"/>
      <c r="L321" s="34" t="n"/>
      <c r="M321" s="30" t="n"/>
      <c r="N321" s="30" t="n"/>
      <c r="O321" s="30" t="n"/>
      <c r="P321" s="30" t="n"/>
      <c r="Q321" s="31" t="n"/>
      <c r="R321" s="31" t="n"/>
      <c r="S321" s="31" t="n"/>
      <c r="T321" s="31" t="n"/>
      <c r="U321" s="31" t="n"/>
      <c r="V321" s="31" t="n"/>
      <c r="W321" s="30" t="n"/>
      <c r="X321" s="31" t="n"/>
      <c r="Y321" s="35" t="n"/>
      <c r="Z321" s="35" t="n"/>
      <c r="AA321" s="35" t="n"/>
      <c r="AB321" s="35" t="n"/>
      <c r="AC321" s="35" t="n"/>
      <c r="AD321" s="35" t="n"/>
      <c r="AE321" s="35" t="n"/>
      <c r="AF321" s="35" t="n"/>
      <c r="AG321" s="36">
        <f>IF(A321="","",IF(V321&lt;&gt;"",V321-B321,TODAY()-B321))</f>
        <v/>
      </c>
      <c r="AH321" s="36">
        <f>IF(OR(A321="",I321=""),"",MAX(0,IF(V321&lt;&gt;"",V321-I321,TODAY()-I321)))</f>
        <v/>
      </c>
      <c r="AI321" s="37">
        <f>IF(A321="","",IF(OR(K321="Closed",V321&lt;&gt;""),"Closed",IF(AH321&gt;=AgeCrit,"Critical",IF(AH321&gt;=AgeFu,"For Follow-up",IF(AH321&gt;=AgeMonitor,"Monitor","Within Standard")))))</f>
        <v/>
      </c>
      <c r="AJ321" s="38">
        <f>IF(A321="","",IFERROR(INDEX(StgPct,MATCH(H321,StgList,0)),0))</f>
        <v/>
      </c>
      <c r="AK321" s="38">
        <f>IF(A321="","",IFERROR(COUNTIF(Y321:AF321,"Y")/(COUNTIF(Y321:AF321,"Y")+COUNTIF(Y321:AF321,"N")),0))</f>
        <v/>
      </c>
      <c r="AL321" s="36">
        <f>IF(OR(A321="",X321=""),"",MAX(0,IF(V321&lt;&gt;"",V321,TODAY())-X321))</f>
        <v/>
      </c>
      <c r="AM321" s="32" t="n"/>
      <c r="AN321" s="33">
        <f>IF(A321="","",LOWER(AI321)&amp;"|"&amp;AH321&amp;"|"&amp;AJ321&amp;"|"&amp;AK321)</f>
        <v/>
      </c>
      <c r="AO321" s="33">
        <f>IF(OR(A321="",T321=""),"",T321-TODAY())</f>
        <v/>
      </c>
      <c r="AP321" s="33">
        <f>IF(OR(A321="",V321&lt;&gt;""),"",(TODAY()-B321)+ROW()/1000000)</f>
        <v/>
      </c>
    </row>
    <row r="322" ht="27" customHeight="1">
      <c r="A322" s="30" t="n"/>
      <c r="B322" s="31" t="n"/>
      <c r="C322" s="32" t="n"/>
      <c r="D322" s="32" t="n"/>
      <c r="E322" s="32" t="n"/>
      <c r="F322" s="32" t="n"/>
      <c r="G322" s="33">
        <f>IF(A322="","",IFERROR(INDEX(OffCat,MATCH(F322,OffList,0)),"Unlisted"))</f>
        <v/>
      </c>
      <c r="H322" s="30" t="n"/>
      <c r="I322" s="31" t="n"/>
      <c r="J322" s="34" t="n"/>
      <c r="K322" s="34" t="n"/>
      <c r="L322" s="34" t="n"/>
      <c r="M322" s="30" t="n"/>
      <c r="N322" s="30" t="n"/>
      <c r="O322" s="30" t="n"/>
      <c r="P322" s="30" t="n"/>
      <c r="Q322" s="31" t="n"/>
      <c r="R322" s="31" t="n"/>
      <c r="S322" s="31" t="n"/>
      <c r="T322" s="31" t="n"/>
      <c r="U322" s="31" t="n"/>
      <c r="V322" s="31" t="n"/>
      <c r="W322" s="30" t="n"/>
      <c r="X322" s="31" t="n"/>
      <c r="Y322" s="35" t="n"/>
      <c r="Z322" s="35" t="n"/>
      <c r="AA322" s="35" t="n"/>
      <c r="AB322" s="35" t="n"/>
      <c r="AC322" s="35" t="n"/>
      <c r="AD322" s="35" t="n"/>
      <c r="AE322" s="35" t="n"/>
      <c r="AF322" s="35" t="n"/>
      <c r="AG322" s="36">
        <f>IF(A322="","",IF(V322&lt;&gt;"",V322-B322,TODAY()-B322))</f>
        <v/>
      </c>
      <c r="AH322" s="36">
        <f>IF(OR(A322="",I322=""),"",MAX(0,IF(V322&lt;&gt;"",V322-I322,TODAY()-I322)))</f>
        <v/>
      </c>
      <c r="AI322" s="37">
        <f>IF(A322="","",IF(OR(K322="Closed",V322&lt;&gt;""),"Closed",IF(AH322&gt;=AgeCrit,"Critical",IF(AH322&gt;=AgeFu,"For Follow-up",IF(AH322&gt;=AgeMonitor,"Monitor","Within Standard")))))</f>
        <v/>
      </c>
      <c r="AJ322" s="38">
        <f>IF(A322="","",IFERROR(INDEX(StgPct,MATCH(H322,StgList,0)),0))</f>
        <v/>
      </c>
      <c r="AK322" s="38">
        <f>IF(A322="","",IFERROR(COUNTIF(Y322:AF322,"Y")/(COUNTIF(Y322:AF322,"Y")+COUNTIF(Y322:AF322,"N")),0))</f>
        <v/>
      </c>
      <c r="AL322" s="36">
        <f>IF(OR(A322="",X322=""),"",MAX(0,IF(V322&lt;&gt;"",V322,TODAY())-X322))</f>
        <v/>
      </c>
      <c r="AM322" s="32" t="n"/>
      <c r="AN322" s="33">
        <f>IF(A322="","",LOWER(AI322)&amp;"|"&amp;AH322&amp;"|"&amp;AJ322&amp;"|"&amp;AK322)</f>
        <v/>
      </c>
      <c r="AO322" s="33">
        <f>IF(OR(A322="",T322=""),"",T322-TODAY())</f>
        <v/>
      </c>
      <c r="AP322" s="33">
        <f>IF(OR(A322="",V322&lt;&gt;""),"",(TODAY()-B322)+ROW()/1000000)</f>
        <v/>
      </c>
    </row>
    <row r="323" ht="27" customHeight="1">
      <c r="A323" s="30" t="n"/>
      <c r="B323" s="31" t="n"/>
      <c r="C323" s="32" t="n"/>
      <c r="D323" s="32" t="n"/>
      <c r="E323" s="32" t="n"/>
      <c r="F323" s="32" t="n"/>
      <c r="G323" s="33">
        <f>IF(A323="","",IFERROR(INDEX(OffCat,MATCH(F323,OffList,0)),"Unlisted"))</f>
        <v/>
      </c>
      <c r="H323" s="30" t="n"/>
      <c r="I323" s="31" t="n"/>
      <c r="J323" s="34" t="n"/>
      <c r="K323" s="34" t="n"/>
      <c r="L323" s="34" t="n"/>
      <c r="M323" s="30" t="n"/>
      <c r="N323" s="30" t="n"/>
      <c r="O323" s="30" t="n"/>
      <c r="P323" s="30" t="n"/>
      <c r="Q323" s="31" t="n"/>
      <c r="R323" s="31" t="n"/>
      <c r="S323" s="31" t="n"/>
      <c r="T323" s="31" t="n"/>
      <c r="U323" s="31" t="n"/>
      <c r="V323" s="31" t="n"/>
      <c r="W323" s="30" t="n"/>
      <c r="X323" s="31" t="n"/>
      <c r="Y323" s="35" t="n"/>
      <c r="Z323" s="35" t="n"/>
      <c r="AA323" s="35" t="n"/>
      <c r="AB323" s="35" t="n"/>
      <c r="AC323" s="35" t="n"/>
      <c r="AD323" s="35" t="n"/>
      <c r="AE323" s="35" t="n"/>
      <c r="AF323" s="35" t="n"/>
      <c r="AG323" s="36">
        <f>IF(A323="","",IF(V323&lt;&gt;"",V323-B323,TODAY()-B323))</f>
        <v/>
      </c>
      <c r="AH323" s="36">
        <f>IF(OR(A323="",I323=""),"",MAX(0,IF(V323&lt;&gt;"",V323-I323,TODAY()-I323)))</f>
        <v/>
      </c>
      <c r="AI323" s="37">
        <f>IF(A323="","",IF(OR(K323="Closed",V323&lt;&gt;""),"Closed",IF(AH323&gt;=AgeCrit,"Critical",IF(AH323&gt;=AgeFu,"For Follow-up",IF(AH323&gt;=AgeMonitor,"Monitor","Within Standard")))))</f>
        <v/>
      </c>
      <c r="AJ323" s="38">
        <f>IF(A323="","",IFERROR(INDEX(StgPct,MATCH(H323,StgList,0)),0))</f>
        <v/>
      </c>
      <c r="AK323" s="38">
        <f>IF(A323="","",IFERROR(COUNTIF(Y323:AF323,"Y")/(COUNTIF(Y323:AF323,"Y")+COUNTIF(Y323:AF323,"N")),0))</f>
        <v/>
      </c>
      <c r="AL323" s="36">
        <f>IF(OR(A323="",X323=""),"",MAX(0,IF(V323&lt;&gt;"",V323,TODAY())-X323))</f>
        <v/>
      </c>
      <c r="AM323" s="32" t="n"/>
      <c r="AN323" s="33">
        <f>IF(A323="","",LOWER(AI323)&amp;"|"&amp;AH323&amp;"|"&amp;AJ323&amp;"|"&amp;AK323)</f>
        <v/>
      </c>
      <c r="AO323" s="33">
        <f>IF(OR(A323="",T323=""),"",T323-TODAY())</f>
        <v/>
      </c>
      <c r="AP323" s="33">
        <f>IF(OR(A323="",V323&lt;&gt;""),"",(TODAY()-B323)+ROW()/1000000)</f>
        <v/>
      </c>
    </row>
    <row r="324" ht="27" customHeight="1">
      <c r="A324" s="30" t="n"/>
      <c r="B324" s="31" t="n"/>
      <c r="C324" s="32" t="n"/>
      <c r="D324" s="32" t="n"/>
      <c r="E324" s="32" t="n"/>
      <c r="F324" s="32" t="n"/>
      <c r="G324" s="33">
        <f>IF(A324="","",IFERROR(INDEX(OffCat,MATCH(F324,OffList,0)),"Unlisted"))</f>
        <v/>
      </c>
      <c r="H324" s="30" t="n"/>
      <c r="I324" s="31" t="n"/>
      <c r="J324" s="34" t="n"/>
      <c r="K324" s="34" t="n"/>
      <c r="L324" s="34" t="n"/>
      <c r="M324" s="30" t="n"/>
      <c r="N324" s="30" t="n"/>
      <c r="O324" s="30" t="n"/>
      <c r="P324" s="30" t="n"/>
      <c r="Q324" s="31" t="n"/>
      <c r="R324" s="31" t="n"/>
      <c r="S324" s="31" t="n"/>
      <c r="T324" s="31" t="n"/>
      <c r="U324" s="31" t="n"/>
      <c r="V324" s="31" t="n"/>
      <c r="W324" s="30" t="n"/>
      <c r="X324" s="31" t="n"/>
      <c r="Y324" s="35" t="n"/>
      <c r="Z324" s="35" t="n"/>
      <c r="AA324" s="35" t="n"/>
      <c r="AB324" s="35" t="n"/>
      <c r="AC324" s="35" t="n"/>
      <c r="AD324" s="35" t="n"/>
      <c r="AE324" s="35" t="n"/>
      <c r="AF324" s="35" t="n"/>
      <c r="AG324" s="36">
        <f>IF(A324="","",IF(V324&lt;&gt;"",V324-B324,TODAY()-B324))</f>
        <v/>
      </c>
      <c r="AH324" s="36">
        <f>IF(OR(A324="",I324=""),"",MAX(0,IF(V324&lt;&gt;"",V324-I324,TODAY()-I324)))</f>
        <v/>
      </c>
      <c r="AI324" s="37">
        <f>IF(A324="","",IF(OR(K324="Closed",V324&lt;&gt;""),"Closed",IF(AH324&gt;=AgeCrit,"Critical",IF(AH324&gt;=AgeFu,"For Follow-up",IF(AH324&gt;=AgeMonitor,"Monitor","Within Standard")))))</f>
        <v/>
      </c>
      <c r="AJ324" s="38">
        <f>IF(A324="","",IFERROR(INDEX(StgPct,MATCH(H324,StgList,0)),0))</f>
        <v/>
      </c>
      <c r="AK324" s="38">
        <f>IF(A324="","",IFERROR(COUNTIF(Y324:AF324,"Y")/(COUNTIF(Y324:AF324,"Y")+COUNTIF(Y324:AF324,"N")),0))</f>
        <v/>
      </c>
      <c r="AL324" s="36">
        <f>IF(OR(A324="",X324=""),"",MAX(0,IF(V324&lt;&gt;"",V324,TODAY())-X324))</f>
        <v/>
      </c>
      <c r="AM324" s="32" t="n"/>
      <c r="AN324" s="33">
        <f>IF(A324="","",LOWER(AI324)&amp;"|"&amp;AH324&amp;"|"&amp;AJ324&amp;"|"&amp;AK324)</f>
        <v/>
      </c>
      <c r="AO324" s="33">
        <f>IF(OR(A324="",T324=""),"",T324-TODAY())</f>
        <v/>
      </c>
      <c r="AP324" s="33">
        <f>IF(OR(A324="",V324&lt;&gt;""),"",(TODAY()-B324)+ROW()/1000000)</f>
        <v/>
      </c>
    </row>
    <row r="325" ht="27" customHeight="1">
      <c r="A325" s="30" t="n"/>
      <c r="B325" s="31" t="n"/>
      <c r="C325" s="32" t="n"/>
      <c r="D325" s="32" t="n"/>
      <c r="E325" s="32" t="n"/>
      <c r="F325" s="32" t="n"/>
      <c r="G325" s="33">
        <f>IF(A325="","",IFERROR(INDEX(OffCat,MATCH(F325,OffList,0)),"Unlisted"))</f>
        <v/>
      </c>
      <c r="H325" s="30" t="n"/>
      <c r="I325" s="31" t="n"/>
      <c r="J325" s="34" t="n"/>
      <c r="K325" s="34" t="n"/>
      <c r="L325" s="34" t="n"/>
      <c r="M325" s="30" t="n"/>
      <c r="N325" s="30" t="n"/>
      <c r="O325" s="30" t="n"/>
      <c r="P325" s="30" t="n"/>
      <c r="Q325" s="31" t="n"/>
      <c r="R325" s="31" t="n"/>
      <c r="S325" s="31" t="n"/>
      <c r="T325" s="31" t="n"/>
      <c r="U325" s="31" t="n"/>
      <c r="V325" s="31" t="n"/>
      <c r="W325" s="30" t="n"/>
      <c r="X325" s="31" t="n"/>
      <c r="Y325" s="35" t="n"/>
      <c r="Z325" s="35" t="n"/>
      <c r="AA325" s="35" t="n"/>
      <c r="AB325" s="35" t="n"/>
      <c r="AC325" s="35" t="n"/>
      <c r="AD325" s="35" t="n"/>
      <c r="AE325" s="35" t="n"/>
      <c r="AF325" s="35" t="n"/>
      <c r="AG325" s="36">
        <f>IF(A325="","",IF(V325&lt;&gt;"",V325-B325,TODAY()-B325))</f>
        <v/>
      </c>
      <c r="AH325" s="36">
        <f>IF(OR(A325="",I325=""),"",MAX(0,IF(V325&lt;&gt;"",V325-I325,TODAY()-I325)))</f>
        <v/>
      </c>
      <c r="AI325" s="37">
        <f>IF(A325="","",IF(OR(K325="Closed",V325&lt;&gt;""),"Closed",IF(AH325&gt;=AgeCrit,"Critical",IF(AH325&gt;=AgeFu,"For Follow-up",IF(AH325&gt;=AgeMonitor,"Monitor","Within Standard")))))</f>
        <v/>
      </c>
      <c r="AJ325" s="38">
        <f>IF(A325="","",IFERROR(INDEX(StgPct,MATCH(H325,StgList,0)),0))</f>
        <v/>
      </c>
      <c r="AK325" s="38">
        <f>IF(A325="","",IFERROR(COUNTIF(Y325:AF325,"Y")/(COUNTIF(Y325:AF325,"Y")+COUNTIF(Y325:AF325,"N")),0))</f>
        <v/>
      </c>
      <c r="AL325" s="36">
        <f>IF(OR(A325="",X325=""),"",MAX(0,IF(V325&lt;&gt;"",V325,TODAY())-X325))</f>
        <v/>
      </c>
      <c r="AM325" s="32" t="n"/>
      <c r="AN325" s="33">
        <f>IF(A325="","",LOWER(AI325)&amp;"|"&amp;AH325&amp;"|"&amp;AJ325&amp;"|"&amp;AK325)</f>
        <v/>
      </c>
      <c r="AO325" s="33">
        <f>IF(OR(A325="",T325=""),"",T325-TODAY())</f>
        <v/>
      </c>
      <c r="AP325" s="33">
        <f>IF(OR(A325="",V325&lt;&gt;""),"",(TODAY()-B325)+ROW()/1000000)</f>
        <v/>
      </c>
    </row>
    <row r="326" ht="27" customHeight="1">
      <c r="A326" s="30" t="n"/>
      <c r="B326" s="31" t="n"/>
      <c r="C326" s="32" t="n"/>
      <c r="D326" s="32" t="n"/>
      <c r="E326" s="32" t="n"/>
      <c r="F326" s="32" t="n"/>
      <c r="G326" s="33">
        <f>IF(A326="","",IFERROR(INDEX(OffCat,MATCH(F326,OffList,0)),"Unlisted"))</f>
        <v/>
      </c>
      <c r="H326" s="30" t="n"/>
      <c r="I326" s="31" t="n"/>
      <c r="J326" s="34" t="n"/>
      <c r="K326" s="34" t="n"/>
      <c r="L326" s="34" t="n"/>
      <c r="M326" s="30" t="n"/>
      <c r="N326" s="30" t="n"/>
      <c r="O326" s="30" t="n"/>
      <c r="P326" s="30" t="n"/>
      <c r="Q326" s="31" t="n"/>
      <c r="R326" s="31" t="n"/>
      <c r="S326" s="31" t="n"/>
      <c r="T326" s="31" t="n"/>
      <c r="U326" s="31" t="n"/>
      <c r="V326" s="31" t="n"/>
      <c r="W326" s="30" t="n"/>
      <c r="X326" s="31" t="n"/>
      <c r="Y326" s="35" t="n"/>
      <c r="Z326" s="35" t="n"/>
      <c r="AA326" s="35" t="n"/>
      <c r="AB326" s="35" t="n"/>
      <c r="AC326" s="35" t="n"/>
      <c r="AD326" s="35" t="n"/>
      <c r="AE326" s="35" t="n"/>
      <c r="AF326" s="35" t="n"/>
      <c r="AG326" s="36">
        <f>IF(A326="","",IF(V326&lt;&gt;"",V326-B326,TODAY()-B326))</f>
        <v/>
      </c>
      <c r="AH326" s="36">
        <f>IF(OR(A326="",I326=""),"",MAX(0,IF(V326&lt;&gt;"",V326-I326,TODAY()-I326)))</f>
        <v/>
      </c>
      <c r="AI326" s="37">
        <f>IF(A326="","",IF(OR(K326="Closed",V326&lt;&gt;""),"Closed",IF(AH326&gt;=AgeCrit,"Critical",IF(AH326&gt;=AgeFu,"For Follow-up",IF(AH326&gt;=AgeMonitor,"Monitor","Within Standard")))))</f>
        <v/>
      </c>
      <c r="AJ326" s="38">
        <f>IF(A326="","",IFERROR(INDEX(StgPct,MATCH(H326,StgList,0)),0))</f>
        <v/>
      </c>
      <c r="AK326" s="38">
        <f>IF(A326="","",IFERROR(COUNTIF(Y326:AF326,"Y")/(COUNTIF(Y326:AF326,"Y")+COUNTIF(Y326:AF326,"N")),0))</f>
        <v/>
      </c>
      <c r="AL326" s="36">
        <f>IF(OR(A326="",X326=""),"",MAX(0,IF(V326&lt;&gt;"",V326,TODAY())-X326))</f>
        <v/>
      </c>
      <c r="AM326" s="32" t="n"/>
      <c r="AN326" s="33">
        <f>IF(A326="","",LOWER(AI326)&amp;"|"&amp;AH326&amp;"|"&amp;AJ326&amp;"|"&amp;AK326)</f>
        <v/>
      </c>
      <c r="AO326" s="33">
        <f>IF(OR(A326="",T326=""),"",T326-TODAY())</f>
        <v/>
      </c>
      <c r="AP326" s="33">
        <f>IF(OR(A326="",V326&lt;&gt;""),"",(TODAY()-B326)+ROW()/1000000)</f>
        <v/>
      </c>
    </row>
    <row r="327" ht="27" customHeight="1">
      <c r="A327" s="30" t="n"/>
      <c r="B327" s="31" t="n"/>
      <c r="C327" s="32" t="n"/>
      <c r="D327" s="32" t="n"/>
      <c r="E327" s="32" t="n"/>
      <c r="F327" s="32" t="n"/>
      <c r="G327" s="33">
        <f>IF(A327="","",IFERROR(INDEX(OffCat,MATCH(F327,OffList,0)),"Unlisted"))</f>
        <v/>
      </c>
      <c r="H327" s="30" t="n"/>
      <c r="I327" s="31" t="n"/>
      <c r="J327" s="34" t="n"/>
      <c r="K327" s="34" t="n"/>
      <c r="L327" s="34" t="n"/>
      <c r="M327" s="30" t="n"/>
      <c r="N327" s="30" t="n"/>
      <c r="O327" s="30" t="n"/>
      <c r="P327" s="30" t="n"/>
      <c r="Q327" s="31" t="n"/>
      <c r="R327" s="31" t="n"/>
      <c r="S327" s="31" t="n"/>
      <c r="T327" s="31" t="n"/>
      <c r="U327" s="31" t="n"/>
      <c r="V327" s="31" t="n"/>
      <c r="W327" s="30" t="n"/>
      <c r="X327" s="31" t="n"/>
      <c r="Y327" s="35" t="n"/>
      <c r="Z327" s="35" t="n"/>
      <c r="AA327" s="35" t="n"/>
      <c r="AB327" s="35" t="n"/>
      <c r="AC327" s="35" t="n"/>
      <c r="AD327" s="35" t="n"/>
      <c r="AE327" s="35" t="n"/>
      <c r="AF327" s="35" t="n"/>
      <c r="AG327" s="36">
        <f>IF(A327="","",IF(V327&lt;&gt;"",V327-B327,TODAY()-B327))</f>
        <v/>
      </c>
      <c r="AH327" s="36">
        <f>IF(OR(A327="",I327=""),"",MAX(0,IF(V327&lt;&gt;"",V327-I327,TODAY()-I327)))</f>
        <v/>
      </c>
      <c r="AI327" s="37">
        <f>IF(A327="","",IF(OR(K327="Closed",V327&lt;&gt;""),"Closed",IF(AH327&gt;=AgeCrit,"Critical",IF(AH327&gt;=AgeFu,"For Follow-up",IF(AH327&gt;=AgeMonitor,"Monitor","Within Standard")))))</f>
        <v/>
      </c>
      <c r="AJ327" s="38">
        <f>IF(A327="","",IFERROR(INDEX(StgPct,MATCH(H327,StgList,0)),0))</f>
        <v/>
      </c>
      <c r="AK327" s="38">
        <f>IF(A327="","",IFERROR(COUNTIF(Y327:AF327,"Y")/(COUNTIF(Y327:AF327,"Y")+COUNTIF(Y327:AF327,"N")),0))</f>
        <v/>
      </c>
      <c r="AL327" s="36">
        <f>IF(OR(A327="",X327=""),"",MAX(0,IF(V327&lt;&gt;"",V327,TODAY())-X327))</f>
        <v/>
      </c>
      <c r="AM327" s="32" t="n"/>
      <c r="AN327" s="33">
        <f>IF(A327="","",LOWER(AI327)&amp;"|"&amp;AH327&amp;"|"&amp;AJ327&amp;"|"&amp;AK327)</f>
        <v/>
      </c>
      <c r="AO327" s="33">
        <f>IF(OR(A327="",T327=""),"",T327-TODAY())</f>
        <v/>
      </c>
      <c r="AP327" s="33">
        <f>IF(OR(A327="",V327&lt;&gt;""),"",(TODAY()-B327)+ROW()/1000000)</f>
        <v/>
      </c>
    </row>
    <row r="328" ht="27" customHeight="1">
      <c r="A328" s="30" t="n"/>
      <c r="B328" s="31" t="n"/>
      <c r="C328" s="32" t="n"/>
      <c r="D328" s="32" t="n"/>
      <c r="E328" s="32" t="n"/>
      <c r="F328" s="32" t="n"/>
      <c r="G328" s="33">
        <f>IF(A328="","",IFERROR(INDEX(OffCat,MATCH(F328,OffList,0)),"Unlisted"))</f>
        <v/>
      </c>
      <c r="H328" s="30" t="n"/>
      <c r="I328" s="31" t="n"/>
      <c r="J328" s="34" t="n"/>
      <c r="K328" s="34" t="n"/>
      <c r="L328" s="34" t="n"/>
      <c r="M328" s="30" t="n"/>
      <c r="N328" s="30" t="n"/>
      <c r="O328" s="30" t="n"/>
      <c r="P328" s="30" t="n"/>
      <c r="Q328" s="31" t="n"/>
      <c r="R328" s="31" t="n"/>
      <c r="S328" s="31" t="n"/>
      <c r="T328" s="31" t="n"/>
      <c r="U328" s="31" t="n"/>
      <c r="V328" s="31" t="n"/>
      <c r="W328" s="30" t="n"/>
      <c r="X328" s="31" t="n"/>
      <c r="Y328" s="35" t="n"/>
      <c r="Z328" s="35" t="n"/>
      <c r="AA328" s="35" t="n"/>
      <c r="AB328" s="35" t="n"/>
      <c r="AC328" s="35" t="n"/>
      <c r="AD328" s="35" t="n"/>
      <c r="AE328" s="35" t="n"/>
      <c r="AF328" s="35" t="n"/>
      <c r="AG328" s="36">
        <f>IF(A328="","",IF(V328&lt;&gt;"",V328-B328,TODAY()-B328))</f>
        <v/>
      </c>
      <c r="AH328" s="36">
        <f>IF(OR(A328="",I328=""),"",MAX(0,IF(V328&lt;&gt;"",V328-I328,TODAY()-I328)))</f>
        <v/>
      </c>
      <c r="AI328" s="37">
        <f>IF(A328="","",IF(OR(K328="Closed",V328&lt;&gt;""),"Closed",IF(AH328&gt;=AgeCrit,"Critical",IF(AH328&gt;=AgeFu,"For Follow-up",IF(AH328&gt;=AgeMonitor,"Monitor","Within Standard")))))</f>
        <v/>
      </c>
      <c r="AJ328" s="38">
        <f>IF(A328="","",IFERROR(INDEX(StgPct,MATCH(H328,StgList,0)),0))</f>
        <v/>
      </c>
      <c r="AK328" s="38">
        <f>IF(A328="","",IFERROR(COUNTIF(Y328:AF328,"Y")/(COUNTIF(Y328:AF328,"Y")+COUNTIF(Y328:AF328,"N")),0))</f>
        <v/>
      </c>
      <c r="AL328" s="36">
        <f>IF(OR(A328="",X328=""),"",MAX(0,IF(V328&lt;&gt;"",V328,TODAY())-X328))</f>
        <v/>
      </c>
      <c r="AM328" s="32" t="n"/>
      <c r="AN328" s="33">
        <f>IF(A328="","",LOWER(AI328)&amp;"|"&amp;AH328&amp;"|"&amp;AJ328&amp;"|"&amp;AK328)</f>
        <v/>
      </c>
      <c r="AO328" s="33">
        <f>IF(OR(A328="",T328=""),"",T328-TODAY())</f>
        <v/>
      </c>
      <c r="AP328" s="33">
        <f>IF(OR(A328="",V328&lt;&gt;""),"",(TODAY()-B328)+ROW()/1000000)</f>
        <v/>
      </c>
    </row>
    <row r="329" ht="27" customHeight="1">
      <c r="A329" s="30" t="n"/>
      <c r="B329" s="31" t="n"/>
      <c r="C329" s="32" t="n"/>
      <c r="D329" s="32" t="n"/>
      <c r="E329" s="32" t="n"/>
      <c r="F329" s="32" t="n"/>
      <c r="G329" s="33">
        <f>IF(A329="","",IFERROR(INDEX(OffCat,MATCH(F329,OffList,0)),"Unlisted"))</f>
        <v/>
      </c>
      <c r="H329" s="30" t="n"/>
      <c r="I329" s="31" t="n"/>
      <c r="J329" s="34" t="n"/>
      <c r="K329" s="34" t="n"/>
      <c r="L329" s="34" t="n"/>
      <c r="M329" s="30" t="n"/>
      <c r="N329" s="30" t="n"/>
      <c r="O329" s="30" t="n"/>
      <c r="P329" s="30" t="n"/>
      <c r="Q329" s="31" t="n"/>
      <c r="R329" s="31" t="n"/>
      <c r="S329" s="31" t="n"/>
      <c r="T329" s="31" t="n"/>
      <c r="U329" s="31" t="n"/>
      <c r="V329" s="31" t="n"/>
      <c r="W329" s="30" t="n"/>
      <c r="X329" s="31" t="n"/>
      <c r="Y329" s="35" t="n"/>
      <c r="Z329" s="35" t="n"/>
      <c r="AA329" s="35" t="n"/>
      <c r="AB329" s="35" t="n"/>
      <c r="AC329" s="35" t="n"/>
      <c r="AD329" s="35" t="n"/>
      <c r="AE329" s="35" t="n"/>
      <c r="AF329" s="35" t="n"/>
      <c r="AG329" s="36">
        <f>IF(A329="","",IF(V329&lt;&gt;"",V329-B329,TODAY()-B329))</f>
        <v/>
      </c>
      <c r="AH329" s="36">
        <f>IF(OR(A329="",I329=""),"",MAX(0,IF(V329&lt;&gt;"",V329-I329,TODAY()-I329)))</f>
        <v/>
      </c>
      <c r="AI329" s="37">
        <f>IF(A329="","",IF(OR(K329="Closed",V329&lt;&gt;""),"Closed",IF(AH329&gt;=AgeCrit,"Critical",IF(AH329&gt;=AgeFu,"For Follow-up",IF(AH329&gt;=AgeMonitor,"Monitor","Within Standard")))))</f>
        <v/>
      </c>
      <c r="AJ329" s="38">
        <f>IF(A329="","",IFERROR(INDEX(StgPct,MATCH(H329,StgList,0)),0))</f>
        <v/>
      </c>
      <c r="AK329" s="38">
        <f>IF(A329="","",IFERROR(COUNTIF(Y329:AF329,"Y")/(COUNTIF(Y329:AF329,"Y")+COUNTIF(Y329:AF329,"N")),0))</f>
        <v/>
      </c>
      <c r="AL329" s="36">
        <f>IF(OR(A329="",X329=""),"",MAX(0,IF(V329&lt;&gt;"",V329,TODAY())-X329))</f>
        <v/>
      </c>
      <c r="AM329" s="32" t="n"/>
      <c r="AN329" s="33">
        <f>IF(A329="","",LOWER(AI329)&amp;"|"&amp;AH329&amp;"|"&amp;AJ329&amp;"|"&amp;AK329)</f>
        <v/>
      </c>
      <c r="AO329" s="33">
        <f>IF(OR(A329="",T329=""),"",T329-TODAY())</f>
        <v/>
      </c>
      <c r="AP329" s="33">
        <f>IF(OR(A329="",V329&lt;&gt;""),"",(TODAY()-B329)+ROW()/1000000)</f>
        <v/>
      </c>
    </row>
    <row r="330" ht="27" customHeight="1">
      <c r="A330" s="30" t="n"/>
      <c r="B330" s="31" t="n"/>
      <c r="C330" s="32" t="n"/>
      <c r="D330" s="32" t="n"/>
      <c r="E330" s="32" t="n"/>
      <c r="F330" s="32" t="n"/>
      <c r="G330" s="33">
        <f>IF(A330="","",IFERROR(INDEX(OffCat,MATCH(F330,OffList,0)),"Unlisted"))</f>
        <v/>
      </c>
      <c r="H330" s="30" t="n"/>
      <c r="I330" s="31" t="n"/>
      <c r="J330" s="34" t="n"/>
      <c r="K330" s="34" t="n"/>
      <c r="L330" s="34" t="n"/>
      <c r="M330" s="30" t="n"/>
      <c r="N330" s="30" t="n"/>
      <c r="O330" s="30" t="n"/>
      <c r="P330" s="30" t="n"/>
      <c r="Q330" s="31" t="n"/>
      <c r="R330" s="31" t="n"/>
      <c r="S330" s="31" t="n"/>
      <c r="T330" s="31" t="n"/>
      <c r="U330" s="31" t="n"/>
      <c r="V330" s="31" t="n"/>
      <c r="W330" s="30" t="n"/>
      <c r="X330" s="31" t="n"/>
      <c r="Y330" s="35" t="n"/>
      <c r="Z330" s="35" t="n"/>
      <c r="AA330" s="35" t="n"/>
      <c r="AB330" s="35" t="n"/>
      <c r="AC330" s="35" t="n"/>
      <c r="AD330" s="35" t="n"/>
      <c r="AE330" s="35" t="n"/>
      <c r="AF330" s="35" t="n"/>
      <c r="AG330" s="36">
        <f>IF(A330="","",IF(V330&lt;&gt;"",V330-B330,TODAY()-B330))</f>
        <v/>
      </c>
      <c r="AH330" s="36">
        <f>IF(OR(A330="",I330=""),"",MAX(0,IF(V330&lt;&gt;"",V330-I330,TODAY()-I330)))</f>
        <v/>
      </c>
      <c r="AI330" s="37">
        <f>IF(A330="","",IF(OR(K330="Closed",V330&lt;&gt;""),"Closed",IF(AH330&gt;=AgeCrit,"Critical",IF(AH330&gt;=AgeFu,"For Follow-up",IF(AH330&gt;=AgeMonitor,"Monitor","Within Standard")))))</f>
        <v/>
      </c>
      <c r="AJ330" s="38">
        <f>IF(A330="","",IFERROR(INDEX(StgPct,MATCH(H330,StgList,0)),0))</f>
        <v/>
      </c>
      <c r="AK330" s="38">
        <f>IF(A330="","",IFERROR(COUNTIF(Y330:AF330,"Y")/(COUNTIF(Y330:AF330,"Y")+COUNTIF(Y330:AF330,"N")),0))</f>
        <v/>
      </c>
      <c r="AL330" s="36">
        <f>IF(OR(A330="",X330=""),"",MAX(0,IF(V330&lt;&gt;"",V330,TODAY())-X330))</f>
        <v/>
      </c>
      <c r="AM330" s="32" t="n"/>
      <c r="AN330" s="33">
        <f>IF(A330="","",LOWER(AI330)&amp;"|"&amp;AH330&amp;"|"&amp;AJ330&amp;"|"&amp;AK330)</f>
        <v/>
      </c>
      <c r="AO330" s="33">
        <f>IF(OR(A330="",T330=""),"",T330-TODAY())</f>
        <v/>
      </c>
      <c r="AP330" s="33">
        <f>IF(OR(A330="",V330&lt;&gt;""),"",(TODAY()-B330)+ROW()/1000000)</f>
        <v/>
      </c>
    </row>
    <row r="331" ht="27" customHeight="1">
      <c r="A331" s="30" t="n"/>
      <c r="B331" s="31" t="n"/>
      <c r="C331" s="32" t="n"/>
      <c r="D331" s="32" t="n"/>
      <c r="E331" s="32" t="n"/>
      <c r="F331" s="32" t="n"/>
      <c r="G331" s="33">
        <f>IF(A331="","",IFERROR(INDEX(OffCat,MATCH(F331,OffList,0)),"Unlisted"))</f>
        <v/>
      </c>
      <c r="H331" s="30" t="n"/>
      <c r="I331" s="31" t="n"/>
      <c r="J331" s="34" t="n"/>
      <c r="K331" s="34" t="n"/>
      <c r="L331" s="34" t="n"/>
      <c r="M331" s="30" t="n"/>
      <c r="N331" s="30" t="n"/>
      <c r="O331" s="30" t="n"/>
      <c r="P331" s="30" t="n"/>
      <c r="Q331" s="31" t="n"/>
      <c r="R331" s="31" t="n"/>
      <c r="S331" s="31" t="n"/>
      <c r="T331" s="31" t="n"/>
      <c r="U331" s="31" t="n"/>
      <c r="V331" s="31" t="n"/>
      <c r="W331" s="30" t="n"/>
      <c r="X331" s="31" t="n"/>
      <c r="Y331" s="35" t="n"/>
      <c r="Z331" s="35" t="n"/>
      <c r="AA331" s="35" t="n"/>
      <c r="AB331" s="35" t="n"/>
      <c r="AC331" s="35" t="n"/>
      <c r="AD331" s="35" t="n"/>
      <c r="AE331" s="35" t="n"/>
      <c r="AF331" s="35" t="n"/>
      <c r="AG331" s="36">
        <f>IF(A331="","",IF(V331&lt;&gt;"",V331-B331,TODAY()-B331))</f>
        <v/>
      </c>
      <c r="AH331" s="36">
        <f>IF(OR(A331="",I331=""),"",MAX(0,IF(V331&lt;&gt;"",V331-I331,TODAY()-I331)))</f>
        <v/>
      </c>
      <c r="AI331" s="37">
        <f>IF(A331="","",IF(OR(K331="Closed",V331&lt;&gt;""),"Closed",IF(AH331&gt;=AgeCrit,"Critical",IF(AH331&gt;=AgeFu,"For Follow-up",IF(AH331&gt;=AgeMonitor,"Monitor","Within Standard")))))</f>
        <v/>
      </c>
      <c r="AJ331" s="38">
        <f>IF(A331="","",IFERROR(INDEX(StgPct,MATCH(H331,StgList,0)),0))</f>
        <v/>
      </c>
      <c r="AK331" s="38">
        <f>IF(A331="","",IFERROR(COUNTIF(Y331:AF331,"Y")/(COUNTIF(Y331:AF331,"Y")+COUNTIF(Y331:AF331,"N")),0))</f>
        <v/>
      </c>
      <c r="AL331" s="36">
        <f>IF(OR(A331="",X331=""),"",MAX(0,IF(V331&lt;&gt;"",V331,TODAY())-X331))</f>
        <v/>
      </c>
      <c r="AM331" s="32" t="n"/>
      <c r="AN331" s="33">
        <f>IF(A331="","",LOWER(AI331)&amp;"|"&amp;AH331&amp;"|"&amp;AJ331&amp;"|"&amp;AK331)</f>
        <v/>
      </c>
      <c r="AO331" s="33">
        <f>IF(OR(A331="",T331=""),"",T331-TODAY())</f>
        <v/>
      </c>
      <c r="AP331" s="33">
        <f>IF(OR(A331="",V331&lt;&gt;""),"",(TODAY()-B331)+ROW()/1000000)</f>
        <v/>
      </c>
    </row>
    <row r="332" ht="27" customHeight="1">
      <c r="A332" s="30" t="n"/>
      <c r="B332" s="31" t="n"/>
      <c r="C332" s="32" t="n"/>
      <c r="D332" s="32" t="n"/>
      <c r="E332" s="32" t="n"/>
      <c r="F332" s="32" t="n"/>
      <c r="G332" s="33">
        <f>IF(A332="","",IFERROR(INDEX(OffCat,MATCH(F332,OffList,0)),"Unlisted"))</f>
        <v/>
      </c>
      <c r="H332" s="30" t="n"/>
      <c r="I332" s="31" t="n"/>
      <c r="J332" s="34" t="n"/>
      <c r="K332" s="34" t="n"/>
      <c r="L332" s="34" t="n"/>
      <c r="M332" s="30" t="n"/>
      <c r="N332" s="30" t="n"/>
      <c r="O332" s="30" t="n"/>
      <c r="P332" s="30" t="n"/>
      <c r="Q332" s="31" t="n"/>
      <c r="R332" s="31" t="n"/>
      <c r="S332" s="31" t="n"/>
      <c r="T332" s="31" t="n"/>
      <c r="U332" s="31" t="n"/>
      <c r="V332" s="31" t="n"/>
      <c r="W332" s="30" t="n"/>
      <c r="X332" s="31" t="n"/>
      <c r="Y332" s="35" t="n"/>
      <c r="Z332" s="35" t="n"/>
      <c r="AA332" s="35" t="n"/>
      <c r="AB332" s="35" t="n"/>
      <c r="AC332" s="35" t="n"/>
      <c r="AD332" s="35" t="n"/>
      <c r="AE332" s="35" t="n"/>
      <c r="AF332" s="35" t="n"/>
      <c r="AG332" s="36">
        <f>IF(A332="","",IF(V332&lt;&gt;"",V332-B332,TODAY()-B332))</f>
        <v/>
      </c>
      <c r="AH332" s="36">
        <f>IF(OR(A332="",I332=""),"",MAX(0,IF(V332&lt;&gt;"",V332-I332,TODAY()-I332)))</f>
        <v/>
      </c>
      <c r="AI332" s="37">
        <f>IF(A332="","",IF(OR(K332="Closed",V332&lt;&gt;""),"Closed",IF(AH332&gt;=AgeCrit,"Critical",IF(AH332&gt;=AgeFu,"For Follow-up",IF(AH332&gt;=AgeMonitor,"Monitor","Within Standard")))))</f>
        <v/>
      </c>
      <c r="AJ332" s="38">
        <f>IF(A332="","",IFERROR(INDEX(StgPct,MATCH(H332,StgList,0)),0))</f>
        <v/>
      </c>
      <c r="AK332" s="38">
        <f>IF(A332="","",IFERROR(COUNTIF(Y332:AF332,"Y")/(COUNTIF(Y332:AF332,"Y")+COUNTIF(Y332:AF332,"N")),0))</f>
        <v/>
      </c>
      <c r="AL332" s="36">
        <f>IF(OR(A332="",X332=""),"",MAX(0,IF(V332&lt;&gt;"",V332,TODAY())-X332))</f>
        <v/>
      </c>
      <c r="AM332" s="32" t="n"/>
      <c r="AN332" s="33">
        <f>IF(A332="","",LOWER(AI332)&amp;"|"&amp;AH332&amp;"|"&amp;AJ332&amp;"|"&amp;AK332)</f>
        <v/>
      </c>
      <c r="AO332" s="33">
        <f>IF(OR(A332="",T332=""),"",T332-TODAY())</f>
        <v/>
      </c>
      <c r="AP332" s="33">
        <f>IF(OR(A332="",V332&lt;&gt;""),"",(TODAY()-B332)+ROW()/1000000)</f>
        <v/>
      </c>
    </row>
    <row r="333" ht="27" customHeight="1">
      <c r="A333" s="30" t="n"/>
      <c r="B333" s="31" t="n"/>
      <c r="C333" s="32" t="n"/>
      <c r="D333" s="32" t="n"/>
      <c r="E333" s="32" t="n"/>
      <c r="F333" s="32" t="n"/>
      <c r="G333" s="33">
        <f>IF(A333="","",IFERROR(INDEX(OffCat,MATCH(F333,OffList,0)),"Unlisted"))</f>
        <v/>
      </c>
      <c r="H333" s="30" t="n"/>
      <c r="I333" s="31" t="n"/>
      <c r="J333" s="34" t="n"/>
      <c r="K333" s="34" t="n"/>
      <c r="L333" s="34" t="n"/>
      <c r="M333" s="30" t="n"/>
      <c r="N333" s="30" t="n"/>
      <c r="O333" s="30" t="n"/>
      <c r="P333" s="30" t="n"/>
      <c r="Q333" s="31" t="n"/>
      <c r="R333" s="31" t="n"/>
      <c r="S333" s="31" t="n"/>
      <c r="T333" s="31" t="n"/>
      <c r="U333" s="31" t="n"/>
      <c r="V333" s="31" t="n"/>
      <c r="W333" s="30" t="n"/>
      <c r="X333" s="31" t="n"/>
      <c r="Y333" s="35" t="n"/>
      <c r="Z333" s="35" t="n"/>
      <c r="AA333" s="35" t="n"/>
      <c r="AB333" s="35" t="n"/>
      <c r="AC333" s="35" t="n"/>
      <c r="AD333" s="35" t="n"/>
      <c r="AE333" s="35" t="n"/>
      <c r="AF333" s="35" t="n"/>
      <c r="AG333" s="36">
        <f>IF(A333="","",IF(V333&lt;&gt;"",V333-B333,TODAY()-B333))</f>
        <v/>
      </c>
      <c r="AH333" s="36">
        <f>IF(OR(A333="",I333=""),"",MAX(0,IF(V333&lt;&gt;"",V333-I333,TODAY()-I333)))</f>
        <v/>
      </c>
      <c r="AI333" s="37">
        <f>IF(A333="","",IF(OR(K333="Closed",V333&lt;&gt;""),"Closed",IF(AH333&gt;=AgeCrit,"Critical",IF(AH333&gt;=AgeFu,"For Follow-up",IF(AH333&gt;=AgeMonitor,"Monitor","Within Standard")))))</f>
        <v/>
      </c>
      <c r="AJ333" s="38">
        <f>IF(A333="","",IFERROR(INDEX(StgPct,MATCH(H333,StgList,0)),0))</f>
        <v/>
      </c>
      <c r="AK333" s="38">
        <f>IF(A333="","",IFERROR(COUNTIF(Y333:AF333,"Y")/(COUNTIF(Y333:AF333,"Y")+COUNTIF(Y333:AF333,"N")),0))</f>
        <v/>
      </c>
      <c r="AL333" s="36">
        <f>IF(OR(A333="",X333=""),"",MAX(0,IF(V333&lt;&gt;"",V333,TODAY())-X333))</f>
        <v/>
      </c>
      <c r="AM333" s="32" t="n"/>
      <c r="AN333" s="33">
        <f>IF(A333="","",LOWER(AI333)&amp;"|"&amp;AH333&amp;"|"&amp;AJ333&amp;"|"&amp;AK333)</f>
        <v/>
      </c>
      <c r="AO333" s="33">
        <f>IF(OR(A333="",T333=""),"",T333-TODAY())</f>
        <v/>
      </c>
      <c r="AP333" s="33">
        <f>IF(OR(A333="",V333&lt;&gt;""),"",(TODAY()-B333)+ROW()/1000000)</f>
        <v/>
      </c>
    </row>
    <row r="334" ht="27" customHeight="1">
      <c r="A334" s="30" t="n"/>
      <c r="B334" s="31" t="n"/>
      <c r="C334" s="32" t="n"/>
      <c r="D334" s="32" t="n"/>
      <c r="E334" s="32" t="n"/>
      <c r="F334" s="32" t="n"/>
      <c r="G334" s="33">
        <f>IF(A334="","",IFERROR(INDEX(OffCat,MATCH(F334,OffList,0)),"Unlisted"))</f>
        <v/>
      </c>
      <c r="H334" s="30" t="n"/>
      <c r="I334" s="31" t="n"/>
      <c r="J334" s="34" t="n"/>
      <c r="K334" s="34" t="n"/>
      <c r="L334" s="34" t="n"/>
      <c r="M334" s="30" t="n"/>
      <c r="N334" s="30" t="n"/>
      <c r="O334" s="30" t="n"/>
      <c r="P334" s="30" t="n"/>
      <c r="Q334" s="31" t="n"/>
      <c r="R334" s="31" t="n"/>
      <c r="S334" s="31" t="n"/>
      <c r="T334" s="31" t="n"/>
      <c r="U334" s="31" t="n"/>
      <c r="V334" s="31" t="n"/>
      <c r="W334" s="30" t="n"/>
      <c r="X334" s="31" t="n"/>
      <c r="Y334" s="35" t="n"/>
      <c r="Z334" s="35" t="n"/>
      <c r="AA334" s="35" t="n"/>
      <c r="AB334" s="35" t="n"/>
      <c r="AC334" s="35" t="n"/>
      <c r="AD334" s="35" t="n"/>
      <c r="AE334" s="35" t="n"/>
      <c r="AF334" s="35" t="n"/>
      <c r="AG334" s="36">
        <f>IF(A334="","",IF(V334&lt;&gt;"",V334-B334,TODAY()-B334))</f>
        <v/>
      </c>
      <c r="AH334" s="36">
        <f>IF(OR(A334="",I334=""),"",MAX(0,IF(V334&lt;&gt;"",V334-I334,TODAY()-I334)))</f>
        <v/>
      </c>
      <c r="AI334" s="37">
        <f>IF(A334="","",IF(OR(K334="Closed",V334&lt;&gt;""),"Closed",IF(AH334&gt;=AgeCrit,"Critical",IF(AH334&gt;=AgeFu,"For Follow-up",IF(AH334&gt;=AgeMonitor,"Monitor","Within Standard")))))</f>
        <v/>
      </c>
      <c r="AJ334" s="38">
        <f>IF(A334="","",IFERROR(INDEX(StgPct,MATCH(H334,StgList,0)),0))</f>
        <v/>
      </c>
      <c r="AK334" s="38">
        <f>IF(A334="","",IFERROR(COUNTIF(Y334:AF334,"Y")/(COUNTIF(Y334:AF334,"Y")+COUNTIF(Y334:AF334,"N")),0))</f>
        <v/>
      </c>
      <c r="AL334" s="36">
        <f>IF(OR(A334="",X334=""),"",MAX(0,IF(V334&lt;&gt;"",V334,TODAY())-X334))</f>
        <v/>
      </c>
      <c r="AM334" s="32" t="n"/>
      <c r="AN334" s="33">
        <f>IF(A334="","",LOWER(AI334)&amp;"|"&amp;AH334&amp;"|"&amp;AJ334&amp;"|"&amp;AK334)</f>
        <v/>
      </c>
      <c r="AO334" s="33">
        <f>IF(OR(A334="",T334=""),"",T334-TODAY())</f>
        <v/>
      </c>
      <c r="AP334" s="33">
        <f>IF(OR(A334="",V334&lt;&gt;""),"",(TODAY()-B334)+ROW()/1000000)</f>
        <v/>
      </c>
    </row>
    <row r="335" ht="27" customHeight="1">
      <c r="A335" s="30" t="n"/>
      <c r="B335" s="31" t="n"/>
      <c r="C335" s="32" t="n"/>
      <c r="D335" s="32" t="n"/>
      <c r="E335" s="32" t="n"/>
      <c r="F335" s="32" t="n"/>
      <c r="G335" s="33">
        <f>IF(A335="","",IFERROR(INDEX(OffCat,MATCH(F335,OffList,0)),"Unlisted"))</f>
        <v/>
      </c>
      <c r="H335" s="30" t="n"/>
      <c r="I335" s="31" t="n"/>
      <c r="J335" s="34" t="n"/>
      <c r="K335" s="34" t="n"/>
      <c r="L335" s="34" t="n"/>
      <c r="M335" s="30" t="n"/>
      <c r="N335" s="30" t="n"/>
      <c r="O335" s="30" t="n"/>
      <c r="P335" s="30" t="n"/>
      <c r="Q335" s="31" t="n"/>
      <c r="R335" s="31" t="n"/>
      <c r="S335" s="31" t="n"/>
      <c r="T335" s="31" t="n"/>
      <c r="U335" s="31" t="n"/>
      <c r="V335" s="31" t="n"/>
      <c r="W335" s="30" t="n"/>
      <c r="X335" s="31" t="n"/>
      <c r="Y335" s="35" t="n"/>
      <c r="Z335" s="35" t="n"/>
      <c r="AA335" s="35" t="n"/>
      <c r="AB335" s="35" t="n"/>
      <c r="AC335" s="35" t="n"/>
      <c r="AD335" s="35" t="n"/>
      <c r="AE335" s="35" t="n"/>
      <c r="AF335" s="35" t="n"/>
      <c r="AG335" s="36">
        <f>IF(A335="","",IF(V335&lt;&gt;"",V335-B335,TODAY()-B335))</f>
        <v/>
      </c>
      <c r="AH335" s="36">
        <f>IF(OR(A335="",I335=""),"",MAX(0,IF(V335&lt;&gt;"",V335-I335,TODAY()-I335)))</f>
        <v/>
      </c>
      <c r="AI335" s="37">
        <f>IF(A335="","",IF(OR(K335="Closed",V335&lt;&gt;""),"Closed",IF(AH335&gt;=AgeCrit,"Critical",IF(AH335&gt;=AgeFu,"For Follow-up",IF(AH335&gt;=AgeMonitor,"Monitor","Within Standard")))))</f>
        <v/>
      </c>
      <c r="AJ335" s="38">
        <f>IF(A335="","",IFERROR(INDEX(StgPct,MATCH(H335,StgList,0)),0))</f>
        <v/>
      </c>
      <c r="AK335" s="38">
        <f>IF(A335="","",IFERROR(COUNTIF(Y335:AF335,"Y")/(COUNTIF(Y335:AF335,"Y")+COUNTIF(Y335:AF335,"N")),0))</f>
        <v/>
      </c>
      <c r="AL335" s="36">
        <f>IF(OR(A335="",X335=""),"",MAX(0,IF(V335&lt;&gt;"",V335,TODAY())-X335))</f>
        <v/>
      </c>
      <c r="AM335" s="32" t="n"/>
      <c r="AN335" s="33">
        <f>IF(A335="","",LOWER(AI335)&amp;"|"&amp;AH335&amp;"|"&amp;AJ335&amp;"|"&amp;AK335)</f>
        <v/>
      </c>
      <c r="AO335" s="33">
        <f>IF(OR(A335="",T335=""),"",T335-TODAY())</f>
        <v/>
      </c>
      <c r="AP335" s="33">
        <f>IF(OR(A335="",V335&lt;&gt;""),"",(TODAY()-B335)+ROW()/1000000)</f>
        <v/>
      </c>
    </row>
    <row r="336" ht="27" customHeight="1">
      <c r="A336" s="30" t="n"/>
      <c r="B336" s="31" t="n"/>
      <c r="C336" s="32" t="n"/>
      <c r="D336" s="32" t="n"/>
      <c r="E336" s="32" t="n"/>
      <c r="F336" s="32" t="n"/>
      <c r="G336" s="33">
        <f>IF(A336="","",IFERROR(INDEX(OffCat,MATCH(F336,OffList,0)),"Unlisted"))</f>
        <v/>
      </c>
      <c r="H336" s="30" t="n"/>
      <c r="I336" s="31" t="n"/>
      <c r="J336" s="34" t="n"/>
      <c r="K336" s="34" t="n"/>
      <c r="L336" s="34" t="n"/>
      <c r="M336" s="30" t="n"/>
      <c r="N336" s="30" t="n"/>
      <c r="O336" s="30" t="n"/>
      <c r="P336" s="30" t="n"/>
      <c r="Q336" s="31" t="n"/>
      <c r="R336" s="31" t="n"/>
      <c r="S336" s="31" t="n"/>
      <c r="T336" s="31" t="n"/>
      <c r="U336" s="31" t="n"/>
      <c r="V336" s="31" t="n"/>
      <c r="W336" s="30" t="n"/>
      <c r="X336" s="31" t="n"/>
      <c r="Y336" s="35" t="n"/>
      <c r="Z336" s="35" t="n"/>
      <c r="AA336" s="35" t="n"/>
      <c r="AB336" s="35" t="n"/>
      <c r="AC336" s="35" t="n"/>
      <c r="AD336" s="35" t="n"/>
      <c r="AE336" s="35" t="n"/>
      <c r="AF336" s="35" t="n"/>
      <c r="AG336" s="36">
        <f>IF(A336="","",IF(V336&lt;&gt;"",V336-B336,TODAY()-B336))</f>
        <v/>
      </c>
      <c r="AH336" s="36">
        <f>IF(OR(A336="",I336=""),"",MAX(0,IF(V336&lt;&gt;"",V336-I336,TODAY()-I336)))</f>
        <v/>
      </c>
      <c r="AI336" s="37">
        <f>IF(A336="","",IF(OR(K336="Closed",V336&lt;&gt;""),"Closed",IF(AH336&gt;=AgeCrit,"Critical",IF(AH336&gt;=AgeFu,"For Follow-up",IF(AH336&gt;=AgeMonitor,"Monitor","Within Standard")))))</f>
        <v/>
      </c>
      <c r="AJ336" s="38">
        <f>IF(A336="","",IFERROR(INDEX(StgPct,MATCH(H336,StgList,0)),0))</f>
        <v/>
      </c>
      <c r="AK336" s="38">
        <f>IF(A336="","",IFERROR(COUNTIF(Y336:AF336,"Y")/(COUNTIF(Y336:AF336,"Y")+COUNTIF(Y336:AF336,"N")),0))</f>
        <v/>
      </c>
      <c r="AL336" s="36">
        <f>IF(OR(A336="",X336=""),"",MAX(0,IF(V336&lt;&gt;"",V336,TODAY())-X336))</f>
        <v/>
      </c>
      <c r="AM336" s="32" t="n"/>
      <c r="AN336" s="33">
        <f>IF(A336="","",LOWER(AI336)&amp;"|"&amp;AH336&amp;"|"&amp;AJ336&amp;"|"&amp;AK336)</f>
        <v/>
      </c>
      <c r="AO336" s="33">
        <f>IF(OR(A336="",T336=""),"",T336-TODAY())</f>
        <v/>
      </c>
      <c r="AP336" s="33">
        <f>IF(OR(A336="",V336&lt;&gt;""),"",(TODAY()-B336)+ROW()/1000000)</f>
        <v/>
      </c>
    </row>
    <row r="337" ht="27" customHeight="1">
      <c r="A337" s="30" t="n"/>
      <c r="B337" s="31" t="n"/>
      <c r="C337" s="32" t="n"/>
      <c r="D337" s="32" t="n"/>
      <c r="E337" s="32" t="n"/>
      <c r="F337" s="32" t="n"/>
      <c r="G337" s="33">
        <f>IF(A337="","",IFERROR(INDEX(OffCat,MATCH(F337,OffList,0)),"Unlisted"))</f>
        <v/>
      </c>
      <c r="H337" s="30" t="n"/>
      <c r="I337" s="31" t="n"/>
      <c r="J337" s="34" t="n"/>
      <c r="K337" s="34" t="n"/>
      <c r="L337" s="34" t="n"/>
      <c r="M337" s="30" t="n"/>
      <c r="N337" s="30" t="n"/>
      <c r="O337" s="30" t="n"/>
      <c r="P337" s="30" t="n"/>
      <c r="Q337" s="31" t="n"/>
      <c r="R337" s="31" t="n"/>
      <c r="S337" s="31" t="n"/>
      <c r="T337" s="31" t="n"/>
      <c r="U337" s="31" t="n"/>
      <c r="V337" s="31" t="n"/>
      <c r="W337" s="30" t="n"/>
      <c r="X337" s="31" t="n"/>
      <c r="Y337" s="35" t="n"/>
      <c r="Z337" s="35" t="n"/>
      <c r="AA337" s="35" t="n"/>
      <c r="AB337" s="35" t="n"/>
      <c r="AC337" s="35" t="n"/>
      <c r="AD337" s="35" t="n"/>
      <c r="AE337" s="35" t="n"/>
      <c r="AF337" s="35" t="n"/>
      <c r="AG337" s="36">
        <f>IF(A337="","",IF(V337&lt;&gt;"",V337-B337,TODAY()-B337))</f>
        <v/>
      </c>
      <c r="AH337" s="36">
        <f>IF(OR(A337="",I337=""),"",MAX(0,IF(V337&lt;&gt;"",V337-I337,TODAY()-I337)))</f>
        <v/>
      </c>
      <c r="AI337" s="37">
        <f>IF(A337="","",IF(OR(K337="Closed",V337&lt;&gt;""),"Closed",IF(AH337&gt;=AgeCrit,"Critical",IF(AH337&gt;=AgeFu,"For Follow-up",IF(AH337&gt;=AgeMonitor,"Monitor","Within Standard")))))</f>
        <v/>
      </c>
      <c r="AJ337" s="38">
        <f>IF(A337="","",IFERROR(INDEX(StgPct,MATCH(H337,StgList,0)),0))</f>
        <v/>
      </c>
      <c r="AK337" s="38">
        <f>IF(A337="","",IFERROR(COUNTIF(Y337:AF337,"Y")/(COUNTIF(Y337:AF337,"Y")+COUNTIF(Y337:AF337,"N")),0))</f>
        <v/>
      </c>
      <c r="AL337" s="36">
        <f>IF(OR(A337="",X337=""),"",MAX(0,IF(V337&lt;&gt;"",V337,TODAY())-X337))</f>
        <v/>
      </c>
      <c r="AM337" s="32" t="n"/>
      <c r="AN337" s="33">
        <f>IF(A337="","",LOWER(AI337)&amp;"|"&amp;AH337&amp;"|"&amp;AJ337&amp;"|"&amp;AK337)</f>
        <v/>
      </c>
      <c r="AO337" s="33">
        <f>IF(OR(A337="",T337=""),"",T337-TODAY())</f>
        <v/>
      </c>
      <c r="AP337" s="33">
        <f>IF(OR(A337="",V337&lt;&gt;""),"",(TODAY()-B337)+ROW()/1000000)</f>
        <v/>
      </c>
    </row>
    <row r="338" ht="27" customHeight="1">
      <c r="A338" s="30" t="n"/>
      <c r="B338" s="31" t="n"/>
      <c r="C338" s="32" t="n"/>
      <c r="D338" s="32" t="n"/>
      <c r="E338" s="32" t="n"/>
      <c r="F338" s="32" t="n"/>
      <c r="G338" s="33">
        <f>IF(A338="","",IFERROR(INDEX(OffCat,MATCH(F338,OffList,0)),"Unlisted"))</f>
        <v/>
      </c>
      <c r="H338" s="30" t="n"/>
      <c r="I338" s="31" t="n"/>
      <c r="J338" s="34" t="n"/>
      <c r="K338" s="34" t="n"/>
      <c r="L338" s="34" t="n"/>
      <c r="M338" s="30" t="n"/>
      <c r="N338" s="30" t="n"/>
      <c r="O338" s="30" t="n"/>
      <c r="P338" s="30" t="n"/>
      <c r="Q338" s="31" t="n"/>
      <c r="R338" s="31" t="n"/>
      <c r="S338" s="31" t="n"/>
      <c r="T338" s="31" t="n"/>
      <c r="U338" s="31" t="n"/>
      <c r="V338" s="31" t="n"/>
      <c r="W338" s="30" t="n"/>
      <c r="X338" s="31" t="n"/>
      <c r="Y338" s="35" t="n"/>
      <c r="Z338" s="35" t="n"/>
      <c r="AA338" s="35" t="n"/>
      <c r="AB338" s="35" t="n"/>
      <c r="AC338" s="35" t="n"/>
      <c r="AD338" s="35" t="n"/>
      <c r="AE338" s="35" t="n"/>
      <c r="AF338" s="35" t="n"/>
      <c r="AG338" s="36">
        <f>IF(A338="","",IF(V338&lt;&gt;"",V338-B338,TODAY()-B338))</f>
        <v/>
      </c>
      <c r="AH338" s="36">
        <f>IF(OR(A338="",I338=""),"",MAX(0,IF(V338&lt;&gt;"",V338-I338,TODAY()-I338)))</f>
        <v/>
      </c>
      <c r="AI338" s="37">
        <f>IF(A338="","",IF(OR(K338="Closed",V338&lt;&gt;""),"Closed",IF(AH338&gt;=AgeCrit,"Critical",IF(AH338&gt;=AgeFu,"For Follow-up",IF(AH338&gt;=AgeMonitor,"Monitor","Within Standard")))))</f>
        <v/>
      </c>
      <c r="AJ338" s="38">
        <f>IF(A338="","",IFERROR(INDEX(StgPct,MATCH(H338,StgList,0)),0))</f>
        <v/>
      </c>
      <c r="AK338" s="38">
        <f>IF(A338="","",IFERROR(COUNTIF(Y338:AF338,"Y")/(COUNTIF(Y338:AF338,"Y")+COUNTIF(Y338:AF338,"N")),0))</f>
        <v/>
      </c>
      <c r="AL338" s="36">
        <f>IF(OR(A338="",X338=""),"",MAX(0,IF(V338&lt;&gt;"",V338,TODAY())-X338))</f>
        <v/>
      </c>
      <c r="AM338" s="32" t="n"/>
      <c r="AN338" s="33">
        <f>IF(A338="","",LOWER(AI338)&amp;"|"&amp;AH338&amp;"|"&amp;AJ338&amp;"|"&amp;AK338)</f>
        <v/>
      </c>
      <c r="AO338" s="33">
        <f>IF(OR(A338="",T338=""),"",T338-TODAY())</f>
        <v/>
      </c>
      <c r="AP338" s="33">
        <f>IF(OR(A338="",V338&lt;&gt;""),"",(TODAY()-B338)+ROW()/1000000)</f>
        <v/>
      </c>
    </row>
    <row r="339" ht="27" customHeight="1">
      <c r="A339" s="30" t="n"/>
      <c r="B339" s="31" t="n"/>
      <c r="C339" s="32" t="n"/>
      <c r="D339" s="32" t="n"/>
      <c r="E339" s="32" t="n"/>
      <c r="F339" s="32" t="n"/>
      <c r="G339" s="33">
        <f>IF(A339="","",IFERROR(INDEX(OffCat,MATCH(F339,OffList,0)),"Unlisted"))</f>
        <v/>
      </c>
      <c r="H339" s="30" t="n"/>
      <c r="I339" s="31" t="n"/>
      <c r="J339" s="34" t="n"/>
      <c r="K339" s="34" t="n"/>
      <c r="L339" s="34" t="n"/>
      <c r="M339" s="30" t="n"/>
      <c r="N339" s="30" t="n"/>
      <c r="O339" s="30" t="n"/>
      <c r="P339" s="30" t="n"/>
      <c r="Q339" s="31" t="n"/>
      <c r="R339" s="31" t="n"/>
      <c r="S339" s="31" t="n"/>
      <c r="T339" s="31" t="n"/>
      <c r="U339" s="31" t="n"/>
      <c r="V339" s="31" t="n"/>
      <c r="W339" s="30" t="n"/>
      <c r="X339" s="31" t="n"/>
      <c r="Y339" s="35" t="n"/>
      <c r="Z339" s="35" t="n"/>
      <c r="AA339" s="35" t="n"/>
      <c r="AB339" s="35" t="n"/>
      <c r="AC339" s="35" t="n"/>
      <c r="AD339" s="35" t="n"/>
      <c r="AE339" s="35" t="n"/>
      <c r="AF339" s="35" t="n"/>
      <c r="AG339" s="36">
        <f>IF(A339="","",IF(V339&lt;&gt;"",V339-B339,TODAY()-B339))</f>
        <v/>
      </c>
      <c r="AH339" s="36">
        <f>IF(OR(A339="",I339=""),"",MAX(0,IF(V339&lt;&gt;"",V339-I339,TODAY()-I339)))</f>
        <v/>
      </c>
      <c r="AI339" s="37">
        <f>IF(A339="","",IF(OR(K339="Closed",V339&lt;&gt;""),"Closed",IF(AH339&gt;=AgeCrit,"Critical",IF(AH339&gt;=AgeFu,"For Follow-up",IF(AH339&gt;=AgeMonitor,"Monitor","Within Standard")))))</f>
        <v/>
      </c>
      <c r="AJ339" s="38">
        <f>IF(A339="","",IFERROR(INDEX(StgPct,MATCH(H339,StgList,0)),0))</f>
        <v/>
      </c>
      <c r="AK339" s="38">
        <f>IF(A339="","",IFERROR(COUNTIF(Y339:AF339,"Y")/(COUNTIF(Y339:AF339,"Y")+COUNTIF(Y339:AF339,"N")),0))</f>
        <v/>
      </c>
      <c r="AL339" s="36">
        <f>IF(OR(A339="",X339=""),"",MAX(0,IF(V339&lt;&gt;"",V339,TODAY())-X339))</f>
        <v/>
      </c>
      <c r="AM339" s="32" t="n"/>
      <c r="AN339" s="33">
        <f>IF(A339="","",LOWER(AI339)&amp;"|"&amp;AH339&amp;"|"&amp;AJ339&amp;"|"&amp;AK339)</f>
        <v/>
      </c>
      <c r="AO339" s="33">
        <f>IF(OR(A339="",T339=""),"",T339-TODAY())</f>
        <v/>
      </c>
      <c r="AP339" s="33">
        <f>IF(OR(A339="",V339&lt;&gt;""),"",(TODAY()-B339)+ROW()/1000000)</f>
        <v/>
      </c>
    </row>
    <row r="340" ht="27" customHeight="1">
      <c r="A340" s="30" t="n"/>
      <c r="B340" s="31" t="n"/>
      <c r="C340" s="32" t="n"/>
      <c r="D340" s="32" t="n"/>
      <c r="E340" s="32" t="n"/>
      <c r="F340" s="32" t="n"/>
      <c r="G340" s="33">
        <f>IF(A340="","",IFERROR(INDEX(OffCat,MATCH(F340,OffList,0)),"Unlisted"))</f>
        <v/>
      </c>
      <c r="H340" s="30" t="n"/>
      <c r="I340" s="31" t="n"/>
      <c r="J340" s="34" t="n"/>
      <c r="K340" s="34" t="n"/>
      <c r="L340" s="34" t="n"/>
      <c r="M340" s="30" t="n"/>
      <c r="N340" s="30" t="n"/>
      <c r="O340" s="30" t="n"/>
      <c r="P340" s="30" t="n"/>
      <c r="Q340" s="31" t="n"/>
      <c r="R340" s="31" t="n"/>
      <c r="S340" s="31" t="n"/>
      <c r="T340" s="31" t="n"/>
      <c r="U340" s="31" t="n"/>
      <c r="V340" s="31" t="n"/>
      <c r="W340" s="30" t="n"/>
      <c r="X340" s="31" t="n"/>
      <c r="Y340" s="35" t="n"/>
      <c r="Z340" s="35" t="n"/>
      <c r="AA340" s="35" t="n"/>
      <c r="AB340" s="35" t="n"/>
      <c r="AC340" s="35" t="n"/>
      <c r="AD340" s="35" t="n"/>
      <c r="AE340" s="35" t="n"/>
      <c r="AF340" s="35" t="n"/>
      <c r="AG340" s="36">
        <f>IF(A340="","",IF(V340&lt;&gt;"",V340-B340,TODAY()-B340))</f>
        <v/>
      </c>
      <c r="AH340" s="36">
        <f>IF(OR(A340="",I340=""),"",MAX(0,IF(V340&lt;&gt;"",V340-I340,TODAY()-I340)))</f>
        <v/>
      </c>
      <c r="AI340" s="37">
        <f>IF(A340="","",IF(OR(K340="Closed",V340&lt;&gt;""),"Closed",IF(AH340&gt;=AgeCrit,"Critical",IF(AH340&gt;=AgeFu,"For Follow-up",IF(AH340&gt;=AgeMonitor,"Monitor","Within Standard")))))</f>
        <v/>
      </c>
      <c r="AJ340" s="38">
        <f>IF(A340="","",IFERROR(INDEX(StgPct,MATCH(H340,StgList,0)),0))</f>
        <v/>
      </c>
      <c r="AK340" s="38">
        <f>IF(A340="","",IFERROR(COUNTIF(Y340:AF340,"Y")/(COUNTIF(Y340:AF340,"Y")+COUNTIF(Y340:AF340,"N")),0))</f>
        <v/>
      </c>
      <c r="AL340" s="36">
        <f>IF(OR(A340="",X340=""),"",MAX(0,IF(V340&lt;&gt;"",V340,TODAY())-X340))</f>
        <v/>
      </c>
      <c r="AM340" s="32" t="n"/>
      <c r="AN340" s="33">
        <f>IF(A340="","",LOWER(AI340)&amp;"|"&amp;AH340&amp;"|"&amp;AJ340&amp;"|"&amp;AK340)</f>
        <v/>
      </c>
      <c r="AO340" s="33">
        <f>IF(OR(A340="",T340=""),"",T340-TODAY())</f>
        <v/>
      </c>
      <c r="AP340" s="33">
        <f>IF(OR(A340="",V340&lt;&gt;""),"",(TODAY()-B340)+ROW()/1000000)</f>
        <v/>
      </c>
    </row>
    <row r="341" ht="27" customHeight="1">
      <c r="A341" s="30" t="n"/>
      <c r="B341" s="31" t="n"/>
      <c r="C341" s="32" t="n"/>
      <c r="D341" s="32" t="n"/>
      <c r="E341" s="32" t="n"/>
      <c r="F341" s="32" t="n"/>
      <c r="G341" s="33">
        <f>IF(A341="","",IFERROR(INDEX(OffCat,MATCH(F341,OffList,0)),"Unlisted"))</f>
        <v/>
      </c>
      <c r="H341" s="30" t="n"/>
      <c r="I341" s="31" t="n"/>
      <c r="J341" s="34" t="n"/>
      <c r="K341" s="34" t="n"/>
      <c r="L341" s="34" t="n"/>
      <c r="M341" s="30" t="n"/>
      <c r="N341" s="30" t="n"/>
      <c r="O341" s="30" t="n"/>
      <c r="P341" s="30" t="n"/>
      <c r="Q341" s="31" t="n"/>
      <c r="R341" s="31" t="n"/>
      <c r="S341" s="31" t="n"/>
      <c r="T341" s="31" t="n"/>
      <c r="U341" s="31" t="n"/>
      <c r="V341" s="31" t="n"/>
      <c r="W341" s="30" t="n"/>
      <c r="X341" s="31" t="n"/>
      <c r="Y341" s="35" t="n"/>
      <c r="Z341" s="35" t="n"/>
      <c r="AA341" s="35" t="n"/>
      <c r="AB341" s="35" t="n"/>
      <c r="AC341" s="35" t="n"/>
      <c r="AD341" s="35" t="n"/>
      <c r="AE341" s="35" t="n"/>
      <c r="AF341" s="35" t="n"/>
      <c r="AG341" s="36">
        <f>IF(A341="","",IF(V341&lt;&gt;"",V341-B341,TODAY()-B341))</f>
        <v/>
      </c>
      <c r="AH341" s="36">
        <f>IF(OR(A341="",I341=""),"",MAX(0,IF(V341&lt;&gt;"",V341-I341,TODAY()-I341)))</f>
        <v/>
      </c>
      <c r="AI341" s="37">
        <f>IF(A341="","",IF(OR(K341="Closed",V341&lt;&gt;""),"Closed",IF(AH341&gt;=AgeCrit,"Critical",IF(AH341&gt;=AgeFu,"For Follow-up",IF(AH341&gt;=AgeMonitor,"Monitor","Within Standard")))))</f>
        <v/>
      </c>
      <c r="AJ341" s="38">
        <f>IF(A341="","",IFERROR(INDEX(StgPct,MATCH(H341,StgList,0)),0))</f>
        <v/>
      </c>
      <c r="AK341" s="38">
        <f>IF(A341="","",IFERROR(COUNTIF(Y341:AF341,"Y")/(COUNTIF(Y341:AF341,"Y")+COUNTIF(Y341:AF341,"N")),0))</f>
        <v/>
      </c>
      <c r="AL341" s="36">
        <f>IF(OR(A341="",X341=""),"",MAX(0,IF(V341&lt;&gt;"",V341,TODAY())-X341))</f>
        <v/>
      </c>
      <c r="AM341" s="32" t="n"/>
      <c r="AN341" s="33">
        <f>IF(A341="","",LOWER(AI341)&amp;"|"&amp;AH341&amp;"|"&amp;AJ341&amp;"|"&amp;AK341)</f>
        <v/>
      </c>
      <c r="AO341" s="33">
        <f>IF(OR(A341="",T341=""),"",T341-TODAY())</f>
        <v/>
      </c>
      <c r="AP341" s="33">
        <f>IF(OR(A341="",V341&lt;&gt;""),"",(TODAY()-B341)+ROW()/1000000)</f>
        <v/>
      </c>
    </row>
    <row r="342" ht="27" customHeight="1">
      <c r="A342" s="30" t="n"/>
      <c r="B342" s="31" t="n"/>
      <c r="C342" s="32" t="n"/>
      <c r="D342" s="32" t="n"/>
      <c r="E342" s="32" t="n"/>
      <c r="F342" s="32" t="n"/>
      <c r="G342" s="33">
        <f>IF(A342="","",IFERROR(INDEX(OffCat,MATCH(F342,OffList,0)),"Unlisted"))</f>
        <v/>
      </c>
      <c r="H342" s="30" t="n"/>
      <c r="I342" s="31" t="n"/>
      <c r="J342" s="34" t="n"/>
      <c r="K342" s="34" t="n"/>
      <c r="L342" s="34" t="n"/>
      <c r="M342" s="30" t="n"/>
      <c r="N342" s="30" t="n"/>
      <c r="O342" s="30" t="n"/>
      <c r="P342" s="30" t="n"/>
      <c r="Q342" s="31" t="n"/>
      <c r="R342" s="31" t="n"/>
      <c r="S342" s="31" t="n"/>
      <c r="T342" s="31" t="n"/>
      <c r="U342" s="31" t="n"/>
      <c r="V342" s="31" t="n"/>
      <c r="W342" s="30" t="n"/>
      <c r="X342" s="31" t="n"/>
      <c r="Y342" s="35" t="n"/>
      <c r="Z342" s="35" t="n"/>
      <c r="AA342" s="35" t="n"/>
      <c r="AB342" s="35" t="n"/>
      <c r="AC342" s="35" t="n"/>
      <c r="AD342" s="35" t="n"/>
      <c r="AE342" s="35" t="n"/>
      <c r="AF342" s="35" t="n"/>
      <c r="AG342" s="36">
        <f>IF(A342="","",IF(V342&lt;&gt;"",V342-B342,TODAY()-B342))</f>
        <v/>
      </c>
      <c r="AH342" s="36">
        <f>IF(OR(A342="",I342=""),"",MAX(0,IF(V342&lt;&gt;"",V342-I342,TODAY()-I342)))</f>
        <v/>
      </c>
      <c r="AI342" s="37">
        <f>IF(A342="","",IF(OR(K342="Closed",V342&lt;&gt;""),"Closed",IF(AH342&gt;=AgeCrit,"Critical",IF(AH342&gt;=AgeFu,"For Follow-up",IF(AH342&gt;=AgeMonitor,"Monitor","Within Standard")))))</f>
        <v/>
      </c>
      <c r="AJ342" s="38">
        <f>IF(A342="","",IFERROR(INDEX(StgPct,MATCH(H342,StgList,0)),0))</f>
        <v/>
      </c>
      <c r="AK342" s="38">
        <f>IF(A342="","",IFERROR(COUNTIF(Y342:AF342,"Y")/(COUNTIF(Y342:AF342,"Y")+COUNTIF(Y342:AF342,"N")),0))</f>
        <v/>
      </c>
      <c r="AL342" s="36">
        <f>IF(OR(A342="",X342=""),"",MAX(0,IF(V342&lt;&gt;"",V342,TODAY())-X342))</f>
        <v/>
      </c>
      <c r="AM342" s="32" t="n"/>
      <c r="AN342" s="33">
        <f>IF(A342="","",LOWER(AI342)&amp;"|"&amp;AH342&amp;"|"&amp;AJ342&amp;"|"&amp;AK342)</f>
        <v/>
      </c>
      <c r="AO342" s="33">
        <f>IF(OR(A342="",T342=""),"",T342-TODAY())</f>
        <v/>
      </c>
      <c r="AP342" s="33">
        <f>IF(OR(A342="",V342&lt;&gt;""),"",(TODAY()-B342)+ROW()/1000000)</f>
        <v/>
      </c>
    </row>
    <row r="343" ht="27" customHeight="1">
      <c r="A343" s="30" t="n"/>
      <c r="B343" s="31" t="n"/>
      <c r="C343" s="32" t="n"/>
      <c r="D343" s="32" t="n"/>
      <c r="E343" s="32" t="n"/>
      <c r="F343" s="32" t="n"/>
      <c r="G343" s="33">
        <f>IF(A343="","",IFERROR(INDEX(OffCat,MATCH(F343,OffList,0)),"Unlisted"))</f>
        <v/>
      </c>
      <c r="H343" s="30" t="n"/>
      <c r="I343" s="31" t="n"/>
      <c r="J343" s="34" t="n"/>
      <c r="K343" s="34" t="n"/>
      <c r="L343" s="34" t="n"/>
      <c r="M343" s="30" t="n"/>
      <c r="N343" s="30" t="n"/>
      <c r="O343" s="30" t="n"/>
      <c r="P343" s="30" t="n"/>
      <c r="Q343" s="31" t="n"/>
      <c r="R343" s="31" t="n"/>
      <c r="S343" s="31" t="n"/>
      <c r="T343" s="31" t="n"/>
      <c r="U343" s="31" t="n"/>
      <c r="V343" s="31" t="n"/>
      <c r="W343" s="30" t="n"/>
      <c r="X343" s="31" t="n"/>
      <c r="Y343" s="35" t="n"/>
      <c r="Z343" s="35" t="n"/>
      <c r="AA343" s="35" t="n"/>
      <c r="AB343" s="35" t="n"/>
      <c r="AC343" s="35" t="n"/>
      <c r="AD343" s="35" t="n"/>
      <c r="AE343" s="35" t="n"/>
      <c r="AF343" s="35" t="n"/>
      <c r="AG343" s="36">
        <f>IF(A343="","",IF(V343&lt;&gt;"",V343-B343,TODAY()-B343))</f>
        <v/>
      </c>
      <c r="AH343" s="36">
        <f>IF(OR(A343="",I343=""),"",MAX(0,IF(V343&lt;&gt;"",V343-I343,TODAY()-I343)))</f>
        <v/>
      </c>
      <c r="AI343" s="37">
        <f>IF(A343="","",IF(OR(K343="Closed",V343&lt;&gt;""),"Closed",IF(AH343&gt;=AgeCrit,"Critical",IF(AH343&gt;=AgeFu,"For Follow-up",IF(AH343&gt;=AgeMonitor,"Monitor","Within Standard")))))</f>
        <v/>
      </c>
      <c r="AJ343" s="38">
        <f>IF(A343="","",IFERROR(INDEX(StgPct,MATCH(H343,StgList,0)),0))</f>
        <v/>
      </c>
      <c r="AK343" s="38">
        <f>IF(A343="","",IFERROR(COUNTIF(Y343:AF343,"Y")/(COUNTIF(Y343:AF343,"Y")+COUNTIF(Y343:AF343,"N")),0))</f>
        <v/>
      </c>
      <c r="AL343" s="36">
        <f>IF(OR(A343="",X343=""),"",MAX(0,IF(V343&lt;&gt;"",V343,TODAY())-X343))</f>
        <v/>
      </c>
      <c r="AM343" s="32" t="n"/>
      <c r="AN343" s="33">
        <f>IF(A343="","",LOWER(AI343)&amp;"|"&amp;AH343&amp;"|"&amp;AJ343&amp;"|"&amp;AK343)</f>
        <v/>
      </c>
      <c r="AO343" s="33">
        <f>IF(OR(A343="",T343=""),"",T343-TODAY())</f>
        <v/>
      </c>
      <c r="AP343" s="33">
        <f>IF(OR(A343="",V343&lt;&gt;""),"",(TODAY()-B343)+ROW()/1000000)</f>
        <v/>
      </c>
    </row>
    <row r="344" ht="27" customHeight="1">
      <c r="A344" s="30" t="n"/>
      <c r="B344" s="31" t="n"/>
      <c r="C344" s="32" t="n"/>
      <c r="D344" s="32" t="n"/>
      <c r="E344" s="32" t="n"/>
      <c r="F344" s="32" t="n"/>
      <c r="G344" s="33">
        <f>IF(A344="","",IFERROR(INDEX(OffCat,MATCH(F344,OffList,0)),"Unlisted"))</f>
        <v/>
      </c>
      <c r="H344" s="30" t="n"/>
      <c r="I344" s="31" t="n"/>
      <c r="J344" s="34" t="n"/>
      <c r="K344" s="34" t="n"/>
      <c r="L344" s="34" t="n"/>
      <c r="M344" s="30" t="n"/>
      <c r="N344" s="30" t="n"/>
      <c r="O344" s="30" t="n"/>
      <c r="P344" s="30" t="n"/>
      <c r="Q344" s="31" t="n"/>
      <c r="R344" s="31" t="n"/>
      <c r="S344" s="31" t="n"/>
      <c r="T344" s="31" t="n"/>
      <c r="U344" s="31" t="n"/>
      <c r="V344" s="31" t="n"/>
      <c r="W344" s="30" t="n"/>
      <c r="X344" s="31" t="n"/>
      <c r="Y344" s="35" t="n"/>
      <c r="Z344" s="35" t="n"/>
      <c r="AA344" s="35" t="n"/>
      <c r="AB344" s="35" t="n"/>
      <c r="AC344" s="35" t="n"/>
      <c r="AD344" s="35" t="n"/>
      <c r="AE344" s="35" t="n"/>
      <c r="AF344" s="35" t="n"/>
      <c r="AG344" s="36">
        <f>IF(A344="","",IF(V344&lt;&gt;"",V344-B344,TODAY()-B344))</f>
        <v/>
      </c>
      <c r="AH344" s="36">
        <f>IF(OR(A344="",I344=""),"",MAX(0,IF(V344&lt;&gt;"",V344-I344,TODAY()-I344)))</f>
        <v/>
      </c>
      <c r="AI344" s="37">
        <f>IF(A344="","",IF(OR(K344="Closed",V344&lt;&gt;""),"Closed",IF(AH344&gt;=AgeCrit,"Critical",IF(AH344&gt;=AgeFu,"For Follow-up",IF(AH344&gt;=AgeMonitor,"Monitor","Within Standard")))))</f>
        <v/>
      </c>
      <c r="AJ344" s="38">
        <f>IF(A344="","",IFERROR(INDEX(StgPct,MATCH(H344,StgList,0)),0))</f>
        <v/>
      </c>
      <c r="AK344" s="38">
        <f>IF(A344="","",IFERROR(COUNTIF(Y344:AF344,"Y")/(COUNTIF(Y344:AF344,"Y")+COUNTIF(Y344:AF344,"N")),0))</f>
        <v/>
      </c>
      <c r="AL344" s="36">
        <f>IF(OR(A344="",X344=""),"",MAX(0,IF(V344&lt;&gt;"",V344,TODAY())-X344))</f>
        <v/>
      </c>
      <c r="AM344" s="32" t="n"/>
      <c r="AN344" s="33">
        <f>IF(A344="","",LOWER(AI344)&amp;"|"&amp;AH344&amp;"|"&amp;AJ344&amp;"|"&amp;AK344)</f>
        <v/>
      </c>
      <c r="AO344" s="33">
        <f>IF(OR(A344="",T344=""),"",T344-TODAY())</f>
        <v/>
      </c>
      <c r="AP344" s="33">
        <f>IF(OR(A344="",V344&lt;&gt;""),"",(TODAY()-B344)+ROW()/1000000)</f>
        <v/>
      </c>
    </row>
    <row r="345" ht="27" customHeight="1">
      <c r="A345" s="30" t="n"/>
      <c r="B345" s="31" t="n"/>
      <c r="C345" s="32" t="n"/>
      <c r="D345" s="32" t="n"/>
      <c r="E345" s="32" t="n"/>
      <c r="F345" s="32" t="n"/>
      <c r="G345" s="33">
        <f>IF(A345="","",IFERROR(INDEX(OffCat,MATCH(F345,OffList,0)),"Unlisted"))</f>
        <v/>
      </c>
      <c r="H345" s="30" t="n"/>
      <c r="I345" s="31" t="n"/>
      <c r="J345" s="34" t="n"/>
      <c r="K345" s="34" t="n"/>
      <c r="L345" s="34" t="n"/>
      <c r="M345" s="30" t="n"/>
      <c r="N345" s="30" t="n"/>
      <c r="O345" s="30" t="n"/>
      <c r="P345" s="30" t="n"/>
      <c r="Q345" s="31" t="n"/>
      <c r="R345" s="31" t="n"/>
      <c r="S345" s="31" t="n"/>
      <c r="T345" s="31" t="n"/>
      <c r="U345" s="31" t="n"/>
      <c r="V345" s="31" t="n"/>
      <c r="W345" s="30" t="n"/>
      <c r="X345" s="31" t="n"/>
      <c r="Y345" s="35" t="n"/>
      <c r="Z345" s="35" t="n"/>
      <c r="AA345" s="35" t="n"/>
      <c r="AB345" s="35" t="n"/>
      <c r="AC345" s="35" t="n"/>
      <c r="AD345" s="35" t="n"/>
      <c r="AE345" s="35" t="n"/>
      <c r="AF345" s="35" t="n"/>
      <c r="AG345" s="36">
        <f>IF(A345="","",IF(V345&lt;&gt;"",V345-B345,TODAY()-B345))</f>
        <v/>
      </c>
      <c r="AH345" s="36">
        <f>IF(OR(A345="",I345=""),"",MAX(0,IF(V345&lt;&gt;"",V345-I345,TODAY()-I345)))</f>
        <v/>
      </c>
      <c r="AI345" s="37">
        <f>IF(A345="","",IF(OR(K345="Closed",V345&lt;&gt;""),"Closed",IF(AH345&gt;=AgeCrit,"Critical",IF(AH345&gt;=AgeFu,"For Follow-up",IF(AH345&gt;=AgeMonitor,"Monitor","Within Standard")))))</f>
        <v/>
      </c>
      <c r="AJ345" s="38">
        <f>IF(A345="","",IFERROR(INDEX(StgPct,MATCH(H345,StgList,0)),0))</f>
        <v/>
      </c>
      <c r="AK345" s="38">
        <f>IF(A345="","",IFERROR(COUNTIF(Y345:AF345,"Y")/(COUNTIF(Y345:AF345,"Y")+COUNTIF(Y345:AF345,"N")),0))</f>
        <v/>
      </c>
      <c r="AL345" s="36">
        <f>IF(OR(A345="",X345=""),"",MAX(0,IF(V345&lt;&gt;"",V345,TODAY())-X345))</f>
        <v/>
      </c>
      <c r="AM345" s="32" t="n"/>
      <c r="AN345" s="33">
        <f>IF(A345="","",LOWER(AI345)&amp;"|"&amp;AH345&amp;"|"&amp;AJ345&amp;"|"&amp;AK345)</f>
        <v/>
      </c>
      <c r="AO345" s="33">
        <f>IF(OR(A345="",T345=""),"",T345-TODAY())</f>
        <v/>
      </c>
      <c r="AP345" s="33">
        <f>IF(OR(A345="",V345&lt;&gt;""),"",(TODAY()-B345)+ROW()/1000000)</f>
        <v/>
      </c>
    </row>
    <row r="346" ht="27" customHeight="1">
      <c r="A346" s="30" t="n"/>
      <c r="B346" s="31" t="n"/>
      <c r="C346" s="32" t="n"/>
      <c r="D346" s="32" t="n"/>
      <c r="E346" s="32" t="n"/>
      <c r="F346" s="32" t="n"/>
      <c r="G346" s="33">
        <f>IF(A346="","",IFERROR(INDEX(OffCat,MATCH(F346,OffList,0)),"Unlisted"))</f>
        <v/>
      </c>
      <c r="H346" s="30" t="n"/>
      <c r="I346" s="31" t="n"/>
      <c r="J346" s="34" t="n"/>
      <c r="K346" s="34" t="n"/>
      <c r="L346" s="34" t="n"/>
      <c r="M346" s="30" t="n"/>
      <c r="N346" s="30" t="n"/>
      <c r="O346" s="30" t="n"/>
      <c r="P346" s="30" t="n"/>
      <c r="Q346" s="31" t="n"/>
      <c r="R346" s="31" t="n"/>
      <c r="S346" s="31" t="n"/>
      <c r="T346" s="31" t="n"/>
      <c r="U346" s="31" t="n"/>
      <c r="V346" s="31" t="n"/>
      <c r="W346" s="30" t="n"/>
      <c r="X346" s="31" t="n"/>
      <c r="Y346" s="35" t="n"/>
      <c r="Z346" s="35" t="n"/>
      <c r="AA346" s="35" t="n"/>
      <c r="AB346" s="35" t="n"/>
      <c r="AC346" s="35" t="n"/>
      <c r="AD346" s="35" t="n"/>
      <c r="AE346" s="35" t="n"/>
      <c r="AF346" s="35" t="n"/>
      <c r="AG346" s="36">
        <f>IF(A346="","",IF(V346&lt;&gt;"",V346-B346,TODAY()-B346))</f>
        <v/>
      </c>
      <c r="AH346" s="36">
        <f>IF(OR(A346="",I346=""),"",MAX(0,IF(V346&lt;&gt;"",V346-I346,TODAY()-I346)))</f>
        <v/>
      </c>
      <c r="AI346" s="37">
        <f>IF(A346="","",IF(OR(K346="Closed",V346&lt;&gt;""),"Closed",IF(AH346&gt;=AgeCrit,"Critical",IF(AH346&gt;=AgeFu,"For Follow-up",IF(AH346&gt;=AgeMonitor,"Monitor","Within Standard")))))</f>
        <v/>
      </c>
      <c r="AJ346" s="38">
        <f>IF(A346="","",IFERROR(INDEX(StgPct,MATCH(H346,StgList,0)),0))</f>
        <v/>
      </c>
      <c r="AK346" s="38">
        <f>IF(A346="","",IFERROR(COUNTIF(Y346:AF346,"Y")/(COUNTIF(Y346:AF346,"Y")+COUNTIF(Y346:AF346,"N")),0))</f>
        <v/>
      </c>
      <c r="AL346" s="36">
        <f>IF(OR(A346="",X346=""),"",MAX(0,IF(V346&lt;&gt;"",V346,TODAY())-X346))</f>
        <v/>
      </c>
      <c r="AM346" s="32" t="n"/>
      <c r="AN346" s="33">
        <f>IF(A346="","",LOWER(AI346)&amp;"|"&amp;AH346&amp;"|"&amp;AJ346&amp;"|"&amp;AK346)</f>
        <v/>
      </c>
      <c r="AO346" s="33">
        <f>IF(OR(A346="",T346=""),"",T346-TODAY())</f>
        <v/>
      </c>
      <c r="AP346" s="33">
        <f>IF(OR(A346="",V346&lt;&gt;""),"",(TODAY()-B346)+ROW()/1000000)</f>
        <v/>
      </c>
    </row>
    <row r="347" ht="27" customHeight="1">
      <c r="A347" s="30" t="n"/>
      <c r="B347" s="31" t="n"/>
      <c r="C347" s="32" t="n"/>
      <c r="D347" s="32" t="n"/>
      <c r="E347" s="32" t="n"/>
      <c r="F347" s="32" t="n"/>
      <c r="G347" s="33">
        <f>IF(A347="","",IFERROR(INDEX(OffCat,MATCH(F347,OffList,0)),"Unlisted"))</f>
        <v/>
      </c>
      <c r="H347" s="30" t="n"/>
      <c r="I347" s="31" t="n"/>
      <c r="J347" s="34" t="n"/>
      <c r="K347" s="34" t="n"/>
      <c r="L347" s="34" t="n"/>
      <c r="M347" s="30" t="n"/>
      <c r="N347" s="30" t="n"/>
      <c r="O347" s="30" t="n"/>
      <c r="P347" s="30" t="n"/>
      <c r="Q347" s="31" t="n"/>
      <c r="R347" s="31" t="n"/>
      <c r="S347" s="31" t="n"/>
      <c r="T347" s="31" t="n"/>
      <c r="U347" s="31" t="n"/>
      <c r="V347" s="31" t="n"/>
      <c r="W347" s="30" t="n"/>
      <c r="X347" s="31" t="n"/>
      <c r="Y347" s="35" t="n"/>
      <c r="Z347" s="35" t="n"/>
      <c r="AA347" s="35" t="n"/>
      <c r="AB347" s="35" t="n"/>
      <c r="AC347" s="35" t="n"/>
      <c r="AD347" s="35" t="n"/>
      <c r="AE347" s="35" t="n"/>
      <c r="AF347" s="35" t="n"/>
      <c r="AG347" s="36">
        <f>IF(A347="","",IF(V347&lt;&gt;"",V347-B347,TODAY()-B347))</f>
        <v/>
      </c>
      <c r="AH347" s="36">
        <f>IF(OR(A347="",I347=""),"",MAX(0,IF(V347&lt;&gt;"",V347-I347,TODAY()-I347)))</f>
        <v/>
      </c>
      <c r="AI347" s="37">
        <f>IF(A347="","",IF(OR(K347="Closed",V347&lt;&gt;""),"Closed",IF(AH347&gt;=AgeCrit,"Critical",IF(AH347&gt;=AgeFu,"For Follow-up",IF(AH347&gt;=AgeMonitor,"Monitor","Within Standard")))))</f>
        <v/>
      </c>
      <c r="AJ347" s="38">
        <f>IF(A347="","",IFERROR(INDEX(StgPct,MATCH(H347,StgList,0)),0))</f>
        <v/>
      </c>
      <c r="AK347" s="38">
        <f>IF(A347="","",IFERROR(COUNTIF(Y347:AF347,"Y")/(COUNTIF(Y347:AF347,"Y")+COUNTIF(Y347:AF347,"N")),0))</f>
        <v/>
      </c>
      <c r="AL347" s="36">
        <f>IF(OR(A347="",X347=""),"",MAX(0,IF(V347&lt;&gt;"",V347,TODAY())-X347))</f>
        <v/>
      </c>
      <c r="AM347" s="32" t="n"/>
      <c r="AN347" s="33">
        <f>IF(A347="","",LOWER(AI347)&amp;"|"&amp;AH347&amp;"|"&amp;AJ347&amp;"|"&amp;AK347)</f>
        <v/>
      </c>
      <c r="AO347" s="33">
        <f>IF(OR(A347="",T347=""),"",T347-TODAY())</f>
        <v/>
      </c>
      <c r="AP347" s="33">
        <f>IF(OR(A347="",V347&lt;&gt;""),"",(TODAY()-B347)+ROW()/1000000)</f>
        <v/>
      </c>
    </row>
    <row r="348" ht="27" customHeight="1">
      <c r="A348" s="30" t="n"/>
      <c r="B348" s="31" t="n"/>
      <c r="C348" s="32" t="n"/>
      <c r="D348" s="32" t="n"/>
      <c r="E348" s="32" t="n"/>
      <c r="F348" s="32" t="n"/>
      <c r="G348" s="33">
        <f>IF(A348="","",IFERROR(INDEX(OffCat,MATCH(F348,OffList,0)),"Unlisted"))</f>
        <v/>
      </c>
      <c r="H348" s="30" t="n"/>
      <c r="I348" s="31" t="n"/>
      <c r="J348" s="34" t="n"/>
      <c r="K348" s="34" t="n"/>
      <c r="L348" s="34" t="n"/>
      <c r="M348" s="30" t="n"/>
      <c r="N348" s="30" t="n"/>
      <c r="O348" s="30" t="n"/>
      <c r="P348" s="30" t="n"/>
      <c r="Q348" s="31" t="n"/>
      <c r="R348" s="31" t="n"/>
      <c r="S348" s="31" t="n"/>
      <c r="T348" s="31" t="n"/>
      <c r="U348" s="31" t="n"/>
      <c r="V348" s="31" t="n"/>
      <c r="W348" s="30" t="n"/>
      <c r="X348" s="31" t="n"/>
      <c r="Y348" s="35" t="n"/>
      <c r="Z348" s="35" t="n"/>
      <c r="AA348" s="35" t="n"/>
      <c r="AB348" s="35" t="n"/>
      <c r="AC348" s="35" t="n"/>
      <c r="AD348" s="35" t="n"/>
      <c r="AE348" s="35" t="n"/>
      <c r="AF348" s="35" t="n"/>
      <c r="AG348" s="36">
        <f>IF(A348="","",IF(V348&lt;&gt;"",V348-B348,TODAY()-B348))</f>
        <v/>
      </c>
      <c r="AH348" s="36">
        <f>IF(OR(A348="",I348=""),"",MAX(0,IF(V348&lt;&gt;"",V348-I348,TODAY()-I348)))</f>
        <v/>
      </c>
      <c r="AI348" s="37">
        <f>IF(A348="","",IF(OR(K348="Closed",V348&lt;&gt;""),"Closed",IF(AH348&gt;=AgeCrit,"Critical",IF(AH348&gt;=AgeFu,"For Follow-up",IF(AH348&gt;=AgeMonitor,"Monitor","Within Standard")))))</f>
        <v/>
      </c>
      <c r="AJ348" s="38">
        <f>IF(A348="","",IFERROR(INDEX(StgPct,MATCH(H348,StgList,0)),0))</f>
        <v/>
      </c>
      <c r="AK348" s="38">
        <f>IF(A348="","",IFERROR(COUNTIF(Y348:AF348,"Y")/(COUNTIF(Y348:AF348,"Y")+COUNTIF(Y348:AF348,"N")),0))</f>
        <v/>
      </c>
      <c r="AL348" s="36">
        <f>IF(OR(A348="",X348=""),"",MAX(0,IF(V348&lt;&gt;"",V348,TODAY())-X348))</f>
        <v/>
      </c>
      <c r="AM348" s="32" t="n"/>
      <c r="AN348" s="33">
        <f>IF(A348="","",LOWER(AI348)&amp;"|"&amp;AH348&amp;"|"&amp;AJ348&amp;"|"&amp;AK348)</f>
        <v/>
      </c>
      <c r="AO348" s="33">
        <f>IF(OR(A348="",T348=""),"",T348-TODAY())</f>
        <v/>
      </c>
      <c r="AP348" s="33">
        <f>IF(OR(A348="",V348&lt;&gt;""),"",(TODAY()-B348)+ROW()/1000000)</f>
        <v/>
      </c>
    </row>
    <row r="349" ht="27" customHeight="1">
      <c r="A349" s="30" t="n"/>
      <c r="B349" s="31" t="n"/>
      <c r="C349" s="32" t="n"/>
      <c r="D349" s="32" t="n"/>
      <c r="E349" s="32" t="n"/>
      <c r="F349" s="32" t="n"/>
      <c r="G349" s="33">
        <f>IF(A349="","",IFERROR(INDEX(OffCat,MATCH(F349,OffList,0)),"Unlisted"))</f>
        <v/>
      </c>
      <c r="H349" s="30" t="n"/>
      <c r="I349" s="31" t="n"/>
      <c r="J349" s="34" t="n"/>
      <c r="K349" s="34" t="n"/>
      <c r="L349" s="34" t="n"/>
      <c r="M349" s="30" t="n"/>
      <c r="N349" s="30" t="n"/>
      <c r="O349" s="30" t="n"/>
      <c r="P349" s="30" t="n"/>
      <c r="Q349" s="31" t="n"/>
      <c r="R349" s="31" t="n"/>
      <c r="S349" s="31" t="n"/>
      <c r="T349" s="31" t="n"/>
      <c r="U349" s="31" t="n"/>
      <c r="V349" s="31" t="n"/>
      <c r="W349" s="30" t="n"/>
      <c r="X349" s="31" t="n"/>
      <c r="Y349" s="35" t="n"/>
      <c r="Z349" s="35" t="n"/>
      <c r="AA349" s="35" t="n"/>
      <c r="AB349" s="35" t="n"/>
      <c r="AC349" s="35" t="n"/>
      <c r="AD349" s="35" t="n"/>
      <c r="AE349" s="35" t="n"/>
      <c r="AF349" s="35" t="n"/>
      <c r="AG349" s="36">
        <f>IF(A349="","",IF(V349&lt;&gt;"",V349-B349,TODAY()-B349))</f>
        <v/>
      </c>
      <c r="AH349" s="36">
        <f>IF(OR(A349="",I349=""),"",MAX(0,IF(V349&lt;&gt;"",V349-I349,TODAY()-I349)))</f>
        <v/>
      </c>
      <c r="AI349" s="37">
        <f>IF(A349="","",IF(OR(K349="Closed",V349&lt;&gt;""),"Closed",IF(AH349&gt;=AgeCrit,"Critical",IF(AH349&gt;=AgeFu,"For Follow-up",IF(AH349&gt;=AgeMonitor,"Monitor","Within Standard")))))</f>
        <v/>
      </c>
      <c r="AJ349" s="38">
        <f>IF(A349="","",IFERROR(INDEX(StgPct,MATCH(H349,StgList,0)),0))</f>
        <v/>
      </c>
      <c r="AK349" s="38">
        <f>IF(A349="","",IFERROR(COUNTIF(Y349:AF349,"Y")/(COUNTIF(Y349:AF349,"Y")+COUNTIF(Y349:AF349,"N")),0))</f>
        <v/>
      </c>
      <c r="AL349" s="36">
        <f>IF(OR(A349="",X349=""),"",MAX(0,IF(V349&lt;&gt;"",V349,TODAY())-X349))</f>
        <v/>
      </c>
      <c r="AM349" s="32" t="n"/>
      <c r="AN349" s="33">
        <f>IF(A349="","",LOWER(AI349)&amp;"|"&amp;AH349&amp;"|"&amp;AJ349&amp;"|"&amp;AK349)</f>
        <v/>
      </c>
      <c r="AO349" s="33">
        <f>IF(OR(A349="",T349=""),"",T349-TODAY())</f>
        <v/>
      </c>
      <c r="AP349" s="33">
        <f>IF(OR(A349="",V349&lt;&gt;""),"",(TODAY()-B349)+ROW()/1000000)</f>
        <v/>
      </c>
    </row>
    <row r="350" ht="27" customHeight="1">
      <c r="A350" s="30" t="n"/>
      <c r="B350" s="31" t="n"/>
      <c r="C350" s="32" t="n"/>
      <c r="D350" s="32" t="n"/>
      <c r="E350" s="32" t="n"/>
      <c r="F350" s="32" t="n"/>
      <c r="G350" s="33">
        <f>IF(A350="","",IFERROR(INDEX(OffCat,MATCH(F350,OffList,0)),"Unlisted"))</f>
        <v/>
      </c>
      <c r="H350" s="30" t="n"/>
      <c r="I350" s="31" t="n"/>
      <c r="J350" s="34" t="n"/>
      <c r="K350" s="34" t="n"/>
      <c r="L350" s="34" t="n"/>
      <c r="M350" s="30" t="n"/>
      <c r="N350" s="30" t="n"/>
      <c r="O350" s="30" t="n"/>
      <c r="P350" s="30" t="n"/>
      <c r="Q350" s="31" t="n"/>
      <c r="R350" s="31" t="n"/>
      <c r="S350" s="31" t="n"/>
      <c r="T350" s="31" t="n"/>
      <c r="U350" s="31" t="n"/>
      <c r="V350" s="31" t="n"/>
      <c r="W350" s="30" t="n"/>
      <c r="X350" s="31" t="n"/>
      <c r="Y350" s="35" t="n"/>
      <c r="Z350" s="35" t="n"/>
      <c r="AA350" s="35" t="n"/>
      <c r="AB350" s="35" t="n"/>
      <c r="AC350" s="35" t="n"/>
      <c r="AD350" s="35" t="n"/>
      <c r="AE350" s="35" t="n"/>
      <c r="AF350" s="35" t="n"/>
      <c r="AG350" s="36">
        <f>IF(A350="","",IF(V350&lt;&gt;"",V350-B350,TODAY()-B350))</f>
        <v/>
      </c>
      <c r="AH350" s="36">
        <f>IF(OR(A350="",I350=""),"",MAX(0,IF(V350&lt;&gt;"",V350-I350,TODAY()-I350)))</f>
        <v/>
      </c>
      <c r="AI350" s="37">
        <f>IF(A350="","",IF(OR(K350="Closed",V350&lt;&gt;""),"Closed",IF(AH350&gt;=AgeCrit,"Critical",IF(AH350&gt;=AgeFu,"For Follow-up",IF(AH350&gt;=AgeMonitor,"Monitor","Within Standard")))))</f>
        <v/>
      </c>
      <c r="AJ350" s="38">
        <f>IF(A350="","",IFERROR(INDEX(StgPct,MATCH(H350,StgList,0)),0))</f>
        <v/>
      </c>
      <c r="AK350" s="38">
        <f>IF(A350="","",IFERROR(COUNTIF(Y350:AF350,"Y")/(COUNTIF(Y350:AF350,"Y")+COUNTIF(Y350:AF350,"N")),0))</f>
        <v/>
      </c>
      <c r="AL350" s="36">
        <f>IF(OR(A350="",X350=""),"",MAX(0,IF(V350&lt;&gt;"",V350,TODAY())-X350))</f>
        <v/>
      </c>
      <c r="AM350" s="32" t="n"/>
      <c r="AN350" s="33">
        <f>IF(A350="","",LOWER(AI350)&amp;"|"&amp;AH350&amp;"|"&amp;AJ350&amp;"|"&amp;AK350)</f>
        <v/>
      </c>
      <c r="AO350" s="33">
        <f>IF(OR(A350="",T350=""),"",T350-TODAY())</f>
        <v/>
      </c>
      <c r="AP350" s="33">
        <f>IF(OR(A350="",V350&lt;&gt;""),"",(TODAY()-B350)+ROW()/1000000)</f>
        <v/>
      </c>
    </row>
    <row r="351" ht="27" customHeight="1">
      <c r="A351" s="30" t="n"/>
      <c r="B351" s="31" t="n"/>
      <c r="C351" s="32" t="n"/>
      <c r="D351" s="32" t="n"/>
      <c r="E351" s="32" t="n"/>
      <c r="F351" s="32" t="n"/>
      <c r="G351" s="33">
        <f>IF(A351="","",IFERROR(INDEX(OffCat,MATCH(F351,OffList,0)),"Unlisted"))</f>
        <v/>
      </c>
      <c r="H351" s="30" t="n"/>
      <c r="I351" s="31" t="n"/>
      <c r="J351" s="34" t="n"/>
      <c r="K351" s="34" t="n"/>
      <c r="L351" s="34" t="n"/>
      <c r="M351" s="30" t="n"/>
      <c r="N351" s="30" t="n"/>
      <c r="O351" s="30" t="n"/>
      <c r="P351" s="30" t="n"/>
      <c r="Q351" s="31" t="n"/>
      <c r="R351" s="31" t="n"/>
      <c r="S351" s="31" t="n"/>
      <c r="T351" s="31" t="n"/>
      <c r="U351" s="31" t="n"/>
      <c r="V351" s="31" t="n"/>
      <c r="W351" s="30" t="n"/>
      <c r="X351" s="31" t="n"/>
      <c r="Y351" s="35" t="n"/>
      <c r="Z351" s="35" t="n"/>
      <c r="AA351" s="35" t="n"/>
      <c r="AB351" s="35" t="n"/>
      <c r="AC351" s="35" t="n"/>
      <c r="AD351" s="35" t="n"/>
      <c r="AE351" s="35" t="n"/>
      <c r="AF351" s="35" t="n"/>
      <c r="AG351" s="36">
        <f>IF(A351="","",IF(V351&lt;&gt;"",V351-B351,TODAY()-B351))</f>
        <v/>
      </c>
      <c r="AH351" s="36">
        <f>IF(OR(A351="",I351=""),"",MAX(0,IF(V351&lt;&gt;"",V351-I351,TODAY()-I351)))</f>
        <v/>
      </c>
      <c r="AI351" s="37">
        <f>IF(A351="","",IF(OR(K351="Closed",V351&lt;&gt;""),"Closed",IF(AH351&gt;=AgeCrit,"Critical",IF(AH351&gt;=AgeFu,"For Follow-up",IF(AH351&gt;=AgeMonitor,"Monitor","Within Standard")))))</f>
        <v/>
      </c>
      <c r="AJ351" s="38">
        <f>IF(A351="","",IFERROR(INDEX(StgPct,MATCH(H351,StgList,0)),0))</f>
        <v/>
      </c>
      <c r="AK351" s="38">
        <f>IF(A351="","",IFERROR(COUNTIF(Y351:AF351,"Y")/(COUNTIF(Y351:AF351,"Y")+COUNTIF(Y351:AF351,"N")),0))</f>
        <v/>
      </c>
      <c r="AL351" s="36">
        <f>IF(OR(A351="",X351=""),"",MAX(0,IF(V351&lt;&gt;"",V351,TODAY())-X351))</f>
        <v/>
      </c>
      <c r="AM351" s="32" t="n"/>
      <c r="AN351" s="33">
        <f>IF(A351="","",LOWER(AI351)&amp;"|"&amp;AH351&amp;"|"&amp;AJ351&amp;"|"&amp;AK351)</f>
        <v/>
      </c>
      <c r="AO351" s="33">
        <f>IF(OR(A351="",T351=""),"",T351-TODAY())</f>
        <v/>
      </c>
      <c r="AP351" s="33">
        <f>IF(OR(A351="",V351&lt;&gt;""),"",(TODAY()-B351)+ROW()/1000000)</f>
        <v/>
      </c>
    </row>
    <row r="352" ht="27" customHeight="1">
      <c r="A352" s="30" t="n"/>
      <c r="B352" s="31" t="n"/>
      <c r="C352" s="32" t="n"/>
      <c r="D352" s="32" t="n"/>
      <c r="E352" s="32" t="n"/>
      <c r="F352" s="32" t="n"/>
      <c r="G352" s="33">
        <f>IF(A352="","",IFERROR(INDEX(OffCat,MATCH(F352,OffList,0)),"Unlisted"))</f>
        <v/>
      </c>
      <c r="H352" s="30" t="n"/>
      <c r="I352" s="31" t="n"/>
      <c r="J352" s="34" t="n"/>
      <c r="K352" s="34" t="n"/>
      <c r="L352" s="34" t="n"/>
      <c r="M352" s="30" t="n"/>
      <c r="N352" s="30" t="n"/>
      <c r="O352" s="30" t="n"/>
      <c r="P352" s="30" t="n"/>
      <c r="Q352" s="31" t="n"/>
      <c r="R352" s="31" t="n"/>
      <c r="S352" s="31" t="n"/>
      <c r="T352" s="31" t="n"/>
      <c r="U352" s="31" t="n"/>
      <c r="V352" s="31" t="n"/>
      <c r="W352" s="30" t="n"/>
      <c r="X352" s="31" t="n"/>
      <c r="Y352" s="35" t="n"/>
      <c r="Z352" s="35" t="n"/>
      <c r="AA352" s="35" t="n"/>
      <c r="AB352" s="35" t="n"/>
      <c r="AC352" s="35" t="n"/>
      <c r="AD352" s="35" t="n"/>
      <c r="AE352" s="35" t="n"/>
      <c r="AF352" s="35" t="n"/>
      <c r="AG352" s="36">
        <f>IF(A352="","",IF(V352&lt;&gt;"",V352-B352,TODAY()-B352))</f>
        <v/>
      </c>
      <c r="AH352" s="36">
        <f>IF(OR(A352="",I352=""),"",MAX(0,IF(V352&lt;&gt;"",V352-I352,TODAY()-I352)))</f>
        <v/>
      </c>
      <c r="AI352" s="37">
        <f>IF(A352="","",IF(OR(K352="Closed",V352&lt;&gt;""),"Closed",IF(AH352&gt;=AgeCrit,"Critical",IF(AH352&gt;=AgeFu,"For Follow-up",IF(AH352&gt;=AgeMonitor,"Monitor","Within Standard")))))</f>
        <v/>
      </c>
      <c r="AJ352" s="38">
        <f>IF(A352="","",IFERROR(INDEX(StgPct,MATCH(H352,StgList,0)),0))</f>
        <v/>
      </c>
      <c r="AK352" s="38">
        <f>IF(A352="","",IFERROR(COUNTIF(Y352:AF352,"Y")/(COUNTIF(Y352:AF352,"Y")+COUNTIF(Y352:AF352,"N")),0))</f>
        <v/>
      </c>
      <c r="AL352" s="36">
        <f>IF(OR(A352="",X352=""),"",MAX(0,IF(V352&lt;&gt;"",V352,TODAY())-X352))</f>
        <v/>
      </c>
      <c r="AM352" s="32" t="n"/>
      <c r="AN352" s="33">
        <f>IF(A352="","",LOWER(AI352)&amp;"|"&amp;AH352&amp;"|"&amp;AJ352&amp;"|"&amp;AK352)</f>
        <v/>
      </c>
      <c r="AO352" s="33">
        <f>IF(OR(A352="",T352=""),"",T352-TODAY())</f>
        <v/>
      </c>
      <c r="AP352" s="33">
        <f>IF(OR(A352="",V352&lt;&gt;""),"",(TODAY()-B352)+ROW()/1000000)</f>
        <v/>
      </c>
    </row>
    <row r="353" ht="27" customHeight="1">
      <c r="A353" s="30" t="n"/>
      <c r="B353" s="31" t="n"/>
      <c r="C353" s="32" t="n"/>
      <c r="D353" s="32" t="n"/>
      <c r="E353" s="32" t="n"/>
      <c r="F353" s="32" t="n"/>
      <c r="G353" s="33">
        <f>IF(A353="","",IFERROR(INDEX(OffCat,MATCH(F353,OffList,0)),"Unlisted"))</f>
        <v/>
      </c>
      <c r="H353" s="30" t="n"/>
      <c r="I353" s="31" t="n"/>
      <c r="J353" s="34" t="n"/>
      <c r="K353" s="34" t="n"/>
      <c r="L353" s="34" t="n"/>
      <c r="M353" s="30" t="n"/>
      <c r="N353" s="30" t="n"/>
      <c r="O353" s="30" t="n"/>
      <c r="P353" s="30" t="n"/>
      <c r="Q353" s="31" t="n"/>
      <c r="R353" s="31" t="n"/>
      <c r="S353" s="31" t="n"/>
      <c r="T353" s="31" t="n"/>
      <c r="U353" s="31" t="n"/>
      <c r="V353" s="31" t="n"/>
      <c r="W353" s="30" t="n"/>
      <c r="X353" s="31" t="n"/>
      <c r="Y353" s="35" t="n"/>
      <c r="Z353" s="35" t="n"/>
      <c r="AA353" s="35" t="n"/>
      <c r="AB353" s="35" t="n"/>
      <c r="AC353" s="35" t="n"/>
      <c r="AD353" s="35" t="n"/>
      <c r="AE353" s="35" t="n"/>
      <c r="AF353" s="35" t="n"/>
      <c r="AG353" s="36">
        <f>IF(A353="","",IF(V353&lt;&gt;"",V353-B353,TODAY()-B353))</f>
        <v/>
      </c>
      <c r="AH353" s="36">
        <f>IF(OR(A353="",I353=""),"",MAX(0,IF(V353&lt;&gt;"",V353-I353,TODAY()-I353)))</f>
        <v/>
      </c>
      <c r="AI353" s="37">
        <f>IF(A353="","",IF(OR(K353="Closed",V353&lt;&gt;""),"Closed",IF(AH353&gt;=AgeCrit,"Critical",IF(AH353&gt;=AgeFu,"For Follow-up",IF(AH353&gt;=AgeMonitor,"Monitor","Within Standard")))))</f>
        <v/>
      </c>
      <c r="AJ353" s="38">
        <f>IF(A353="","",IFERROR(INDEX(StgPct,MATCH(H353,StgList,0)),0))</f>
        <v/>
      </c>
      <c r="AK353" s="38">
        <f>IF(A353="","",IFERROR(COUNTIF(Y353:AF353,"Y")/(COUNTIF(Y353:AF353,"Y")+COUNTIF(Y353:AF353,"N")),0))</f>
        <v/>
      </c>
      <c r="AL353" s="36">
        <f>IF(OR(A353="",X353=""),"",MAX(0,IF(V353&lt;&gt;"",V353,TODAY())-X353))</f>
        <v/>
      </c>
      <c r="AM353" s="32" t="n"/>
      <c r="AN353" s="33">
        <f>IF(A353="","",LOWER(AI353)&amp;"|"&amp;AH353&amp;"|"&amp;AJ353&amp;"|"&amp;AK353)</f>
        <v/>
      </c>
      <c r="AO353" s="33">
        <f>IF(OR(A353="",T353=""),"",T353-TODAY())</f>
        <v/>
      </c>
      <c r="AP353" s="33">
        <f>IF(OR(A353="",V353&lt;&gt;""),"",(TODAY()-B353)+ROW()/1000000)</f>
        <v/>
      </c>
    </row>
    <row r="354" ht="27" customHeight="1">
      <c r="A354" s="30" t="n"/>
      <c r="B354" s="31" t="n"/>
      <c r="C354" s="32" t="n"/>
      <c r="D354" s="32" t="n"/>
      <c r="E354" s="32" t="n"/>
      <c r="F354" s="32" t="n"/>
      <c r="G354" s="33">
        <f>IF(A354="","",IFERROR(INDEX(OffCat,MATCH(F354,OffList,0)),"Unlisted"))</f>
        <v/>
      </c>
      <c r="H354" s="30" t="n"/>
      <c r="I354" s="31" t="n"/>
      <c r="J354" s="34" t="n"/>
      <c r="K354" s="34" t="n"/>
      <c r="L354" s="34" t="n"/>
      <c r="M354" s="30" t="n"/>
      <c r="N354" s="30" t="n"/>
      <c r="O354" s="30" t="n"/>
      <c r="P354" s="30" t="n"/>
      <c r="Q354" s="31" t="n"/>
      <c r="R354" s="31" t="n"/>
      <c r="S354" s="31" t="n"/>
      <c r="T354" s="31" t="n"/>
      <c r="U354" s="31" t="n"/>
      <c r="V354" s="31" t="n"/>
      <c r="W354" s="30" t="n"/>
      <c r="X354" s="31" t="n"/>
      <c r="Y354" s="35" t="n"/>
      <c r="Z354" s="35" t="n"/>
      <c r="AA354" s="35" t="n"/>
      <c r="AB354" s="35" t="n"/>
      <c r="AC354" s="35" t="n"/>
      <c r="AD354" s="35" t="n"/>
      <c r="AE354" s="35" t="n"/>
      <c r="AF354" s="35" t="n"/>
      <c r="AG354" s="36">
        <f>IF(A354="","",IF(V354&lt;&gt;"",V354-B354,TODAY()-B354))</f>
        <v/>
      </c>
      <c r="AH354" s="36">
        <f>IF(OR(A354="",I354=""),"",MAX(0,IF(V354&lt;&gt;"",V354-I354,TODAY()-I354)))</f>
        <v/>
      </c>
      <c r="AI354" s="37">
        <f>IF(A354="","",IF(OR(K354="Closed",V354&lt;&gt;""),"Closed",IF(AH354&gt;=AgeCrit,"Critical",IF(AH354&gt;=AgeFu,"For Follow-up",IF(AH354&gt;=AgeMonitor,"Monitor","Within Standard")))))</f>
        <v/>
      </c>
      <c r="AJ354" s="38">
        <f>IF(A354="","",IFERROR(INDEX(StgPct,MATCH(H354,StgList,0)),0))</f>
        <v/>
      </c>
      <c r="AK354" s="38">
        <f>IF(A354="","",IFERROR(COUNTIF(Y354:AF354,"Y")/(COUNTIF(Y354:AF354,"Y")+COUNTIF(Y354:AF354,"N")),0))</f>
        <v/>
      </c>
      <c r="AL354" s="36">
        <f>IF(OR(A354="",X354=""),"",MAX(0,IF(V354&lt;&gt;"",V354,TODAY())-X354))</f>
        <v/>
      </c>
      <c r="AM354" s="32" t="n"/>
      <c r="AN354" s="33">
        <f>IF(A354="","",LOWER(AI354)&amp;"|"&amp;AH354&amp;"|"&amp;AJ354&amp;"|"&amp;AK354)</f>
        <v/>
      </c>
      <c r="AO354" s="33">
        <f>IF(OR(A354="",T354=""),"",T354-TODAY())</f>
        <v/>
      </c>
      <c r="AP354" s="33">
        <f>IF(OR(A354="",V354&lt;&gt;""),"",(TODAY()-B354)+ROW()/1000000)</f>
        <v/>
      </c>
    </row>
    <row r="355" ht="27" customHeight="1">
      <c r="A355" s="30" t="n"/>
      <c r="B355" s="31" t="n"/>
      <c r="C355" s="32" t="n"/>
      <c r="D355" s="32" t="n"/>
      <c r="E355" s="32" t="n"/>
      <c r="F355" s="32" t="n"/>
      <c r="G355" s="33">
        <f>IF(A355="","",IFERROR(INDEX(OffCat,MATCH(F355,OffList,0)),"Unlisted"))</f>
        <v/>
      </c>
      <c r="H355" s="30" t="n"/>
      <c r="I355" s="31" t="n"/>
      <c r="J355" s="34" t="n"/>
      <c r="K355" s="34" t="n"/>
      <c r="L355" s="34" t="n"/>
      <c r="M355" s="30" t="n"/>
      <c r="N355" s="30" t="n"/>
      <c r="O355" s="30" t="n"/>
      <c r="P355" s="30" t="n"/>
      <c r="Q355" s="31" t="n"/>
      <c r="R355" s="31" t="n"/>
      <c r="S355" s="31" t="n"/>
      <c r="T355" s="31" t="n"/>
      <c r="U355" s="31" t="n"/>
      <c r="V355" s="31" t="n"/>
      <c r="W355" s="30" t="n"/>
      <c r="X355" s="31" t="n"/>
      <c r="Y355" s="35" t="n"/>
      <c r="Z355" s="35" t="n"/>
      <c r="AA355" s="35" t="n"/>
      <c r="AB355" s="35" t="n"/>
      <c r="AC355" s="35" t="n"/>
      <c r="AD355" s="35" t="n"/>
      <c r="AE355" s="35" t="n"/>
      <c r="AF355" s="35" t="n"/>
      <c r="AG355" s="36">
        <f>IF(A355="","",IF(V355&lt;&gt;"",V355-B355,TODAY()-B355))</f>
        <v/>
      </c>
      <c r="AH355" s="36">
        <f>IF(OR(A355="",I355=""),"",MAX(0,IF(V355&lt;&gt;"",V355-I355,TODAY()-I355)))</f>
        <v/>
      </c>
      <c r="AI355" s="37">
        <f>IF(A355="","",IF(OR(K355="Closed",V355&lt;&gt;""),"Closed",IF(AH355&gt;=AgeCrit,"Critical",IF(AH355&gt;=AgeFu,"For Follow-up",IF(AH355&gt;=AgeMonitor,"Monitor","Within Standard")))))</f>
        <v/>
      </c>
      <c r="AJ355" s="38">
        <f>IF(A355="","",IFERROR(INDEX(StgPct,MATCH(H355,StgList,0)),0))</f>
        <v/>
      </c>
      <c r="AK355" s="38">
        <f>IF(A355="","",IFERROR(COUNTIF(Y355:AF355,"Y")/(COUNTIF(Y355:AF355,"Y")+COUNTIF(Y355:AF355,"N")),0))</f>
        <v/>
      </c>
      <c r="AL355" s="36">
        <f>IF(OR(A355="",X355=""),"",MAX(0,IF(V355&lt;&gt;"",V355,TODAY())-X355))</f>
        <v/>
      </c>
      <c r="AM355" s="32" t="n"/>
      <c r="AN355" s="33">
        <f>IF(A355="","",LOWER(AI355)&amp;"|"&amp;AH355&amp;"|"&amp;AJ355&amp;"|"&amp;AK355)</f>
        <v/>
      </c>
      <c r="AO355" s="33">
        <f>IF(OR(A355="",T355=""),"",T355-TODAY())</f>
        <v/>
      </c>
      <c r="AP355" s="33">
        <f>IF(OR(A355="",V355&lt;&gt;""),"",(TODAY()-B355)+ROW()/1000000)</f>
        <v/>
      </c>
    </row>
    <row r="356" ht="27" customHeight="1">
      <c r="A356" s="30" t="n"/>
      <c r="B356" s="31" t="n"/>
      <c r="C356" s="32" t="n"/>
      <c r="D356" s="32" t="n"/>
      <c r="E356" s="32" t="n"/>
      <c r="F356" s="32" t="n"/>
      <c r="G356" s="33">
        <f>IF(A356="","",IFERROR(INDEX(OffCat,MATCH(F356,OffList,0)),"Unlisted"))</f>
        <v/>
      </c>
      <c r="H356" s="30" t="n"/>
      <c r="I356" s="31" t="n"/>
      <c r="J356" s="34" t="n"/>
      <c r="K356" s="34" t="n"/>
      <c r="L356" s="34" t="n"/>
      <c r="M356" s="30" t="n"/>
      <c r="N356" s="30" t="n"/>
      <c r="O356" s="30" t="n"/>
      <c r="P356" s="30" t="n"/>
      <c r="Q356" s="31" t="n"/>
      <c r="R356" s="31" t="n"/>
      <c r="S356" s="31" t="n"/>
      <c r="T356" s="31" t="n"/>
      <c r="U356" s="31" t="n"/>
      <c r="V356" s="31" t="n"/>
      <c r="W356" s="30" t="n"/>
      <c r="X356" s="31" t="n"/>
      <c r="Y356" s="35" t="n"/>
      <c r="Z356" s="35" t="n"/>
      <c r="AA356" s="35" t="n"/>
      <c r="AB356" s="35" t="n"/>
      <c r="AC356" s="35" t="n"/>
      <c r="AD356" s="35" t="n"/>
      <c r="AE356" s="35" t="n"/>
      <c r="AF356" s="35" t="n"/>
      <c r="AG356" s="36">
        <f>IF(A356="","",IF(V356&lt;&gt;"",V356-B356,TODAY()-B356))</f>
        <v/>
      </c>
      <c r="AH356" s="36">
        <f>IF(OR(A356="",I356=""),"",MAX(0,IF(V356&lt;&gt;"",V356-I356,TODAY()-I356)))</f>
        <v/>
      </c>
      <c r="AI356" s="37">
        <f>IF(A356="","",IF(OR(K356="Closed",V356&lt;&gt;""),"Closed",IF(AH356&gt;=AgeCrit,"Critical",IF(AH356&gt;=AgeFu,"For Follow-up",IF(AH356&gt;=AgeMonitor,"Monitor","Within Standard")))))</f>
        <v/>
      </c>
      <c r="AJ356" s="38">
        <f>IF(A356="","",IFERROR(INDEX(StgPct,MATCH(H356,StgList,0)),0))</f>
        <v/>
      </c>
      <c r="AK356" s="38">
        <f>IF(A356="","",IFERROR(COUNTIF(Y356:AF356,"Y")/(COUNTIF(Y356:AF356,"Y")+COUNTIF(Y356:AF356,"N")),0))</f>
        <v/>
      </c>
      <c r="AL356" s="36">
        <f>IF(OR(A356="",X356=""),"",MAX(0,IF(V356&lt;&gt;"",V356,TODAY())-X356))</f>
        <v/>
      </c>
      <c r="AM356" s="32" t="n"/>
      <c r="AN356" s="33">
        <f>IF(A356="","",LOWER(AI356)&amp;"|"&amp;AH356&amp;"|"&amp;AJ356&amp;"|"&amp;AK356)</f>
        <v/>
      </c>
      <c r="AO356" s="33">
        <f>IF(OR(A356="",T356=""),"",T356-TODAY())</f>
        <v/>
      </c>
      <c r="AP356" s="33">
        <f>IF(OR(A356="",V356&lt;&gt;""),"",(TODAY()-B356)+ROW()/1000000)</f>
        <v/>
      </c>
    </row>
    <row r="357" ht="27" customHeight="1">
      <c r="A357" s="30" t="n"/>
      <c r="B357" s="31" t="n"/>
      <c r="C357" s="32" t="n"/>
      <c r="D357" s="32" t="n"/>
      <c r="E357" s="32" t="n"/>
      <c r="F357" s="32" t="n"/>
      <c r="G357" s="33">
        <f>IF(A357="","",IFERROR(INDEX(OffCat,MATCH(F357,OffList,0)),"Unlisted"))</f>
        <v/>
      </c>
      <c r="H357" s="30" t="n"/>
      <c r="I357" s="31" t="n"/>
      <c r="J357" s="34" t="n"/>
      <c r="K357" s="34" t="n"/>
      <c r="L357" s="34" t="n"/>
      <c r="M357" s="30" t="n"/>
      <c r="N357" s="30" t="n"/>
      <c r="O357" s="30" t="n"/>
      <c r="P357" s="30" t="n"/>
      <c r="Q357" s="31" t="n"/>
      <c r="R357" s="31" t="n"/>
      <c r="S357" s="31" t="n"/>
      <c r="T357" s="31" t="n"/>
      <c r="U357" s="31" t="n"/>
      <c r="V357" s="31" t="n"/>
      <c r="W357" s="30" t="n"/>
      <c r="X357" s="31" t="n"/>
      <c r="Y357" s="35" t="n"/>
      <c r="Z357" s="35" t="n"/>
      <c r="AA357" s="35" t="n"/>
      <c r="AB357" s="35" t="n"/>
      <c r="AC357" s="35" t="n"/>
      <c r="AD357" s="35" t="n"/>
      <c r="AE357" s="35" t="n"/>
      <c r="AF357" s="35" t="n"/>
      <c r="AG357" s="36">
        <f>IF(A357="","",IF(V357&lt;&gt;"",V357-B357,TODAY()-B357))</f>
        <v/>
      </c>
      <c r="AH357" s="36">
        <f>IF(OR(A357="",I357=""),"",MAX(0,IF(V357&lt;&gt;"",V357-I357,TODAY()-I357)))</f>
        <v/>
      </c>
      <c r="AI357" s="37">
        <f>IF(A357="","",IF(OR(K357="Closed",V357&lt;&gt;""),"Closed",IF(AH357&gt;=AgeCrit,"Critical",IF(AH357&gt;=AgeFu,"For Follow-up",IF(AH357&gt;=AgeMonitor,"Monitor","Within Standard")))))</f>
        <v/>
      </c>
      <c r="AJ357" s="38">
        <f>IF(A357="","",IFERROR(INDEX(StgPct,MATCH(H357,StgList,0)),0))</f>
        <v/>
      </c>
      <c r="AK357" s="38">
        <f>IF(A357="","",IFERROR(COUNTIF(Y357:AF357,"Y")/(COUNTIF(Y357:AF357,"Y")+COUNTIF(Y357:AF357,"N")),0))</f>
        <v/>
      </c>
      <c r="AL357" s="36">
        <f>IF(OR(A357="",X357=""),"",MAX(0,IF(V357&lt;&gt;"",V357,TODAY())-X357))</f>
        <v/>
      </c>
      <c r="AM357" s="32" t="n"/>
      <c r="AN357" s="33">
        <f>IF(A357="","",LOWER(AI357)&amp;"|"&amp;AH357&amp;"|"&amp;AJ357&amp;"|"&amp;AK357)</f>
        <v/>
      </c>
      <c r="AO357" s="33">
        <f>IF(OR(A357="",T357=""),"",T357-TODAY())</f>
        <v/>
      </c>
      <c r="AP357" s="33">
        <f>IF(OR(A357="",V357&lt;&gt;""),"",(TODAY()-B357)+ROW()/1000000)</f>
        <v/>
      </c>
    </row>
    <row r="358" ht="27" customHeight="1">
      <c r="A358" s="30" t="n"/>
      <c r="B358" s="31" t="n"/>
      <c r="C358" s="32" t="n"/>
      <c r="D358" s="32" t="n"/>
      <c r="E358" s="32" t="n"/>
      <c r="F358" s="32" t="n"/>
      <c r="G358" s="33">
        <f>IF(A358="","",IFERROR(INDEX(OffCat,MATCH(F358,OffList,0)),"Unlisted"))</f>
        <v/>
      </c>
      <c r="H358" s="30" t="n"/>
      <c r="I358" s="31" t="n"/>
      <c r="J358" s="34" t="n"/>
      <c r="K358" s="34" t="n"/>
      <c r="L358" s="34" t="n"/>
      <c r="M358" s="30" t="n"/>
      <c r="N358" s="30" t="n"/>
      <c r="O358" s="30" t="n"/>
      <c r="P358" s="30" t="n"/>
      <c r="Q358" s="31" t="n"/>
      <c r="R358" s="31" t="n"/>
      <c r="S358" s="31" t="n"/>
      <c r="T358" s="31" t="n"/>
      <c r="U358" s="31" t="n"/>
      <c r="V358" s="31" t="n"/>
      <c r="W358" s="30" t="n"/>
      <c r="X358" s="31" t="n"/>
      <c r="Y358" s="35" t="n"/>
      <c r="Z358" s="35" t="n"/>
      <c r="AA358" s="35" t="n"/>
      <c r="AB358" s="35" t="n"/>
      <c r="AC358" s="35" t="n"/>
      <c r="AD358" s="35" t="n"/>
      <c r="AE358" s="35" t="n"/>
      <c r="AF358" s="35" t="n"/>
      <c r="AG358" s="36">
        <f>IF(A358="","",IF(V358&lt;&gt;"",V358-B358,TODAY()-B358))</f>
        <v/>
      </c>
      <c r="AH358" s="36">
        <f>IF(OR(A358="",I358=""),"",MAX(0,IF(V358&lt;&gt;"",V358-I358,TODAY()-I358)))</f>
        <v/>
      </c>
      <c r="AI358" s="37">
        <f>IF(A358="","",IF(OR(K358="Closed",V358&lt;&gt;""),"Closed",IF(AH358&gt;=AgeCrit,"Critical",IF(AH358&gt;=AgeFu,"For Follow-up",IF(AH358&gt;=AgeMonitor,"Monitor","Within Standard")))))</f>
        <v/>
      </c>
      <c r="AJ358" s="38">
        <f>IF(A358="","",IFERROR(INDEX(StgPct,MATCH(H358,StgList,0)),0))</f>
        <v/>
      </c>
      <c r="AK358" s="38">
        <f>IF(A358="","",IFERROR(COUNTIF(Y358:AF358,"Y")/(COUNTIF(Y358:AF358,"Y")+COUNTIF(Y358:AF358,"N")),0))</f>
        <v/>
      </c>
      <c r="AL358" s="36">
        <f>IF(OR(A358="",X358=""),"",MAX(0,IF(V358&lt;&gt;"",V358,TODAY())-X358))</f>
        <v/>
      </c>
      <c r="AM358" s="32" t="n"/>
      <c r="AN358" s="33">
        <f>IF(A358="","",LOWER(AI358)&amp;"|"&amp;AH358&amp;"|"&amp;AJ358&amp;"|"&amp;AK358)</f>
        <v/>
      </c>
      <c r="AO358" s="33">
        <f>IF(OR(A358="",T358=""),"",T358-TODAY())</f>
        <v/>
      </c>
      <c r="AP358" s="33">
        <f>IF(OR(A358="",V358&lt;&gt;""),"",(TODAY()-B358)+ROW()/1000000)</f>
        <v/>
      </c>
    </row>
    <row r="359" ht="27" customHeight="1">
      <c r="A359" s="30" t="n"/>
      <c r="B359" s="31" t="n"/>
      <c r="C359" s="32" t="n"/>
      <c r="D359" s="32" t="n"/>
      <c r="E359" s="32" t="n"/>
      <c r="F359" s="32" t="n"/>
      <c r="G359" s="33">
        <f>IF(A359="","",IFERROR(INDEX(OffCat,MATCH(F359,OffList,0)),"Unlisted"))</f>
        <v/>
      </c>
      <c r="H359" s="30" t="n"/>
      <c r="I359" s="31" t="n"/>
      <c r="J359" s="34" t="n"/>
      <c r="K359" s="34" t="n"/>
      <c r="L359" s="34" t="n"/>
      <c r="M359" s="30" t="n"/>
      <c r="N359" s="30" t="n"/>
      <c r="O359" s="30" t="n"/>
      <c r="P359" s="30" t="n"/>
      <c r="Q359" s="31" t="n"/>
      <c r="R359" s="31" t="n"/>
      <c r="S359" s="31" t="n"/>
      <c r="T359" s="31" t="n"/>
      <c r="U359" s="31" t="n"/>
      <c r="V359" s="31" t="n"/>
      <c r="W359" s="30" t="n"/>
      <c r="X359" s="31" t="n"/>
      <c r="Y359" s="35" t="n"/>
      <c r="Z359" s="35" t="n"/>
      <c r="AA359" s="35" t="n"/>
      <c r="AB359" s="35" t="n"/>
      <c r="AC359" s="35" t="n"/>
      <c r="AD359" s="35" t="n"/>
      <c r="AE359" s="35" t="n"/>
      <c r="AF359" s="35" t="n"/>
      <c r="AG359" s="36">
        <f>IF(A359="","",IF(V359&lt;&gt;"",V359-B359,TODAY()-B359))</f>
        <v/>
      </c>
      <c r="AH359" s="36">
        <f>IF(OR(A359="",I359=""),"",MAX(0,IF(V359&lt;&gt;"",V359-I359,TODAY()-I359)))</f>
        <v/>
      </c>
      <c r="AI359" s="37">
        <f>IF(A359="","",IF(OR(K359="Closed",V359&lt;&gt;""),"Closed",IF(AH359&gt;=AgeCrit,"Critical",IF(AH359&gt;=AgeFu,"For Follow-up",IF(AH359&gt;=AgeMonitor,"Monitor","Within Standard")))))</f>
        <v/>
      </c>
      <c r="AJ359" s="38">
        <f>IF(A359="","",IFERROR(INDEX(StgPct,MATCH(H359,StgList,0)),0))</f>
        <v/>
      </c>
      <c r="AK359" s="38">
        <f>IF(A359="","",IFERROR(COUNTIF(Y359:AF359,"Y")/(COUNTIF(Y359:AF359,"Y")+COUNTIF(Y359:AF359,"N")),0))</f>
        <v/>
      </c>
      <c r="AL359" s="36">
        <f>IF(OR(A359="",X359=""),"",MAX(0,IF(V359&lt;&gt;"",V359,TODAY())-X359))</f>
        <v/>
      </c>
      <c r="AM359" s="32" t="n"/>
      <c r="AN359" s="33">
        <f>IF(A359="","",LOWER(AI359)&amp;"|"&amp;AH359&amp;"|"&amp;AJ359&amp;"|"&amp;AK359)</f>
        <v/>
      </c>
      <c r="AO359" s="33">
        <f>IF(OR(A359="",T359=""),"",T359-TODAY())</f>
        <v/>
      </c>
      <c r="AP359" s="33">
        <f>IF(OR(A359="",V359&lt;&gt;""),"",(TODAY()-B359)+ROW()/1000000)</f>
        <v/>
      </c>
    </row>
    <row r="360" ht="27" customHeight="1">
      <c r="A360" s="30" t="n"/>
      <c r="B360" s="31" t="n"/>
      <c r="C360" s="32" t="n"/>
      <c r="D360" s="32" t="n"/>
      <c r="E360" s="32" t="n"/>
      <c r="F360" s="32" t="n"/>
      <c r="G360" s="33">
        <f>IF(A360="","",IFERROR(INDEX(OffCat,MATCH(F360,OffList,0)),"Unlisted"))</f>
        <v/>
      </c>
      <c r="H360" s="30" t="n"/>
      <c r="I360" s="31" t="n"/>
      <c r="J360" s="34" t="n"/>
      <c r="K360" s="34" t="n"/>
      <c r="L360" s="34" t="n"/>
      <c r="M360" s="30" t="n"/>
      <c r="N360" s="30" t="n"/>
      <c r="O360" s="30" t="n"/>
      <c r="P360" s="30" t="n"/>
      <c r="Q360" s="31" t="n"/>
      <c r="R360" s="31" t="n"/>
      <c r="S360" s="31" t="n"/>
      <c r="T360" s="31" t="n"/>
      <c r="U360" s="31" t="n"/>
      <c r="V360" s="31" t="n"/>
      <c r="W360" s="30" t="n"/>
      <c r="X360" s="31" t="n"/>
      <c r="Y360" s="35" t="n"/>
      <c r="Z360" s="35" t="n"/>
      <c r="AA360" s="35" t="n"/>
      <c r="AB360" s="35" t="n"/>
      <c r="AC360" s="35" t="n"/>
      <c r="AD360" s="35" t="n"/>
      <c r="AE360" s="35" t="n"/>
      <c r="AF360" s="35" t="n"/>
      <c r="AG360" s="36">
        <f>IF(A360="","",IF(V360&lt;&gt;"",V360-B360,TODAY()-B360))</f>
        <v/>
      </c>
      <c r="AH360" s="36">
        <f>IF(OR(A360="",I360=""),"",MAX(0,IF(V360&lt;&gt;"",V360-I360,TODAY()-I360)))</f>
        <v/>
      </c>
      <c r="AI360" s="37">
        <f>IF(A360="","",IF(OR(K360="Closed",V360&lt;&gt;""),"Closed",IF(AH360&gt;=AgeCrit,"Critical",IF(AH360&gt;=AgeFu,"For Follow-up",IF(AH360&gt;=AgeMonitor,"Monitor","Within Standard")))))</f>
        <v/>
      </c>
      <c r="AJ360" s="38">
        <f>IF(A360="","",IFERROR(INDEX(StgPct,MATCH(H360,StgList,0)),0))</f>
        <v/>
      </c>
      <c r="AK360" s="38">
        <f>IF(A360="","",IFERROR(COUNTIF(Y360:AF360,"Y")/(COUNTIF(Y360:AF360,"Y")+COUNTIF(Y360:AF360,"N")),0))</f>
        <v/>
      </c>
      <c r="AL360" s="36">
        <f>IF(OR(A360="",X360=""),"",MAX(0,IF(V360&lt;&gt;"",V360,TODAY())-X360))</f>
        <v/>
      </c>
      <c r="AM360" s="32" t="n"/>
      <c r="AN360" s="33">
        <f>IF(A360="","",LOWER(AI360)&amp;"|"&amp;AH360&amp;"|"&amp;AJ360&amp;"|"&amp;AK360)</f>
        <v/>
      </c>
      <c r="AO360" s="33">
        <f>IF(OR(A360="",T360=""),"",T360-TODAY())</f>
        <v/>
      </c>
      <c r="AP360" s="33">
        <f>IF(OR(A360="",V360&lt;&gt;""),"",(TODAY()-B360)+ROW()/1000000)</f>
        <v/>
      </c>
    </row>
    <row r="361" ht="27" customHeight="1">
      <c r="A361" s="30" t="n"/>
      <c r="B361" s="31" t="n"/>
      <c r="C361" s="32" t="n"/>
      <c r="D361" s="32" t="n"/>
      <c r="E361" s="32" t="n"/>
      <c r="F361" s="32" t="n"/>
      <c r="G361" s="33">
        <f>IF(A361="","",IFERROR(INDEX(OffCat,MATCH(F361,OffList,0)),"Unlisted"))</f>
        <v/>
      </c>
      <c r="H361" s="30" t="n"/>
      <c r="I361" s="31" t="n"/>
      <c r="J361" s="34" t="n"/>
      <c r="K361" s="34" t="n"/>
      <c r="L361" s="34" t="n"/>
      <c r="M361" s="30" t="n"/>
      <c r="N361" s="30" t="n"/>
      <c r="O361" s="30" t="n"/>
      <c r="P361" s="30" t="n"/>
      <c r="Q361" s="31" t="n"/>
      <c r="R361" s="31" t="n"/>
      <c r="S361" s="31" t="n"/>
      <c r="T361" s="31" t="n"/>
      <c r="U361" s="31" t="n"/>
      <c r="V361" s="31" t="n"/>
      <c r="W361" s="30" t="n"/>
      <c r="X361" s="31" t="n"/>
      <c r="Y361" s="35" t="n"/>
      <c r="Z361" s="35" t="n"/>
      <c r="AA361" s="35" t="n"/>
      <c r="AB361" s="35" t="n"/>
      <c r="AC361" s="35" t="n"/>
      <c r="AD361" s="35" t="n"/>
      <c r="AE361" s="35" t="n"/>
      <c r="AF361" s="35" t="n"/>
      <c r="AG361" s="36">
        <f>IF(A361="","",IF(V361&lt;&gt;"",V361-B361,TODAY()-B361))</f>
        <v/>
      </c>
      <c r="AH361" s="36">
        <f>IF(OR(A361="",I361=""),"",MAX(0,IF(V361&lt;&gt;"",V361-I361,TODAY()-I361)))</f>
        <v/>
      </c>
      <c r="AI361" s="37">
        <f>IF(A361="","",IF(OR(K361="Closed",V361&lt;&gt;""),"Closed",IF(AH361&gt;=AgeCrit,"Critical",IF(AH361&gt;=AgeFu,"For Follow-up",IF(AH361&gt;=AgeMonitor,"Monitor","Within Standard")))))</f>
        <v/>
      </c>
      <c r="AJ361" s="38">
        <f>IF(A361="","",IFERROR(INDEX(StgPct,MATCH(H361,StgList,0)),0))</f>
        <v/>
      </c>
      <c r="AK361" s="38">
        <f>IF(A361="","",IFERROR(COUNTIF(Y361:AF361,"Y")/(COUNTIF(Y361:AF361,"Y")+COUNTIF(Y361:AF361,"N")),0))</f>
        <v/>
      </c>
      <c r="AL361" s="36">
        <f>IF(OR(A361="",X361=""),"",MAX(0,IF(V361&lt;&gt;"",V361,TODAY())-X361))</f>
        <v/>
      </c>
      <c r="AM361" s="32" t="n"/>
      <c r="AN361" s="33">
        <f>IF(A361="","",LOWER(AI361)&amp;"|"&amp;AH361&amp;"|"&amp;AJ361&amp;"|"&amp;AK361)</f>
        <v/>
      </c>
      <c r="AO361" s="33">
        <f>IF(OR(A361="",T361=""),"",T361-TODAY())</f>
        <v/>
      </c>
      <c r="AP361" s="33">
        <f>IF(OR(A361="",V361&lt;&gt;""),"",(TODAY()-B361)+ROW()/1000000)</f>
        <v/>
      </c>
    </row>
    <row r="362" ht="27" customHeight="1">
      <c r="A362" s="30" t="n"/>
      <c r="B362" s="31" t="n"/>
      <c r="C362" s="32" t="n"/>
      <c r="D362" s="32" t="n"/>
      <c r="E362" s="32" t="n"/>
      <c r="F362" s="32" t="n"/>
      <c r="G362" s="33">
        <f>IF(A362="","",IFERROR(INDEX(OffCat,MATCH(F362,OffList,0)),"Unlisted"))</f>
        <v/>
      </c>
      <c r="H362" s="30" t="n"/>
      <c r="I362" s="31" t="n"/>
      <c r="J362" s="34" t="n"/>
      <c r="K362" s="34" t="n"/>
      <c r="L362" s="34" t="n"/>
      <c r="M362" s="30" t="n"/>
      <c r="N362" s="30" t="n"/>
      <c r="O362" s="30" t="n"/>
      <c r="P362" s="30" t="n"/>
      <c r="Q362" s="31" t="n"/>
      <c r="R362" s="31" t="n"/>
      <c r="S362" s="31" t="n"/>
      <c r="T362" s="31" t="n"/>
      <c r="U362" s="31" t="n"/>
      <c r="V362" s="31" t="n"/>
      <c r="W362" s="30" t="n"/>
      <c r="X362" s="31" t="n"/>
      <c r="Y362" s="35" t="n"/>
      <c r="Z362" s="35" t="n"/>
      <c r="AA362" s="35" t="n"/>
      <c r="AB362" s="35" t="n"/>
      <c r="AC362" s="35" t="n"/>
      <c r="AD362" s="35" t="n"/>
      <c r="AE362" s="35" t="n"/>
      <c r="AF362" s="35" t="n"/>
      <c r="AG362" s="36">
        <f>IF(A362="","",IF(V362&lt;&gt;"",V362-B362,TODAY()-B362))</f>
        <v/>
      </c>
      <c r="AH362" s="36">
        <f>IF(OR(A362="",I362=""),"",MAX(0,IF(V362&lt;&gt;"",V362-I362,TODAY()-I362)))</f>
        <v/>
      </c>
      <c r="AI362" s="37">
        <f>IF(A362="","",IF(OR(K362="Closed",V362&lt;&gt;""),"Closed",IF(AH362&gt;=AgeCrit,"Critical",IF(AH362&gt;=AgeFu,"For Follow-up",IF(AH362&gt;=AgeMonitor,"Monitor","Within Standard")))))</f>
        <v/>
      </c>
      <c r="AJ362" s="38">
        <f>IF(A362="","",IFERROR(INDEX(StgPct,MATCH(H362,StgList,0)),0))</f>
        <v/>
      </c>
      <c r="AK362" s="38">
        <f>IF(A362="","",IFERROR(COUNTIF(Y362:AF362,"Y")/(COUNTIF(Y362:AF362,"Y")+COUNTIF(Y362:AF362,"N")),0))</f>
        <v/>
      </c>
      <c r="AL362" s="36">
        <f>IF(OR(A362="",X362=""),"",MAX(0,IF(V362&lt;&gt;"",V362,TODAY())-X362))</f>
        <v/>
      </c>
      <c r="AM362" s="32" t="n"/>
      <c r="AN362" s="33">
        <f>IF(A362="","",LOWER(AI362)&amp;"|"&amp;AH362&amp;"|"&amp;AJ362&amp;"|"&amp;AK362)</f>
        <v/>
      </c>
      <c r="AO362" s="33">
        <f>IF(OR(A362="",T362=""),"",T362-TODAY())</f>
        <v/>
      </c>
      <c r="AP362" s="33">
        <f>IF(OR(A362="",V362&lt;&gt;""),"",(TODAY()-B362)+ROW()/1000000)</f>
        <v/>
      </c>
    </row>
    <row r="363" ht="27" customHeight="1">
      <c r="A363" s="30" t="n"/>
      <c r="B363" s="31" t="n"/>
      <c r="C363" s="32" t="n"/>
      <c r="D363" s="32" t="n"/>
      <c r="E363" s="32" t="n"/>
      <c r="F363" s="32" t="n"/>
      <c r="G363" s="33">
        <f>IF(A363="","",IFERROR(INDEX(OffCat,MATCH(F363,OffList,0)),"Unlisted"))</f>
        <v/>
      </c>
      <c r="H363" s="30" t="n"/>
      <c r="I363" s="31" t="n"/>
      <c r="J363" s="34" t="n"/>
      <c r="K363" s="34" t="n"/>
      <c r="L363" s="34" t="n"/>
      <c r="M363" s="30" t="n"/>
      <c r="N363" s="30" t="n"/>
      <c r="O363" s="30" t="n"/>
      <c r="P363" s="30" t="n"/>
      <c r="Q363" s="31" t="n"/>
      <c r="R363" s="31" t="n"/>
      <c r="S363" s="31" t="n"/>
      <c r="T363" s="31" t="n"/>
      <c r="U363" s="31" t="n"/>
      <c r="V363" s="31" t="n"/>
      <c r="W363" s="30" t="n"/>
      <c r="X363" s="31" t="n"/>
      <c r="Y363" s="35" t="n"/>
      <c r="Z363" s="35" t="n"/>
      <c r="AA363" s="35" t="n"/>
      <c r="AB363" s="35" t="n"/>
      <c r="AC363" s="35" t="n"/>
      <c r="AD363" s="35" t="n"/>
      <c r="AE363" s="35" t="n"/>
      <c r="AF363" s="35" t="n"/>
      <c r="AG363" s="36">
        <f>IF(A363="","",IF(V363&lt;&gt;"",V363-B363,TODAY()-B363))</f>
        <v/>
      </c>
      <c r="AH363" s="36">
        <f>IF(OR(A363="",I363=""),"",MAX(0,IF(V363&lt;&gt;"",V363-I363,TODAY()-I363)))</f>
        <v/>
      </c>
      <c r="AI363" s="37">
        <f>IF(A363="","",IF(OR(K363="Closed",V363&lt;&gt;""),"Closed",IF(AH363&gt;=AgeCrit,"Critical",IF(AH363&gt;=AgeFu,"For Follow-up",IF(AH363&gt;=AgeMonitor,"Monitor","Within Standard")))))</f>
        <v/>
      </c>
      <c r="AJ363" s="38">
        <f>IF(A363="","",IFERROR(INDEX(StgPct,MATCH(H363,StgList,0)),0))</f>
        <v/>
      </c>
      <c r="AK363" s="38">
        <f>IF(A363="","",IFERROR(COUNTIF(Y363:AF363,"Y")/(COUNTIF(Y363:AF363,"Y")+COUNTIF(Y363:AF363,"N")),0))</f>
        <v/>
      </c>
      <c r="AL363" s="36">
        <f>IF(OR(A363="",X363=""),"",MAX(0,IF(V363&lt;&gt;"",V363,TODAY())-X363))</f>
        <v/>
      </c>
      <c r="AM363" s="32" t="n"/>
      <c r="AN363" s="33">
        <f>IF(A363="","",LOWER(AI363)&amp;"|"&amp;AH363&amp;"|"&amp;AJ363&amp;"|"&amp;AK363)</f>
        <v/>
      </c>
      <c r="AO363" s="33">
        <f>IF(OR(A363="",T363=""),"",T363-TODAY())</f>
        <v/>
      </c>
      <c r="AP363" s="33">
        <f>IF(OR(A363="",V363&lt;&gt;""),"",(TODAY()-B363)+ROW()/1000000)</f>
        <v/>
      </c>
    </row>
    <row r="364" ht="27" customHeight="1">
      <c r="A364" s="30" t="n"/>
      <c r="B364" s="31" t="n"/>
      <c r="C364" s="32" t="n"/>
      <c r="D364" s="32" t="n"/>
      <c r="E364" s="32" t="n"/>
      <c r="F364" s="32" t="n"/>
      <c r="G364" s="33">
        <f>IF(A364="","",IFERROR(INDEX(OffCat,MATCH(F364,OffList,0)),"Unlisted"))</f>
        <v/>
      </c>
      <c r="H364" s="30" t="n"/>
      <c r="I364" s="31" t="n"/>
      <c r="J364" s="34" t="n"/>
      <c r="K364" s="34" t="n"/>
      <c r="L364" s="34" t="n"/>
      <c r="M364" s="30" t="n"/>
      <c r="N364" s="30" t="n"/>
      <c r="O364" s="30" t="n"/>
      <c r="P364" s="30" t="n"/>
      <c r="Q364" s="31" t="n"/>
      <c r="R364" s="31" t="n"/>
      <c r="S364" s="31" t="n"/>
      <c r="T364" s="31" t="n"/>
      <c r="U364" s="31" t="n"/>
      <c r="V364" s="31" t="n"/>
      <c r="W364" s="30" t="n"/>
      <c r="X364" s="31" t="n"/>
      <c r="Y364" s="35" t="n"/>
      <c r="Z364" s="35" t="n"/>
      <c r="AA364" s="35" t="n"/>
      <c r="AB364" s="35" t="n"/>
      <c r="AC364" s="35" t="n"/>
      <c r="AD364" s="35" t="n"/>
      <c r="AE364" s="35" t="n"/>
      <c r="AF364" s="35" t="n"/>
      <c r="AG364" s="36">
        <f>IF(A364="","",IF(V364&lt;&gt;"",V364-B364,TODAY()-B364))</f>
        <v/>
      </c>
      <c r="AH364" s="36">
        <f>IF(OR(A364="",I364=""),"",MAX(0,IF(V364&lt;&gt;"",V364-I364,TODAY()-I364)))</f>
        <v/>
      </c>
      <c r="AI364" s="37">
        <f>IF(A364="","",IF(OR(K364="Closed",V364&lt;&gt;""),"Closed",IF(AH364&gt;=AgeCrit,"Critical",IF(AH364&gt;=AgeFu,"For Follow-up",IF(AH364&gt;=AgeMonitor,"Monitor","Within Standard")))))</f>
        <v/>
      </c>
      <c r="AJ364" s="38">
        <f>IF(A364="","",IFERROR(INDEX(StgPct,MATCH(H364,StgList,0)),0))</f>
        <v/>
      </c>
      <c r="AK364" s="38">
        <f>IF(A364="","",IFERROR(COUNTIF(Y364:AF364,"Y")/(COUNTIF(Y364:AF364,"Y")+COUNTIF(Y364:AF364,"N")),0))</f>
        <v/>
      </c>
      <c r="AL364" s="36">
        <f>IF(OR(A364="",X364=""),"",MAX(0,IF(V364&lt;&gt;"",V364,TODAY())-X364))</f>
        <v/>
      </c>
      <c r="AM364" s="32" t="n"/>
      <c r="AN364" s="33">
        <f>IF(A364="","",LOWER(AI364)&amp;"|"&amp;AH364&amp;"|"&amp;AJ364&amp;"|"&amp;AK364)</f>
        <v/>
      </c>
      <c r="AO364" s="33">
        <f>IF(OR(A364="",T364=""),"",T364-TODAY())</f>
        <v/>
      </c>
      <c r="AP364" s="33">
        <f>IF(OR(A364="",V364&lt;&gt;""),"",(TODAY()-B364)+ROW()/1000000)</f>
        <v/>
      </c>
    </row>
    <row r="365" ht="27" customHeight="1">
      <c r="A365" s="30" t="n"/>
      <c r="B365" s="31" t="n"/>
      <c r="C365" s="32" t="n"/>
      <c r="D365" s="32" t="n"/>
      <c r="E365" s="32" t="n"/>
      <c r="F365" s="32" t="n"/>
      <c r="G365" s="33">
        <f>IF(A365="","",IFERROR(INDEX(OffCat,MATCH(F365,OffList,0)),"Unlisted"))</f>
        <v/>
      </c>
      <c r="H365" s="30" t="n"/>
      <c r="I365" s="31" t="n"/>
      <c r="J365" s="34" t="n"/>
      <c r="K365" s="34" t="n"/>
      <c r="L365" s="34" t="n"/>
      <c r="M365" s="30" t="n"/>
      <c r="N365" s="30" t="n"/>
      <c r="O365" s="30" t="n"/>
      <c r="P365" s="30" t="n"/>
      <c r="Q365" s="31" t="n"/>
      <c r="R365" s="31" t="n"/>
      <c r="S365" s="31" t="n"/>
      <c r="T365" s="31" t="n"/>
      <c r="U365" s="31" t="n"/>
      <c r="V365" s="31" t="n"/>
      <c r="W365" s="30" t="n"/>
      <c r="X365" s="31" t="n"/>
      <c r="Y365" s="35" t="n"/>
      <c r="Z365" s="35" t="n"/>
      <c r="AA365" s="35" t="n"/>
      <c r="AB365" s="35" t="n"/>
      <c r="AC365" s="35" t="n"/>
      <c r="AD365" s="35" t="n"/>
      <c r="AE365" s="35" t="n"/>
      <c r="AF365" s="35" t="n"/>
      <c r="AG365" s="36">
        <f>IF(A365="","",IF(V365&lt;&gt;"",V365-B365,TODAY()-B365))</f>
        <v/>
      </c>
      <c r="AH365" s="36">
        <f>IF(OR(A365="",I365=""),"",MAX(0,IF(V365&lt;&gt;"",V365-I365,TODAY()-I365)))</f>
        <v/>
      </c>
      <c r="AI365" s="37">
        <f>IF(A365="","",IF(OR(K365="Closed",V365&lt;&gt;""),"Closed",IF(AH365&gt;=AgeCrit,"Critical",IF(AH365&gt;=AgeFu,"For Follow-up",IF(AH365&gt;=AgeMonitor,"Monitor","Within Standard")))))</f>
        <v/>
      </c>
      <c r="AJ365" s="38">
        <f>IF(A365="","",IFERROR(INDEX(StgPct,MATCH(H365,StgList,0)),0))</f>
        <v/>
      </c>
      <c r="AK365" s="38">
        <f>IF(A365="","",IFERROR(COUNTIF(Y365:AF365,"Y")/(COUNTIF(Y365:AF365,"Y")+COUNTIF(Y365:AF365,"N")),0))</f>
        <v/>
      </c>
      <c r="AL365" s="36">
        <f>IF(OR(A365="",X365=""),"",MAX(0,IF(V365&lt;&gt;"",V365,TODAY())-X365))</f>
        <v/>
      </c>
      <c r="AM365" s="32" t="n"/>
      <c r="AN365" s="33">
        <f>IF(A365="","",LOWER(AI365)&amp;"|"&amp;AH365&amp;"|"&amp;AJ365&amp;"|"&amp;AK365)</f>
        <v/>
      </c>
      <c r="AO365" s="33">
        <f>IF(OR(A365="",T365=""),"",T365-TODAY())</f>
        <v/>
      </c>
      <c r="AP365" s="33">
        <f>IF(OR(A365="",V365&lt;&gt;""),"",(TODAY()-B365)+ROW()/1000000)</f>
        <v/>
      </c>
    </row>
    <row r="366" ht="27" customHeight="1">
      <c r="A366" s="30" t="n"/>
      <c r="B366" s="31" t="n"/>
      <c r="C366" s="32" t="n"/>
      <c r="D366" s="32" t="n"/>
      <c r="E366" s="32" t="n"/>
      <c r="F366" s="32" t="n"/>
      <c r="G366" s="33">
        <f>IF(A366="","",IFERROR(INDEX(OffCat,MATCH(F366,OffList,0)),"Unlisted"))</f>
        <v/>
      </c>
      <c r="H366" s="30" t="n"/>
      <c r="I366" s="31" t="n"/>
      <c r="J366" s="34" t="n"/>
      <c r="K366" s="34" t="n"/>
      <c r="L366" s="34" t="n"/>
      <c r="M366" s="30" t="n"/>
      <c r="N366" s="30" t="n"/>
      <c r="O366" s="30" t="n"/>
      <c r="P366" s="30" t="n"/>
      <c r="Q366" s="31" t="n"/>
      <c r="R366" s="31" t="n"/>
      <c r="S366" s="31" t="n"/>
      <c r="T366" s="31" t="n"/>
      <c r="U366" s="31" t="n"/>
      <c r="V366" s="31" t="n"/>
      <c r="W366" s="30" t="n"/>
      <c r="X366" s="31" t="n"/>
      <c r="Y366" s="35" t="n"/>
      <c r="Z366" s="35" t="n"/>
      <c r="AA366" s="35" t="n"/>
      <c r="AB366" s="35" t="n"/>
      <c r="AC366" s="35" t="n"/>
      <c r="AD366" s="35" t="n"/>
      <c r="AE366" s="35" t="n"/>
      <c r="AF366" s="35" t="n"/>
      <c r="AG366" s="36">
        <f>IF(A366="","",IF(V366&lt;&gt;"",V366-B366,TODAY()-B366))</f>
        <v/>
      </c>
      <c r="AH366" s="36">
        <f>IF(OR(A366="",I366=""),"",MAX(0,IF(V366&lt;&gt;"",V366-I366,TODAY()-I366)))</f>
        <v/>
      </c>
      <c r="AI366" s="37">
        <f>IF(A366="","",IF(OR(K366="Closed",V366&lt;&gt;""),"Closed",IF(AH366&gt;=AgeCrit,"Critical",IF(AH366&gt;=AgeFu,"For Follow-up",IF(AH366&gt;=AgeMonitor,"Monitor","Within Standard")))))</f>
        <v/>
      </c>
      <c r="AJ366" s="38">
        <f>IF(A366="","",IFERROR(INDEX(StgPct,MATCH(H366,StgList,0)),0))</f>
        <v/>
      </c>
      <c r="AK366" s="38">
        <f>IF(A366="","",IFERROR(COUNTIF(Y366:AF366,"Y")/(COUNTIF(Y366:AF366,"Y")+COUNTIF(Y366:AF366,"N")),0))</f>
        <v/>
      </c>
      <c r="AL366" s="36">
        <f>IF(OR(A366="",X366=""),"",MAX(0,IF(V366&lt;&gt;"",V366,TODAY())-X366))</f>
        <v/>
      </c>
      <c r="AM366" s="32" t="n"/>
      <c r="AN366" s="33">
        <f>IF(A366="","",LOWER(AI366)&amp;"|"&amp;AH366&amp;"|"&amp;AJ366&amp;"|"&amp;AK366)</f>
        <v/>
      </c>
      <c r="AO366" s="33">
        <f>IF(OR(A366="",T366=""),"",T366-TODAY())</f>
        <v/>
      </c>
      <c r="AP366" s="33">
        <f>IF(OR(A366="",V366&lt;&gt;""),"",(TODAY()-B366)+ROW()/1000000)</f>
        <v/>
      </c>
    </row>
    <row r="367" ht="27" customHeight="1">
      <c r="A367" s="30" t="n"/>
      <c r="B367" s="31" t="n"/>
      <c r="C367" s="32" t="n"/>
      <c r="D367" s="32" t="n"/>
      <c r="E367" s="32" t="n"/>
      <c r="F367" s="32" t="n"/>
      <c r="G367" s="33">
        <f>IF(A367="","",IFERROR(INDEX(OffCat,MATCH(F367,OffList,0)),"Unlisted"))</f>
        <v/>
      </c>
      <c r="H367" s="30" t="n"/>
      <c r="I367" s="31" t="n"/>
      <c r="J367" s="34" t="n"/>
      <c r="K367" s="34" t="n"/>
      <c r="L367" s="34" t="n"/>
      <c r="M367" s="30" t="n"/>
      <c r="N367" s="30" t="n"/>
      <c r="O367" s="30" t="n"/>
      <c r="P367" s="30" t="n"/>
      <c r="Q367" s="31" t="n"/>
      <c r="R367" s="31" t="n"/>
      <c r="S367" s="31" t="n"/>
      <c r="T367" s="31" t="n"/>
      <c r="U367" s="31" t="n"/>
      <c r="V367" s="31" t="n"/>
      <c r="W367" s="30" t="n"/>
      <c r="X367" s="31" t="n"/>
      <c r="Y367" s="35" t="n"/>
      <c r="Z367" s="35" t="n"/>
      <c r="AA367" s="35" t="n"/>
      <c r="AB367" s="35" t="n"/>
      <c r="AC367" s="35" t="n"/>
      <c r="AD367" s="35" t="n"/>
      <c r="AE367" s="35" t="n"/>
      <c r="AF367" s="35" t="n"/>
      <c r="AG367" s="36">
        <f>IF(A367="","",IF(V367&lt;&gt;"",V367-B367,TODAY()-B367))</f>
        <v/>
      </c>
      <c r="AH367" s="36">
        <f>IF(OR(A367="",I367=""),"",MAX(0,IF(V367&lt;&gt;"",V367-I367,TODAY()-I367)))</f>
        <v/>
      </c>
      <c r="AI367" s="37">
        <f>IF(A367="","",IF(OR(K367="Closed",V367&lt;&gt;""),"Closed",IF(AH367&gt;=AgeCrit,"Critical",IF(AH367&gt;=AgeFu,"For Follow-up",IF(AH367&gt;=AgeMonitor,"Monitor","Within Standard")))))</f>
        <v/>
      </c>
      <c r="AJ367" s="38">
        <f>IF(A367="","",IFERROR(INDEX(StgPct,MATCH(H367,StgList,0)),0))</f>
        <v/>
      </c>
      <c r="AK367" s="38">
        <f>IF(A367="","",IFERROR(COUNTIF(Y367:AF367,"Y")/(COUNTIF(Y367:AF367,"Y")+COUNTIF(Y367:AF367,"N")),0))</f>
        <v/>
      </c>
      <c r="AL367" s="36">
        <f>IF(OR(A367="",X367=""),"",MAX(0,IF(V367&lt;&gt;"",V367,TODAY())-X367))</f>
        <v/>
      </c>
      <c r="AM367" s="32" t="n"/>
      <c r="AN367" s="33">
        <f>IF(A367="","",LOWER(AI367)&amp;"|"&amp;AH367&amp;"|"&amp;AJ367&amp;"|"&amp;AK367)</f>
        <v/>
      </c>
      <c r="AO367" s="33">
        <f>IF(OR(A367="",T367=""),"",T367-TODAY())</f>
        <v/>
      </c>
      <c r="AP367" s="33">
        <f>IF(OR(A367="",V367&lt;&gt;""),"",(TODAY()-B367)+ROW()/1000000)</f>
        <v/>
      </c>
    </row>
    <row r="368" ht="27" customHeight="1">
      <c r="A368" s="30" t="n"/>
      <c r="B368" s="31" t="n"/>
      <c r="C368" s="32" t="n"/>
      <c r="D368" s="32" t="n"/>
      <c r="E368" s="32" t="n"/>
      <c r="F368" s="32" t="n"/>
      <c r="G368" s="33">
        <f>IF(A368="","",IFERROR(INDEX(OffCat,MATCH(F368,OffList,0)),"Unlisted"))</f>
        <v/>
      </c>
      <c r="H368" s="30" t="n"/>
      <c r="I368" s="31" t="n"/>
      <c r="J368" s="34" t="n"/>
      <c r="K368" s="34" t="n"/>
      <c r="L368" s="34" t="n"/>
      <c r="M368" s="30" t="n"/>
      <c r="N368" s="30" t="n"/>
      <c r="O368" s="30" t="n"/>
      <c r="P368" s="30" t="n"/>
      <c r="Q368" s="31" t="n"/>
      <c r="R368" s="31" t="n"/>
      <c r="S368" s="31" t="n"/>
      <c r="T368" s="31" t="n"/>
      <c r="U368" s="31" t="n"/>
      <c r="V368" s="31" t="n"/>
      <c r="W368" s="30" t="n"/>
      <c r="X368" s="31" t="n"/>
      <c r="Y368" s="35" t="n"/>
      <c r="Z368" s="35" t="n"/>
      <c r="AA368" s="35" t="n"/>
      <c r="AB368" s="35" t="n"/>
      <c r="AC368" s="35" t="n"/>
      <c r="AD368" s="35" t="n"/>
      <c r="AE368" s="35" t="n"/>
      <c r="AF368" s="35" t="n"/>
      <c r="AG368" s="36">
        <f>IF(A368="","",IF(V368&lt;&gt;"",V368-B368,TODAY()-B368))</f>
        <v/>
      </c>
      <c r="AH368" s="36">
        <f>IF(OR(A368="",I368=""),"",MAX(0,IF(V368&lt;&gt;"",V368-I368,TODAY()-I368)))</f>
        <v/>
      </c>
      <c r="AI368" s="37">
        <f>IF(A368="","",IF(OR(K368="Closed",V368&lt;&gt;""),"Closed",IF(AH368&gt;=AgeCrit,"Critical",IF(AH368&gt;=AgeFu,"For Follow-up",IF(AH368&gt;=AgeMonitor,"Monitor","Within Standard")))))</f>
        <v/>
      </c>
      <c r="AJ368" s="38">
        <f>IF(A368="","",IFERROR(INDEX(StgPct,MATCH(H368,StgList,0)),0))</f>
        <v/>
      </c>
      <c r="AK368" s="38">
        <f>IF(A368="","",IFERROR(COUNTIF(Y368:AF368,"Y")/(COUNTIF(Y368:AF368,"Y")+COUNTIF(Y368:AF368,"N")),0))</f>
        <v/>
      </c>
      <c r="AL368" s="36">
        <f>IF(OR(A368="",X368=""),"",MAX(0,IF(V368&lt;&gt;"",V368,TODAY())-X368))</f>
        <v/>
      </c>
      <c r="AM368" s="32" t="n"/>
      <c r="AN368" s="33">
        <f>IF(A368="","",LOWER(AI368)&amp;"|"&amp;AH368&amp;"|"&amp;AJ368&amp;"|"&amp;AK368)</f>
        <v/>
      </c>
      <c r="AO368" s="33">
        <f>IF(OR(A368="",T368=""),"",T368-TODAY())</f>
        <v/>
      </c>
      <c r="AP368" s="33">
        <f>IF(OR(A368="",V368&lt;&gt;""),"",(TODAY()-B368)+ROW()/1000000)</f>
        <v/>
      </c>
    </row>
    <row r="369" ht="27" customHeight="1">
      <c r="A369" s="30" t="n"/>
      <c r="B369" s="31" t="n"/>
      <c r="C369" s="32" t="n"/>
      <c r="D369" s="32" t="n"/>
      <c r="E369" s="32" t="n"/>
      <c r="F369" s="32" t="n"/>
      <c r="G369" s="33">
        <f>IF(A369="","",IFERROR(INDEX(OffCat,MATCH(F369,OffList,0)),"Unlisted"))</f>
        <v/>
      </c>
      <c r="H369" s="30" t="n"/>
      <c r="I369" s="31" t="n"/>
      <c r="J369" s="34" t="n"/>
      <c r="K369" s="34" t="n"/>
      <c r="L369" s="34" t="n"/>
      <c r="M369" s="30" t="n"/>
      <c r="N369" s="30" t="n"/>
      <c r="O369" s="30" t="n"/>
      <c r="P369" s="30" t="n"/>
      <c r="Q369" s="31" t="n"/>
      <c r="R369" s="31" t="n"/>
      <c r="S369" s="31" t="n"/>
      <c r="T369" s="31" t="n"/>
      <c r="U369" s="31" t="n"/>
      <c r="V369" s="31" t="n"/>
      <c r="W369" s="30" t="n"/>
      <c r="X369" s="31" t="n"/>
      <c r="Y369" s="35" t="n"/>
      <c r="Z369" s="35" t="n"/>
      <c r="AA369" s="35" t="n"/>
      <c r="AB369" s="35" t="n"/>
      <c r="AC369" s="35" t="n"/>
      <c r="AD369" s="35" t="n"/>
      <c r="AE369" s="35" t="n"/>
      <c r="AF369" s="35" t="n"/>
      <c r="AG369" s="36">
        <f>IF(A369="","",IF(V369&lt;&gt;"",V369-B369,TODAY()-B369))</f>
        <v/>
      </c>
      <c r="AH369" s="36">
        <f>IF(OR(A369="",I369=""),"",MAX(0,IF(V369&lt;&gt;"",V369-I369,TODAY()-I369)))</f>
        <v/>
      </c>
      <c r="AI369" s="37">
        <f>IF(A369="","",IF(OR(K369="Closed",V369&lt;&gt;""),"Closed",IF(AH369&gt;=AgeCrit,"Critical",IF(AH369&gt;=AgeFu,"For Follow-up",IF(AH369&gt;=AgeMonitor,"Monitor","Within Standard")))))</f>
        <v/>
      </c>
      <c r="AJ369" s="38">
        <f>IF(A369="","",IFERROR(INDEX(StgPct,MATCH(H369,StgList,0)),0))</f>
        <v/>
      </c>
      <c r="AK369" s="38">
        <f>IF(A369="","",IFERROR(COUNTIF(Y369:AF369,"Y")/(COUNTIF(Y369:AF369,"Y")+COUNTIF(Y369:AF369,"N")),0))</f>
        <v/>
      </c>
      <c r="AL369" s="36">
        <f>IF(OR(A369="",X369=""),"",MAX(0,IF(V369&lt;&gt;"",V369,TODAY())-X369))</f>
        <v/>
      </c>
      <c r="AM369" s="32" t="n"/>
      <c r="AN369" s="33">
        <f>IF(A369="","",LOWER(AI369)&amp;"|"&amp;AH369&amp;"|"&amp;AJ369&amp;"|"&amp;AK369)</f>
        <v/>
      </c>
      <c r="AO369" s="33">
        <f>IF(OR(A369="",T369=""),"",T369-TODAY())</f>
        <v/>
      </c>
      <c r="AP369" s="33">
        <f>IF(OR(A369="",V369&lt;&gt;""),"",(TODAY()-B369)+ROW()/1000000)</f>
        <v/>
      </c>
    </row>
    <row r="370" ht="27" customHeight="1">
      <c r="A370" s="30" t="n"/>
      <c r="B370" s="31" t="n"/>
      <c r="C370" s="32" t="n"/>
      <c r="D370" s="32" t="n"/>
      <c r="E370" s="32" t="n"/>
      <c r="F370" s="32" t="n"/>
      <c r="G370" s="33">
        <f>IF(A370="","",IFERROR(INDEX(OffCat,MATCH(F370,OffList,0)),"Unlisted"))</f>
        <v/>
      </c>
      <c r="H370" s="30" t="n"/>
      <c r="I370" s="31" t="n"/>
      <c r="J370" s="34" t="n"/>
      <c r="K370" s="34" t="n"/>
      <c r="L370" s="34" t="n"/>
      <c r="M370" s="30" t="n"/>
      <c r="N370" s="30" t="n"/>
      <c r="O370" s="30" t="n"/>
      <c r="P370" s="30" t="n"/>
      <c r="Q370" s="31" t="n"/>
      <c r="R370" s="31" t="n"/>
      <c r="S370" s="31" t="n"/>
      <c r="T370" s="31" t="n"/>
      <c r="U370" s="31" t="n"/>
      <c r="V370" s="31" t="n"/>
      <c r="W370" s="30" t="n"/>
      <c r="X370" s="31" t="n"/>
      <c r="Y370" s="35" t="n"/>
      <c r="Z370" s="35" t="n"/>
      <c r="AA370" s="35" t="n"/>
      <c r="AB370" s="35" t="n"/>
      <c r="AC370" s="35" t="n"/>
      <c r="AD370" s="35" t="n"/>
      <c r="AE370" s="35" t="n"/>
      <c r="AF370" s="35" t="n"/>
      <c r="AG370" s="36">
        <f>IF(A370="","",IF(V370&lt;&gt;"",V370-B370,TODAY()-B370))</f>
        <v/>
      </c>
      <c r="AH370" s="36">
        <f>IF(OR(A370="",I370=""),"",MAX(0,IF(V370&lt;&gt;"",V370-I370,TODAY()-I370)))</f>
        <v/>
      </c>
      <c r="AI370" s="37">
        <f>IF(A370="","",IF(OR(K370="Closed",V370&lt;&gt;""),"Closed",IF(AH370&gt;=AgeCrit,"Critical",IF(AH370&gt;=AgeFu,"For Follow-up",IF(AH370&gt;=AgeMonitor,"Monitor","Within Standard")))))</f>
        <v/>
      </c>
      <c r="AJ370" s="38">
        <f>IF(A370="","",IFERROR(INDEX(StgPct,MATCH(H370,StgList,0)),0))</f>
        <v/>
      </c>
      <c r="AK370" s="38">
        <f>IF(A370="","",IFERROR(COUNTIF(Y370:AF370,"Y")/(COUNTIF(Y370:AF370,"Y")+COUNTIF(Y370:AF370,"N")),0))</f>
        <v/>
      </c>
      <c r="AL370" s="36">
        <f>IF(OR(A370="",X370=""),"",MAX(0,IF(V370&lt;&gt;"",V370,TODAY())-X370))</f>
        <v/>
      </c>
      <c r="AM370" s="32" t="n"/>
      <c r="AN370" s="33">
        <f>IF(A370="","",LOWER(AI370)&amp;"|"&amp;AH370&amp;"|"&amp;AJ370&amp;"|"&amp;AK370)</f>
        <v/>
      </c>
      <c r="AO370" s="33">
        <f>IF(OR(A370="",T370=""),"",T370-TODAY())</f>
        <v/>
      </c>
      <c r="AP370" s="33">
        <f>IF(OR(A370="",V370&lt;&gt;""),"",(TODAY()-B370)+ROW()/1000000)</f>
        <v/>
      </c>
    </row>
    <row r="371" ht="27" customHeight="1">
      <c r="A371" s="30" t="n"/>
      <c r="B371" s="31" t="n"/>
      <c r="C371" s="32" t="n"/>
      <c r="D371" s="32" t="n"/>
      <c r="E371" s="32" t="n"/>
      <c r="F371" s="32" t="n"/>
      <c r="G371" s="33">
        <f>IF(A371="","",IFERROR(INDEX(OffCat,MATCH(F371,OffList,0)),"Unlisted"))</f>
        <v/>
      </c>
      <c r="H371" s="30" t="n"/>
      <c r="I371" s="31" t="n"/>
      <c r="J371" s="34" t="n"/>
      <c r="K371" s="34" t="n"/>
      <c r="L371" s="34" t="n"/>
      <c r="M371" s="30" t="n"/>
      <c r="N371" s="30" t="n"/>
      <c r="O371" s="30" t="n"/>
      <c r="P371" s="30" t="n"/>
      <c r="Q371" s="31" t="n"/>
      <c r="R371" s="31" t="n"/>
      <c r="S371" s="31" t="n"/>
      <c r="T371" s="31" t="n"/>
      <c r="U371" s="31" t="n"/>
      <c r="V371" s="31" t="n"/>
      <c r="W371" s="30" t="n"/>
      <c r="X371" s="31" t="n"/>
      <c r="Y371" s="35" t="n"/>
      <c r="Z371" s="35" t="n"/>
      <c r="AA371" s="35" t="n"/>
      <c r="AB371" s="35" t="n"/>
      <c r="AC371" s="35" t="n"/>
      <c r="AD371" s="35" t="n"/>
      <c r="AE371" s="35" t="n"/>
      <c r="AF371" s="35" t="n"/>
      <c r="AG371" s="36">
        <f>IF(A371="","",IF(V371&lt;&gt;"",V371-B371,TODAY()-B371))</f>
        <v/>
      </c>
      <c r="AH371" s="36">
        <f>IF(OR(A371="",I371=""),"",MAX(0,IF(V371&lt;&gt;"",V371-I371,TODAY()-I371)))</f>
        <v/>
      </c>
      <c r="AI371" s="37">
        <f>IF(A371="","",IF(OR(K371="Closed",V371&lt;&gt;""),"Closed",IF(AH371&gt;=AgeCrit,"Critical",IF(AH371&gt;=AgeFu,"For Follow-up",IF(AH371&gt;=AgeMonitor,"Monitor","Within Standard")))))</f>
        <v/>
      </c>
      <c r="AJ371" s="38">
        <f>IF(A371="","",IFERROR(INDEX(StgPct,MATCH(H371,StgList,0)),0))</f>
        <v/>
      </c>
      <c r="AK371" s="38">
        <f>IF(A371="","",IFERROR(COUNTIF(Y371:AF371,"Y")/(COUNTIF(Y371:AF371,"Y")+COUNTIF(Y371:AF371,"N")),0))</f>
        <v/>
      </c>
      <c r="AL371" s="36">
        <f>IF(OR(A371="",X371=""),"",MAX(0,IF(V371&lt;&gt;"",V371,TODAY())-X371))</f>
        <v/>
      </c>
      <c r="AM371" s="32" t="n"/>
      <c r="AN371" s="33">
        <f>IF(A371="","",LOWER(AI371)&amp;"|"&amp;AH371&amp;"|"&amp;AJ371&amp;"|"&amp;AK371)</f>
        <v/>
      </c>
      <c r="AO371" s="33">
        <f>IF(OR(A371="",T371=""),"",T371-TODAY())</f>
        <v/>
      </c>
      <c r="AP371" s="33">
        <f>IF(OR(A371="",V371&lt;&gt;""),"",(TODAY()-B371)+ROW()/1000000)</f>
        <v/>
      </c>
    </row>
    <row r="372" ht="27" customHeight="1">
      <c r="A372" s="30" t="n"/>
      <c r="B372" s="31" t="n"/>
      <c r="C372" s="32" t="n"/>
      <c r="D372" s="32" t="n"/>
      <c r="E372" s="32" t="n"/>
      <c r="F372" s="32" t="n"/>
      <c r="G372" s="33">
        <f>IF(A372="","",IFERROR(INDEX(OffCat,MATCH(F372,OffList,0)),"Unlisted"))</f>
        <v/>
      </c>
      <c r="H372" s="30" t="n"/>
      <c r="I372" s="31" t="n"/>
      <c r="J372" s="34" t="n"/>
      <c r="K372" s="34" t="n"/>
      <c r="L372" s="34" t="n"/>
      <c r="M372" s="30" t="n"/>
      <c r="N372" s="30" t="n"/>
      <c r="O372" s="30" t="n"/>
      <c r="P372" s="30" t="n"/>
      <c r="Q372" s="31" t="n"/>
      <c r="R372" s="31" t="n"/>
      <c r="S372" s="31" t="n"/>
      <c r="T372" s="31" t="n"/>
      <c r="U372" s="31" t="n"/>
      <c r="V372" s="31" t="n"/>
      <c r="W372" s="30" t="n"/>
      <c r="X372" s="31" t="n"/>
      <c r="Y372" s="35" t="n"/>
      <c r="Z372" s="35" t="n"/>
      <c r="AA372" s="35" t="n"/>
      <c r="AB372" s="35" t="n"/>
      <c r="AC372" s="35" t="n"/>
      <c r="AD372" s="35" t="n"/>
      <c r="AE372" s="35" t="n"/>
      <c r="AF372" s="35" t="n"/>
      <c r="AG372" s="36">
        <f>IF(A372="","",IF(V372&lt;&gt;"",V372-B372,TODAY()-B372))</f>
        <v/>
      </c>
      <c r="AH372" s="36">
        <f>IF(OR(A372="",I372=""),"",MAX(0,IF(V372&lt;&gt;"",V372-I372,TODAY()-I372)))</f>
        <v/>
      </c>
      <c r="AI372" s="37">
        <f>IF(A372="","",IF(OR(K372="Closed",V372&lt;&gt;""),"Closed",IF(AH372&gt;=AgeCrit,"Critical",IF(AH372&gt;=AgeFu,"For Follow-up",IF(AH372&gt;=AgeMonitor,"Monitor","Within Standard")))))</f>
        <v/>
      </c>
      <c r="AJ372" s="38">
        <f>IF(A372="","",IFERROR(INDEX(StgPct,MATCH(H372,StgList,0)),0))</f>
        <v/>
      </c>
      <c r="AK372" s="38">
        <f>IF(A372="","",IFERROR(COUNTIF(Y372:AF372,"Y")/(COUNTIF(Y372:AF372,"Y")+COUNTIF(Y372:AF372,"N")),0))</f>
        <v/>
      </c>
      <c r="AL372" s="36">
        <f>IF(OR(A372="",X372=""),"",MAX(0,IF(V372&lt;&gt;"",V372,TODAY())-X372))</f>
        <v/>
      </c>
      <c r="AM372" s="32" t="n"/>
      <c r="AN372" s="33">
        <f>IF(A372="","",LOWER(AI372)&amp;"|"&amp;AH372&amp;"|"&amp;AJ372&amp;"|"&amp;AK372)</f>
        <v/>
      </c>
      <c r="AO372" s="33">
        <f>IF(OR(A372="",T372=""),"",T372-TODAY())</f>
        <v/>
      </c>
      <c r="AP372" s="33">
        <f>IF(OR(A372="",V372&lt;&gt;""),"",(TODAY()-B372)+ROW()/1000000)</f>
        <v/>
      </c>
    </row>
    <row r="373" ht="27" customHeight="1">
      <c r="A373" s="30" t="n"/>
      <c r="B373" s="31" t="n"/>
      <c r="C373" s="32" t="n"/>
      <c r="D373" s="32" t="n"/>
      <c r="E373" s="32" t="n"/>
      <c r="F373" s="32" t="n"/>
      <c r="G373" s="33">
        <f>IF(A373="","",IFERROR(INDEX(OffCat,MATCH(F373,OffList,0)),"Unlisted"))</f>
        <v/>
      </c>
      <c r="H373" s="30" t="n"/>
      <c r="I373" s="31" t="n"/>
      <c r="J373" s="34" t="n"/>
      <c r="K373" s="34" t="n"/>
      <c r="L373" s="34" t="n"/>
      <c r="M373" s="30" t="n"/>
      <c r="N373" s="30" t="n"/>
      <c r="O373" s="30" t="n"/>
      <c r="P373" s="30" t="n"/>
      <c r="Q373" s="31" t="n"/>
      <c r="R373" s="31" t="n"/>
      <c r="S373" s="31" t="n"/>
      <c r="T373" s="31" t="n"/>
      <c r="U373" s="31" t="n"/>
      <c r="V373" s="31" t="n"/>
      <c r="W373" s="30" t="n"/>
      <c r="X373" s="31" t="n"/>
      <c r="Y373" s="35" t="n"/>
      <c r="Z373" s="35" t="n"/>
      <c r="AA373" s="35" t="n"/>
      <c r="AB373" s="35" t="n"/>
      <c r="AC373" s="35" t="n"/>
      <c r="AD373" s="35" t="n"/>
      <c r="AE373" s="35" t="n"/>
      <c r="AF373" s="35" t="n"/>
      <c r="AG373" s="36">
        <f>IF(A373="","",IF(V373&lt;&gt;"",V373-B373,TODAY()-B373))</f>
        <v/>
      </c>
      <c r="AH373" s="36">
        <f>IF(OR(A373="",I373=""),"",MAX(0,IF(V373&lt;&gt;"",V373-I373,TODAY()-I373)))</f>
        <v/>
      </c>
      <c r="AI373" s="37">
        <f>IF(A373="","",IF(OR(K373="Closed",V373&lt;&gt;""),"Closed",IF(AH373&gt;=AgeCrit,"Critical",IF(AH373&gt;=AgeFu,"For Follow-up",IF(AH373&gt;=AgeMonitor,"Monitor","Within Standard")))))</f>
        <v/>
      </c>
      <c r="AJ373" s="38">
        <f>IF(A373="","",IFERROR(INDEX(StgPct,MATCH(H373,StgList,0)),0))</f>
        <v/>
      </c>
      <c r="AK373" s="38">
        <f>IF(A373="","",IFERROR(COUNTIF(Y373:AF373,"Y")/(COUNTIF(Y373:AF373,"Y")+COUNTIF(Y373:AF373,"N")),0))</f>
        <v/>
      </c>
      <c r="AL373" s="36">
        <f>IF(OR(A373="",X373=""),"",MAX(0,IF(V373&lt;&gt;"",V373,TODAY())-X373))</f>
        <v/>
      </c>
      <c r="AM373" s="32" t="n"/>
      <c r="AN373" s="33">
        <f>IF(A373="","",LOWER(AI373)&amp;"|"&amp;AH373&amp;"|"&amp;AJ373&amp;"|"&amp;AK373)</f>
        <v/>
      </c>
      <c r="AO373" s="33">
        <f>IF(OR(A373="",T373=""),"",T373-TODAY())</f>
        <v/>
      </c>
      <c r="AP373" s="33">
        <f>IF(OR(A373="",V373&lt;&gt;""),"",(TODAY()-B373)+ROW()/1000000)</f>
        <v/>
      </c>
    </row>
    <row r="374" ht="27" customHeight="1">
      <c r="A374" s="30" t="n"/>
      <c r="B374" s="31" t="n"/>
      <c r="C374" s="32" t="n"/>
      <c r="D374" s="32" t="n"/>
      <c r="E374" s="32" t="n"/>
      <c r="F374" s="32" t="n"/>
      <c r="G374" s="33">
        <f>IF(A374="","",IFERROR(INDEX(OffCat,MATCH(F374,OffList,0)),"Unlisted"))</f>
        <v/>
      </c>
      <c r="H374" s="30" t="n"/>
      <c r="I374" s="31" t="n"/>
      <c r="J374" s="34" t="n"/>
      <c r="K374" s="34" t="n"/>
      <c r="L374" s="34" t="n"/>
      <c r="M374" s="30" t="n"/>
      <c r="N374" s="30" t="n"/>
      <c r="O374" s="30" t="n"/>
      <c r="P374" s="30" t="n"/>
      <c r="Q374" s="31" t="n"/>
      <c r="R374" s="31" t="n"/>
      <c r="S374" s="31" t="n"/>
      <c r="T374" s="31" t="n"/>
      <c r="U374" s="31" t="n"/>
      <c r="V374" s="31" t="n"/>
      <c r="W374" s="30" t="n"/>
      <c r="X374" s="31" t="n"/>
      <c r="Y374" s="35" t="n"/>
      <c r="Z374" s="35" t="n"/>
      <c r="AA374" s="35" t="n"/>
      <c r="AB374" s="35" t="n"/>
      <c r="AC374" s="35" t="n"/>
      <c r="AD374" s="35" t="n"/>
      <c r="AE374" s="35" t="n"/>
      <c r="AF374" s="35" t="n"/>
      <c r="AG374" s="36">
        <f>IF(A374="","",IF(V374&lt;&gt;"",V374-B374,TODAY()-B374))</f>
        <v/>
      </c>
      <c r="AH374" s="36">
        <f>IF(OR(A374="",I374=""),"",MAX(0,IF(V374&lt;&gt;"",V374-I374,TODAY()-I374)))</f>
        <v/>
      </c>
      <c r="AI374" s="37">
        <f>IF(A374="","",IF(OR(K374="Closed",V374&lt;&gt;""),"Closed",IF(AH374&gt;=AgeCrit,"Critical",IF(AH374&gt;=AgeFu,"For Follow-up",IF(AH374&gt;=AgeMonitor,"Monitor","Within Standard")))))</f>
        <v/>
      </c>
      <c r="AJ374" s="38">
        <f>IF(A374="","",IFERROR(INDEX(StgPct,MATCH(H374,StgList,0)),0))</f>
        <v/>
      </c>
      <c r="AK374" s="38">
        <f>IF(A374="","",IFERROR(COUNTIF(Y374:AF374,"Y")/(COUNTIF(Y374:AF374,"Y")+COUNTIF(Y374:AF374,"N")),0))</f>
        <v/>
      </c>
      <c r="AL374" s="36">
        <f>IF(OR(A374="",X374=""),"",MAX(0,IF(V374&lt;&gt;"",V374,TODAY())-X374))</f>
        <v/>
      </c>
      <c r="AM374" s="32" t="n"/>
      <c r="AN374" s="33">
        <f>IF(A374="","",LOWER(AI374)&amp;"|"&amp;AH374&amp;"|"&amp;AJ374&amp;"|"&amp;AK374)</f>
        <v/>
      </c>
      <c r="AO374" s="33">
        <f>IF(OR(A374="",T374=""),"",T374-TODAY())</f>
        <v/>
      </c>
      <c r="AP374" s="33">
        <f>IF(OR(A374="",V374&lt;&gt;""),"",(TODAY()-B374)+ROW()/1000000)</f>
        <v/>
      </c>
    </row>
    <row r="375" ht="27" customHeight="1">
      <c r="A375" s="30" t="n"/>
      <c r="B375" s="31" t="n"/>
      <c r="C375" s="32" t="n"/>
      <c r="D375" s="32" t="n"/>
      <c r="E375" s="32" t="n"/>
      <c r="F375" s="32" t="n"/>
      <c r="G375" s="33">
        <f>IF(A375="","",IFERROR(INDEX(OffCat,MATCH(F375,OffList,0)),"Unlisted"))</f>
        <v/>
      </c>
      <c r="H375" s="30" t="n"/>
      <c r="I375" s="31" t="n"/>
      <c r="J375" s="34" t="n"/>
      <c r="K375" s="34" t="n"/>
      <c r="L375" s="34" t="n"/>
      <c r="M375" s="30" t="n"/>
      <c r="N375" s="30" t="n"/>
      <c r="O375" s="30" t="n"/>
      <c r="P375" s="30" t="n"/>
      <c r="Q375" s="31" t="n"/>
      <c r="R375" s="31" t="n"/>
      <c r="S375" s="31" t="n"/>
      <c r="T375" s="31" t="n"/>
      <c r="U375" s="31" t="n"/>
      <c r="V375" s="31" t="n"/>
      <c r="W375" s="30" t="n"/>
      <c r="X375" s="31" t="n"/>
      <c r="Y375" s="35" t="n"/>
      <c r="Z375" s="35" t="n"/>
      <c r="AA375" s="35" t="n"/>
      <c r="AB375" s="35" t="n"/>
      <c r="AC375" s="35" t="n"/>
      <c r="AD375" s="35" t="n"/>
      <c r="AE375" s="35" t="n"/>
      <c r="AF375" s="35" t="n"/>
      <c r="AG375" s="36">
        <f>IF(A375="","",IF(V375&lt;&gt;"",V375-B375,TODAY()-B375))</f>
        <v/>
      </c>
      <c r="AH375" s="36">
        <f>IF(OR(A375="",I375=""),"",MAX(0,IF(V375&lt;&gt;"",V375-I375,TODAY()-I375)))</f>
        <v/>
      </c>
      <c r="AI375" s="37">
        <f>IF(A375="","",IF(OR(K375="Closed",V375&lt;&gt;""),"Closed",IF(AH375&gt;=AgeCrit,"Critical",IF(AH375&gt;=AgeFu,"For Follow-up",IF(AH375&gt;=AgeMonitor,"Monitor","Within Standard")))))</f>
        <v/>
      </c>
      <c r="AJ375" s="38">
        <f>IF(A375="","",IFERROR(INDEX(StgPct,MATCH(H375,StgList,0)),0))</f>
        <v/>
      </c>
      <c r="AK375" s="38">
        <f>IF(A375="","",IFERROR(COUNTIF(Y375:AF375,"Y")/(COUNTIF(Y375:AF375,"Y")+COUNTIF(Y375:AF375,"N")),0))</f>
        <v/>
      </c>
      <c r="AL375" s="36">
        <f>IF(OR(A375="",X375=""),"",MAX(0,IF(V375&lt;&gt;"",V375,TODAY())-X375))</f>
        <v/>
      </c>
      <c r="AM375" s="32" t="n"/>
      <c r="AN375" s="33">
        <f>IF(A375="","",LOWER(AI375)&amp;"|"&amp;AH375&amp;"|"&amp;AJ375&amp;"|"&amp;AK375)</f>
        <v/>
      </c>
      <c r="AO375" s="33">
        <f>IF(OR(A375="",T375=""),"",T375-TODAY())</f>
        <v/>
      </c>
      <c r="AP375" s="33">
        <f>IF(OR(A375="",V375&lt;&gt;""),"",(TODAY()-B375)+ROW()/1000000)</f>
        <v/>
      </c>
    </row>
    <row r="376" ht="27" customHeight="1">
      <c r="A376" s="30" t="n"/>
      <c r="B376" s="31" t="n"/>
      <c r="C376" s="32" t="n"/>
      <c r="D376" s="32" t="n"/>
      <c r="E376" s="32" t="n"/>
      <c r="F376" s="32" t="n"/>
      <c r="G376" s="33">
        <f>IF(A376="","",IFERROR(INDEX(OffCat,MATCH(F376,OffList,0)),"Unlisted"))</f>
        <v/>
      </c>
      <c r="H376" s="30" t="n"/>
      <c r="I376" s="31" t="n"/>
      <c r="J376" s="34" t="n"/>
      <c r="K376" s="34" t="n"/>
      <c r="L376" s="34" t="n"/>
      <c r="M376" s="30" t="n"/>
      <c r="N376" s="30" t="n"/>
      <c r="O376" s="30" t="n"/>
      <c r="P376" s="30" t="n"/>
      <c r="Q376" s="31" t="n"/>
      <c r="R376" s="31" t="n"/>
      <c r="S376" s="31" t="n"/>
      <c r="T376" s="31" t="n"/>
      <c r="U376" s="31" t="n"/>
      <c r="V376" s="31" t="n"/>
      <c r="W376" s="30" t="n"/>
      <c r="X376" s="31" t="n"/>
      <c r="Y376" s="35" t="n"/>
      <c r="Z376" s="35" t="n"/>
      <c r="AA376" s="35" t="n"/>
      <c r="AB376" s="35" t="n"/>
      <c r="AC376" s="35" t="n"/>
      <c r="AD376" s="35" t="n"/>
      <c r="AE376" s="35" t="n"/>
      <c r="AF376" s="35" t="n"/>
      <c r="AG376" s="36">
        <f>IF(A376="","",IF(V376&lt;&gt;"",V376-B376,TODAY()-B376))</f>
        <v/>
      </c>
      <c r="AH376" s="36">
        <f>IF(OR(A376="",I376=""),"",MAX(0,IF(V376&lt;&gt;"",V376-I376,TODAY()-I376)))</f>
        <v/>
      </c>
      <c r="AI376" s="37">
        <f>IF(A376="","",IF(OR(K376="Closed",V376&lt;&gt;""),"Closed",IF(AH376&gt;=AgeCrit,"Critical",IF(AH376&gt;=AgeFu,"For Follow-up",IF(AH376&gt;=AgeMonitor,"Monitor","Within Standard")))))</f>
        <v/>
      </c>
      <c r="AJ376" s="38">
        <f>IF(A376="","",IFERROR(INDEX(StgPct,MATCH(H376,StgList,0)),0))</f>
        <v/>
      </c>
      <c r="AK376" s="38">
        <f>IF(A376="","",IFERROR(COUNTIF(Y376:AF376,"Y")/(COUNTIF(Y376:AF376,"Y")+COUNTIF(Y376:AF376,"N")),0))</f>
        <v/>
      </c>
      <c r="AL376" s="36">
        <f>IF(OR(A376="",X376=""),"",MAX(0,IF(V376&lt;&gt;"",V376,TODAY())-X376))</f>
        <v/>
      </c>
      <c r="AM376" s="32" t="n"/>
      <c r="AN376" s="33">
        <f>IF(A376="","",LOWER(AI376)&amp;"|"&amp;AH376&amp;"|"&amp;AJ376&amp;"|"&amp;AK376)</f>
        <v/>
      </c>
      <c r="AO376" s="33">
        <f>IF(OR(A376="",T376=""),"",T376-TODAY())</f>
        <v/>
      </c>
      <c r="AP376" s="33">
        <f>IF(OR(A376="",V376&lt;&gt;""),"",(TODAY()-B376)+ROW()/1000000)</f>
        <v/>
      </c>
    </row>
    <row r="377" ht="27" customHeight="1">
      <c r="A377" s="30" t="n"/>
      <c r="B377" s="31" t="n"/>
      <c r="C377" s="32" t="n"/>
      <c r="D377" s="32" t="n"/>
      <c r="E377" s="32" t="n"/>
      <c r="F377" s="32" t="n"/>
      <c r="G377" s="33">
        <f>IF(A377="","",IFERROR(INDEX(OffCat,MATCH(F377,OffList,0)),"Unlisted"))</f>
        <v/>
      </c>
      <c r="H377" s="30" t="n"/>
      <c r="I377" s="31" t="n"/>
      <c r="J377" s="34" t="n"/>
      <c r="K377" s="34" t="n"/>
      <c r="L377" s="34" t="n"/>
      <c r="M377" s="30" t="n"/>
      <c r="N377" s="30" t="n"/>
      <c r="O377" s="30" t="n"/>
      <c r="P377" s="30" t="n"/>
      <c r="Q377" s="31" t="n"/>
      <c r="R377" s="31" t="n"/>
      <c r="S377" s="31" t="n"/>
      <c r="T377" s="31" t="n"/>
      <c r="U377" s="31" t="n"/>
      <c r="V377" s="31" t="n"/>
      <c r="W377" s="30" t="n"/>
      <c r="X377" s="31" t="n"/>
      <c r="Y377" s="35" t="n"/>
      <c r="Z377" s="35" t="n"/>
      <c r="AA377" s="35" t="n"/>
      <c r="AB377" s="35" t="n"/>
      <c r="AC377" s="35" t="n"/>
      <c r="AD377" s="35" t="n"/>
      <c r="AE377" s="35" t="n"/>
      <c r="AF377" s="35" t="n"/>
      <c r="AG377" s="36">
        <f>IF(A377="","",IF(V377&lt;&gt;"",V377-B377,TODAY()-B377))</f>
        <v/>
      </c>
      <c r="AH377" s="36">
        <f>IF(OR(A377="",I377=""),"",MAX(0,IF(V377&lt;&gt;"",V377-I377,TODAY()-I377)))</f>
        <v/>
      </c>
      <c r="AI377" s="37">
        <f>IF(A377="","",IF(OR(K377="Closed",V377&lt;&gt;""),"Closed",IF(AH377&gt;=AgeCrit,"Critical",IF(AH377&gt;=AgeFu,"For Follow-up",IF(AH377&gt;=AgeMonitor,"Monitor","Within Standard")))))</f>
        <v/>
      </c>
      <c r="AJ377" s="38">
        <f>IF(A377="","",IFERROR(INDEX(StgPct,MATCH(H377,StgList,0)),0))</f>
        <v/>
      </c>
      <c r="AK377" s="38">
        <f>IF(A377="","",IFERROR(COUNTIF(Y377:AF377,"Y")/(COUNTIF(Y377:AF377,"Y")+COUNTIF(Y377:AF377,"N")),0))</f>
        <v/>
      </c>
      <c r="AL377" s="36">
        <f>IF(OR(A377="",X377=""),"",MAX(0,IF(V377&lt;&gt;"",V377,TODAY())-X377))</f>
        <v/>
      </c>
      <c r="AM377" s="32" t="n"/>
      <c r="AN377" s="33">
        <f>IF(A377="","",LOWER(AI377)&amp;"|"&amp;AH377&amp;"|"&amp;AJ377&amp;"|"&amp;AK377)</f>
        <v/>
      </c>
      <c r="AO377" s="33">
        <f>IF(OR(A377="",T377=""),"",T377-TODAY())</f>
        <v/>
      </c>
      <c r="AP377" s="33">
        <f>IF(OR(A377="",V377&lt;&gt;""),"",(TODAY()-B377)+ROW()/1000000)</f>
        <v/>
      </c>
    </row>
    <row r="378" ht="27" customHeight="1">
      <c r="A378" s="30" t="n"/>
      <c r="B378" s="31" t="n"/>
      <c r="C378" s="32" t="n"/>
      <c r="D378" s="32" t="n"/>
      <c r="E378" s="32" t="n"/>
      <c r="F378" s="32" t="n"/>
      <c r="G378" s="33">
        <f>IF(A378="","",IFERROR(INDEX(OffCat,MATCH(F378,OffList,0)),"Unlisted"))</f>
        <v/>
      </c>
      <c r="H378" s="30" t="n"/>
      <c r="I378" s="31" t="n"/>
      <c r="J378" s="34" t="n"/>
      <c r="K378" s="34" t="n"/>
      <c r="L378" s="34" t="n"/>
      <c r="M378" s="30" t="n"/>
      <c r="N378" s="30" t="n"/>
      <c r="O378" s="30" t="n"/>
      <c r="P378" s="30" t="n"/>
      <c r="Q378" s="31" t="n"/>
      <c r="R378" s="31" t="n"/>
      <c r="S378" s="31" t="n"/>
      <c r="T378" s="31" t="n"/>
      <c r="U378" s="31" t="n"/>
      <c r="V378" s="31" t="n"/>
      <c r="W378" s="30" t="n"/>
      <c r="X378" s="31" t="n"/>
      <c r="Y378" s="35" t="n"/>
      <c r="Z378" s="35" t="n"/>
      <c r="AA378" s="35" t="n"/>
      <c r="AB378" s="35" t="n"/>
      <c r="AC378" s="35" t="n"/>
      <c r="AD378" s="35" t="n"/>
      <c r="AE378" s="35" t="n"/>
      <c r="AF378" s="35" t="n"/>
      <c r="AG378" s="36">
        <f>IF(A378="","",IF(V378&lt;&gt;"",V378-B378,TODAY()-B378))</f>
        <v/>
      </c>
      <c r="AH378" s="36">
        <f>IF(OR(A378="",I378=""),"",MAX(0,IF(V378&lt;&gt;"",V378-I378,TODAY()-I378)))</f>
        <v/>
      </c>
      <c r="AI378" s="37">
        <f>IF(A378="","",IF(OR(K378="Closed",V378&lt;&gt;""),"Closed",IF(AH378&gt;=AgeCrit,"Critical",IF(AH378&gt;=AgeFu,"For Follow-up",IF(AH378&gt;=AgeMonitor,"Monitor","Within Standard")))))</f>
        <v/>
      </c>
      <c r="AJ378" s="38">
        <f>IF(A378="","",IFERROR(INDEX(StgPct,MATCH(H378,StgList,0)),0))</f>
        <v/>
      </c>
      <c r="AK378" s="38">
        <f>IF(A378="","",IFERROR(COUNTIF(Y378:AF378,"Y")/(COUNTIF(Y378:AF378,"Y")+COUNTIF(Y378:AF378,"N")),0))</f>
        <v/>
      </c>
      <c r="AL378" s="36">
        <f>IF(OR(A378="",X378=""),"",MAX(0,IF(V378&lt;&gt;"",V378,TODAY())-X378))</f>
        <v/>
      </c>
      <c r="AM378" s="32" t="n"/>
      <c r="AN378" s="33">
        <f>IF(A378="","",LOWER(AI378)&amp;"|"&amp;AH378&amp;"|"&amp;AJ378&amp;"|"&amp;AK378)</f>
        <v/>
      </c>
      <c r="AO378" s="33">
        <f>IF(OR(A378="",T378=""),"",T378-TODAY())</f>
        <v/>
      </c>
      <c r="AP378" s="33">
        <f>IF(OR(A378="",V378&lt;&gt;""),"",(TODAY()-B378)+ROW()/1000000)</f>
        <v/>
      </c>
    </row>
    <row r="379" ht="27" customHeight="1">
      <c r="A379" s="30" t="n"/>
      <c r="B379" s="31" t="n"/>
      <c r="C379" s="32" t="n"/>
      <c r="D379" s="32" t="n"/>
      <c r="E379" s="32" t="n"/>
      <c r="F379" s="32" t="n"/>
      <c r="G379" s="33">
        <f>IF(A379="","",IFERROR(INDEX(OffCat,MATCH(F379,OffList,0)),"Unlisted"))</f>
        <v/>
      </c>
      <c r="H379" s="30" t="n"/>
      <c r="I379" s="31" t="n"/>
      <c r="J379" s="34" t="n"/>
      <c r="K379" s="34" t="n"/>
      <c r="L379" s="34" t="n"/>
      <c r="M379" s="30" t="n"/>
      <c r="N379" s="30" t="n"/>
      <c r="O379" s="30" t="n"/>
      <c r="P379" s="30" t="n"/>
      <c r="Q379" s="31" t="n"/>
      <c r="R379" s="31" t="n"/>
      <c r="S379" s="31" t="n"/>
      <c r="T379" s="31" t="n"/>
      <c r="U379" s="31" t="n"/>
      <c r="V379" s="31" t="n"/>
      <c r="W379" s="30" t="n"/>
      <c r="X379" s="31" t="n"/>
      <c r="Y379" s="35" t="n"/>
      <c r="Z379" s="35" t="n"/>
      <c r="AA379" s="35" t="n"/>
      <c r="AB379" s="35" t="n"/>
      <c r="AC379" s="35" t="n"/>
      <c r="AD379" s="35" t="n"/>
      <c r="AE379" s="35" t="n"/>
      <c r="AF379" s="35" t="n"/>
      <c r="AG379" s="36">
        <f>IF(A379="","",IF(V379&lt;&gt;"",V379-B379,TODAY()-B379))</f>
        <v/>
      </c>
      <c r="AH379" s="36">
        <f>IF(OR(A379="",I379=""),"",MAX(0,IF(V379&lt;&gt;"",V379-I379,TODAY()-I379)))</f>
        <v/>
      </c>
      <c r="AI379" s="37">
        <f>IF(A379="","",IF(OR(K379="Closed",V379&lt;&gt;""),"Closed",IF(AH379&gt;=AgeCrit,"Critical",IF(AH379&gt;=AgeFu,"For Follow-up",IF(AH379&gt;=AgeMonitor,"Monitor","Within Standard")))))</f>
        <v/>
      </c>
      <c r="AJ379" s="38">
        <f>IF(A379="","",IFERROR(INDEX(StgPct,MATCH(H379,StgList,0)),0))</f>
        <v/>
      </c>
      <c r="AK379" s="38">
        <f>IF(A379="","",IFERROR(COUNTIF(Y379:AF379,"Y")/(COUNTIF(Y379:AF379,"Y")+COUNTIF(Y379:AF379,"N")),0))</f>
        <v/>
      </c>
      <c r="AL379" s="36">
        <f>IF(OR(A379="",X379=""),"",MAX(0,IF(V379&lt;&gt;"",V379,TODAY())-X379))</f>
        <v/>
      </c>
      <c r="AM379" s="32" t="n"/>
      <c r="AN379" s="33">
        <f>IF(A379="","",LOWER(AI379)&amp;"|"&amp;AH379&amp;"|"&amp;AJ379&amp;"|"&amp;AK379)</f>
        <v/>
      </c>
      <c r="AO379" s="33">
        <f>IF(OR(A379="",T379=""),"",T379-TODAY())</f>
        <v/>
      </c>
      <c r="AP379" s="33">
        <f>IF(OR(A379="",V379&lt;&gt;""),"",(TODAY()-B379)+ROW()/1000000)</f>
        <v/>
      </c>
    </row>
    <row r="380" ht="27" customHeight="1">
      <c r="A380" s="30" t="n"/>
      <c r="B380" s="31" t="n"/>
      <c r="C380" s="32" t="n"/>
      <c r="D380" s="32" t="n"/>
      <c r="E380" s="32" t="n"/>
      <c r="F380" s="32" t="n"/>
      <c r="G380" s="33">
        <f>IF(A380="","",IFERROR(INDEX(OffCat,MATCH(F380,OffList,0)),"Unlisted"))</f>
        <v/>
      </c>
      <c r="H380" s="30" t="n"/>
      <c r="I380" s="31" t="n"/>
      <c r="J380" s="34" t="n"/>
      <c r="K380" s="34" t="n"/>
      <c r="L380" s="34" t="n"/>
      <c r="M380" s="30" t="n"/>
      <c r="N380" s="30" t="n"/>
      <c r="O380" s="30" t="n"/>
      <c r="P380" s="30" t="n"/>
      <c r="Q380" s="31" t="n"/>
      <c r="R380" s="31" t="n"/>
      <c r="S380" s="31" t="n"/>
      <c r="T380" s="31" t="n"/>
      <c r="U380" s="31" t="n"/>
      <c r="V380" s="31" t="n"/>
      <c r="W380" s="30" t="n"/>
      <c r="X380" s="31" t="n"/>
      <c r="Y380" s="35" t="n"/>
      <c r="Z380" s="35" t="n"/>
      <c r="AA380" s="35" t="n"/>
      <c r="AB380" s="35" t="n"/>
      <c r="AC380" s="35" t="n"/>
      <c r="AD380" s="35" t="n"/>
      <c r="AE380" s="35" t="n"/>
      <c r="AF380" s="35" t="n"/>
      <c r="AG380" s="36">
        <f>IF(A380="","",IF(V380&lt;&gt;"",V380-B380,TODAY()-B380))</f>
        <v/>
      </c>
      <c r="AH380" s="36">
        <f>IF(OR(A380="",I380=""),"",MAX(0,IF(V380&lt;&gt;"",V380-I380,TODAY()-I380)))</f>
        <v/>
      </c>
      <c r="AI380" s="37">
        <f>IF(A380="","",IF(OR(K380="Closed",V380&lt;&gt;""),"Closed",IF(AH380&gt;=AgeCrit,"Critical",IF(AH380&gt;=AgeFu,"For Follow-up",IF(AH380&gt;=AgeMonitor,"Monitor","Within Standard")))))</f>
        <v/>
      </c>
      <c r="AJ380" s="38">
        <f>IF(A380="","",IFERROR(INDEX(StgPct,MATCH(H380,StgList,0)),0))</f>
        <v/>
      </c>
      <c r="AK380" s="38">
        <f>IF(A380="","",IFERROR(COUNTIF(Y380:AF380,"Y")/(COUNTIF(Y380:AF380,"Y")+COUNTIF(Y380:AF380,"N")),0))</f>
        <v/>
      </c>
      <c r="AL380" s="36">
        <f>IF(OR(A380="",X380=""),"",MAX(0,IF(V380&lt;&gt;"",V380,TODAY())-X380))</f>
        <v/>
      </c>
      <c r="AM380" s="32" t="n"/>
      <c r="AN380" s="33">
        <f>IF(A380="","",LOWER(AI380)&amp;"|"&amp;AH380&amp;"|"&amp;AJ380&amp;"|"&amp;AK380)</f>
        <v/>
      </c>
      <c r="AO380" s="33">
        <f>IF(OR(A380="",T380=""),"",T380-TODAY())</f>
        <v/>
      </c>
      <c r="AP380" s="33">
        <f>IF(OR(A380="",V380&lt;&gt;""),"",(TODAY()-B380)+ROW()/1000000)</f>
        <v/>
      </c>
    </row>
    <row r="381" ht="27" customHeight="1">
      <c r="A381" s="30" t="n"/>
      <c r="B381" s="31" t="n"/>
      <c r="C381" s="32" t="n"/>
      <c r="D381" s="32" t="n"/>
      <c r="E381" s="32" t="n"/>
      <c r="F381" s="32" t="n"/>
      <c r="G381" s="33">
        <f>IF(A381="","",IFERROR(INDEX(OffCat,MATCH(F381,OffList,0)),"Unlisted"))</f>
        <v/>
      </c>
      <c r="H381" s="30" t="n"/>
      <c r="I381" s="31" t="n"/>
      <c r="J381" s="34" t="n"/>
      <c r="K381" s="34" t="n"/>
      <c r="L381" s="34" t="n"/>
      <c r="M381" s="30" t="n"/>
      <c r="N381" s="30" t="n"/>
      <c r="O381" s="30" t="n"/>
      <c r="P381" s="30" t="n"/>
      <c r="Q381" s="31" t="n"/>
      <c r="R381" s="31" t="n"/>
      <c r="S381" s="31" t="n"/>
      <c r="T381" s="31" t="n"/>
      <c r="U381" s="31" t="n"/>
      <c r="V381" s="31" t="n"/>
      <c r="W381" s="30" t="n"/>
      <c r="X381" s="31" t="n"/>
      <c r="Y381" s="35" t="n"/>
      <c r="Z381" s="35" t="n"/>
      <c r="AA381" s="35" t="n"/>
      <c r="AB381" s="35" t="n"/>
      <c r="AC381" s="35" t="n"/>
      <c r="AD381" s="35" t="n"/>
      <c r="AE381" s="35" t="n"/>
      <c r="AF381" s="35" t="n"/>
      <c r="AG381" s="36">
        <f>IF(A381="","",IF(V381&lt;&gt;"",V381-B381,TODAY()-B381))</f>
        <v/>
      </c>
      <c r="AH381" s="36">
        <f>IF(OR(A381="",I381=""),"",MAX(0,IF(V381&lt;&gt;"",V381-I381,TODAY()-I381)))</f>
        <v/>
      </c>
      <c r="AI381" s="37">
        <f>IF(A381="","",IF(OR(K381="Closed",V381&lt;&gt;""),"Closed",IF(AH381&gt;=AgeCrit,"Critical",IF(AH381&gt;=AgeFu,"For Follow-up",IF(AH381&gt;=AgeMonitor,"Monitor","Within Standard")))))</f>
        <v/>
      </c>
      <c r="AJ381" s="38">
        <f>IF(A381="","",IFERROR(INDEX(StgPct,MATCH(H381,StgList,0)),0))</f>
        <v/>
      </c>
      <c r="AK381" s="38">
        <f>IF(A381="","",IFERROR(COUNTIF(Y381:AF381,"Y")/(COUNTIF(Y381:AF381,"Y")+COUNTIF(Y381:AF381,"N")),0))</f>
        <v/>
      </c>
      <c r="AL381" s="36">
        <f>IF(OR(A381="",X381=""),"",MAX(0,IF(V381&lt;&gt;"",V381,TODAY())-X381))</f>
        <v/>
      </c>
      <c r="AM381" s="32" t="n"/>
      <c r="AN381" s="33">
        <f>IF(A381="","",LOWER(AI381)&amp;"|"&amp;AH381&amp;"|"&amp;AJ381&amp;"|"&amp;AK381)</f>
        <v/>
      </c>
      <c r="AO381" s="33">
        <f>IF(OR(A381="",T381=""),"",T381-TODAY())</f>
        <v/>
      </c>
      <c r="AP381" s="33">
        <f>IF(OR(A381="",V381&lt;&gt;""),"",(TODAY()-B381)+ROW()/1000000)</f>
        <v/>
      </c>
    </row>
    <row r="382" ht="27" customHeight="1">
      <c r="A382" s="30" t="n"/>
      <c r="B382" s="31" t="n"/>
      <c r="C382" s="32" t="n"/>
      <c r="D382" s="32" t="n"/>
      <c r="E382" s="32" t="n"/>
      <c r="F382" s="32" t="n"/>
      <c r="G382" s="33">
        <f>IF(A382="","",IFERROR(INDEX(OffCat,MATCH(F382,OffList,0)),"Unlisted"))</f>
        <v/>
      </c>
      <c r="H382" s="30" t="n"/>
      <c r="I382" s="31" t="n"/>
      <c r="J382" s="34" t="n"/>
      <c r="K382" s="34" t="n"/>
      <c r="L382" s="34" t="n"/>
      <c r="M382" s="30" t="n"/>
      <c r="N382" s="30" t="n"/>
      <c r="O382" s="30" t="n"/>
      <c r="P382" s="30" t="n"/>
      <c r="Q382" s="31" t="n"/>
      <c r="R382" s="31" t="n"/>
      <c r="S382" s="31" t="n"/>
      <c r="T382" s="31" t="n"/>
      <c r="U382" s="31" t="n"/>
      <c r="V382" s="31" t="n"/>
      <c r="W382" s="30" t="n"/>
      <c r="X382" s="31" t="n"/>
      <c r="Y382" s="35" t="n"/>
      <c r="Z382" s="35" t="n"/>
      <c r="AA382" s="35" t="n"/>
      <c r="AB382" s="35" t="n"/>
      <c r="AC382" s="35" t="n"/>
      <c r="AD382" s="35" t="n"/>
      <c r="AE382" s="35" t="n"/>
      <c r="AF382" s="35" t="n"/>
      <c r="AG382" s="36">
        <f>IF(A382="","",IF(V382&lt;&gt;"",V382-B382,TODAY()-B382))</f>
        <v/>
      </c>
      <c r="AH382" s="36">
        <f>IF(OR(A382="",I382=""),"",MAX(0,IF(V382&lt;&gt;"",V382-I382,TODAY()-I382)))</f>
        <v/>
      </c>
      <c r="AI382" s="37">
        <f>IF(A382="","",IF(OR(K382="Closed",V382&lt;&gt;""),"Closed",IF(AH382&gt;=AgeCrit,"Critical",IF(AH382&gt;=AgeFu,"For Follow-up",IF(AH382&gt;=AgeMonitor,"Monitor","Within Standard")))))</f>
        <v/>
      </c>
      <c r="AJ382" s="38">
        <f>IF(A382="","",IFERROR(INDEX(StgPct,MATCH(H382,StgList,0)),0))</f>
        <v/>
      </c>
      <c r="AK382" s="38">
        <f>IF(A382="","",IFERROR(COUNTIF(Y382:AF382,"Y")/(COUNTIF(Y382:AF382,"Y")+COUNTIF(Y382:AF382,"N")),0))</f>
        <v/>
      </c>
      <c r="AL382" s="36">
        <f>IF(OR(A382="",X382=""),"",MAX(0,IF(V382&lt;&gt;"",V382,TODAY())-X382))</f>
        <v/>
      </c>
      <c r="AM382" s="32" t="n"/>
      <c r="AN382" s="33">
        <f>IF(A382="","",LOWER(AI382)&amp;"|"&amp;AH382&amp;"|"&amp;AJ382&amp;"|"&amp;AK382)</f>
        <v/>
      </c>
      <c r="AO382" s="33">
        <f>IF(OR(A382="",T382=""),"",T382-TODAY())</f>
        <v/>
      </c>
      <c r="AP382" s="33">
        <f>IF(OR(A382="",V382&lt;&gt;""),"",(TODAY()-B382)+ROW()/1000000)</f>
        <v/>
      </c>
    </row>
    <row r="383" ht="27" customHeight="1">
      <c r="A383" s="30" t="n"/>
      <c r="B383" s="31" t="n"/>
      <c r="C383" s="32" t="n"/>
      <c r="D383" s="32" t="n"/>
      <c r="E383" s="32" t="n"/>
      <c r="F383" s="32" t="n"/>
      <c r="G383" s="33">
        <f>IF(A383="","",IFERROR(INDEX(OffCat,MATCH(F383,OffList,0)),"Unlisted"))</f>
        <v/>
      </c>
      <c r="H383" s="30" t="n"/>
      <c r="I383" s="31" t="n"/>
      <c r="J383" s="34" t="n"/>
      <c r="K383" s="34" t="n"/>
      <c r="L383" s="34" t="n"/>
      <c r="M383" s="30" t="n"/>
      <c r="N383" s="30" t="n"/>
      <c r="O383" s="30" t="n"/>
      <c r="P383" s="30" t="n"/>
      <c r="Q383" s="31" t="n"/>
      <c r="R383" s="31" t="n"/>
      <c r="S383" s="31" t="n"/>
      <c r="T383" s="31" t="n"/>
      <c r="U383" s="31" t="n"/>
      <c r="V383" s="31" t="n"/>
      <c r="W383" s="30" t="n"/>
      <c r="X383" s="31" t="n"/>
      <c r="Y383" s="35" t="n"/>
      <c r="Z383" s="35" t="n"/>
      <c r="AA383" s="35" t="n"/>
      <c r="AB383" s="35" t="n"/>
      <c r="AC383" s="35" t="n"/>
      <c r="AD383" s="35" t="n"/>
      <c r="AE383" s="35" t="n"/>
      <c r="AF383" s="35" t="n"/>
      <c r="AG383" s="36">
        <f>IF(A383="","",IF(V383&lt;&gt;"",V383-B383,TODAY()-B383))</f>
        <v/>
      </c>
      <c r="AH383" s="36">
        <f>IF(OR(A383="",I383=""),"",MAX(0,IF(V383&lt;&gt;"",V383-I383,TODAY()-I383)))</f>
        <v/>
      </c>
      <c r="AI383" s="37">
        <f>IF(A383="","",IF(OR(K383="Closed",V383&lt;&gt;""),"Closed",IF(AH383&gt;=AgeCrit,"Critical",IF(AH383&gt;=AgeFu,"For Follow-up",IF(AH383&gt;=AgeMonitor,"Monitor","Within Standard")))))</f>
        <v/>
      </c>
      <c r="AJ383" s="38">
        <f>IF(A383="","",IFERROR(INDEX(StgPct,MATCH(H383,StgList,0)),0))</f>
        <v/>
      </c>
      <c r="AK383" s="38">
        <f>IF(A383="","",IFERROR(COUNTIF(Y383:AF383,"Y")/(COUNTIF(Y383:AF383,"Y")+COUNTIF(Y383:AF383,"N")),0))</f>
        <v/>
      </c>
      <c r="AL383" s="36">
        <f>IF(OR(A383="",X383=""),"",MAX(0,IF(V383&lt;&gt;"",V383,TODAY())-X383))</f>
        <v/>
      </c>
      <c r="AM383" s="32" t="n"/>
      <c r="AN383" s="33">
        <f>IF(A383="","",LOWER(AI383)&amp;"|"&amp;AH383&amp;"|"&amp;AJ383&amp;"|"&amp;AK383)</f>
        <v/>
      </c>
      <c r="AO383" s="33">
        <f>IF(OR(A383="",T383=""),"",T383-TODAY())</f>
        <v/>
      </c>
      <c r="AP383" s="33">
        <f>IF(OR(A383="",V383&lt;&gt;""),"",(TODAY()-B383)+ROW()/1000000)</f>
        <v/>
      </c>
    </row>
    <row r="384" ht="27" customHeight="1">
      <c r="A384" s="30" t="n"/>
      <c r="B384" s="31" t="n"/>
      <c r="C384" s="32" t="n"/>
      <c r="D384" s="32" t="n"/>
      <c r="E384" s="32" t="n"/>
      <c r="F384" s="32" t="n"/>
      <c r="G384" s="33">
        <f>IF(A384="","",IFERROR(INDEX(OffCat,MATCH(F384,OffList,0)),"Unlisted"))</f>
        <v/>
      </c>
      <c r="H384" s="30" t="n"/>
      <c r="I384" s="31" t="n"/>
      <c r="J384" s="34" t="n"/>
      <c r="K384" s="34" t="n"/>
      <c r="L384" s="34" t="n"/>
      <c r="M384" s="30" t="n"/>
      <c r="N384" s="30" t="n"/>
      <c r="O384" s="30" t="n"/>
      <c r="P384" s="30" t="n"/>
      <c r="Q384" s="31" t="n"/>
      <c r="R384" s="31" t="n"/>
      <c r="S384" s="31" t="n"/>
      <c r="T384" s="31" t="n"/>
      <c r="U384" s="31" t="n"/>
      <c r="V384" s="31" t="n"/>
      <c r="W384" s="30" t="n"/>
      <c r="X384" s="31" t="n"/>
      <c r="Y384" s="35" t="n"/>
      <c r="Z384" s="35" t="n"/>
      <c r="AA384" s="35" t="n"/>
      <c r="AB384" s="35" t="n"/>
      <c r="AC384" s="35" t="n"/>
      <c r="AD384" s="35" t="n"/>
      <c r="AE384" s="35" t="n"/>
      <c r="AF384" s="35" t="n"/>
      <c r="AG384" s="36">
        <f>IF(A384="","",IF(V384&lt;&gt;"",V384-B384,TODAY()-B384))</f>
        <v/>
      </c>
      <c r="AH384" s="36">
        <f>IF(OR(A384="",I384=""),"",MAX(0,IF(V384&lt;&gt;"",V384-I384,TODAY()-I384)))</f>
        <v/>
      </c>
      <c r="AI384" s="37">
        <f>IF(A384="","",IF(OR(K384="Closed",V384&lt;&gt;""),"Closed",IF(AH384&gt;=AgeCrit,"Critical",IF(AH384&gt;=AgeFu,"For Follow-up",IF(AH384&gt;=AgeMonitor,"Monitor","Within Standard")))))</f>
        <v/>
      </c>
      <c r="AJ384" s="38">
        <f>IF(A384="","",IFERROR(INDEX(StgPct,MATCH(H384,StgList,0)),0))</f>
        <v/>
      </c>
      <c r="AK384" s="38">
        <f>IF(A384="","",IFERROR(COUNTIF(Y384:AF384,"Y")/(COUNTIF(Y384:AF384,"Y")+COUNTIF(Y384:AF384,"N")),0))</f>
        <v/>
      </c>
      <c r="AL384" s="36">
        <f>IF(OR(A384="",X384=""),"",MAX(0,IF(V384&lt;&gt;"",V384,TODAY())-X384))</f>
        <v/>
      </c>
      <c r="AM384" s="32" t="n"/>
      <c r="AN384" s="33">
        <f>IF(A384="","",LOWER(AI384)&amp;"|"&amp;AH384&amp;"|"&amp;AJ384&amp;"|"&amp;AK384)</f>
        <v/>
      </c>
      <c r="AO384" s="33">
        <f>IF(OR(A384="",T384=""),"",T384-TODAY())</f>
        <v/>
      </c>
      <c r="AP384" s="33">
        <f>IF(OR(A384="",V384&lt;&gt;""),"",(TODAY()-B384)+ROW()/1000000)</f>
        <v/>
      </c>
    </row>
    <row r="385" ht="27" customHeight="1">
      <c r="A385" s="30" t="n"/>
      <c r="B385" s="31" t="n"/>
      <c r="C385" s="32" t="n"/>
      <c r="D385" s="32" t="n"/>
      <c r="E385" s="32" t="n"/>
      <c r="F385" s="32" t="n"/>
      <c r="G385" s="33">
        <f>IF(A385="","",IFERROR(INDEX(OffCat,MATCH(F385,OffList,0)),"Unlisted"))</f>
        <v/>
      </c>
      <c r="H385" s="30" t="n"/>
      <c r="I385" s="31" t="n"/>
      <c r="J385" s="34" t="n"/>
      <c r="K385" s="34" t="n"/>
      <c r="L385" s="34" t="n"/>
      <c r="M385" s="30" t="n"/>
      <c r="N385" s="30" t="n"/>
      <c r="O385" s="30" t="n"/>
      <c r="P385" s="30" t="n"/>
      <c r="Q385" s="31" t="n"/>
      <c r="R385" s="31" t="n"/>
      <c r="S385" s="31" t="n"/>
      <c r="T385" s="31" t="n"/>
      <c r="U385" s="31" t="n"/>
      <c r="V385" s="31" t="n"/>
      <c r="W385" s="30" t="n"/>
      <c r="X385" s="31" t="n"/>
      <c r="Y385" s="35" t="n"/>
      <c r="Z385" s="35" t="n"/>
      <c r="AA385" s="35" t="n"/>
      <c r="AB385" s="35" t="n"/>
      <c r="AC385" s="35" t="n"/>
      <c r="AD385" s="35" t="n"/>
      <c r="AE385" s="35" t="n"/>
      <c r="AF385" s="35" t="n"/>
      <c r="AG385" s="36">
        <f>IF(A385="","",IF(V385&lt;&gt;"",V385-B385,TODAY()-B385))</f>
        <v/>
      </c>
      <c r="AH385" s="36">
        <f>IF(OR(A385="",I385=""),"",MAX(0,IF(V385&lt;&gt;"",V385-I385,TODAY()-I385)))</f>
        <v/>
      </c>
      <c r="AI385" s="37">
        <f>IF(A385="","",IF(OR(K385="Closed",V385&lt;&gt;""),"Closed",IF(AH385&gt;=AgeCrit,"Critical",IF(AH385&gt;=AgeFu,"For Follow-up",IF(AH385&gt;=AgeMonitor,"Monitor","Within Standard")))))</f>
        <v/>
      </c>
      <c r="AJ385" s="38">
        <f>IF(A385="","",IFERROR(INDEX(StgPct,MATCH(H385,StgList,0)),0))</f>
        <v/>
      </c>
      <c r="AK385" s="38">
        <f>IF(A385="","",IFERROR(COUNTIF(Y385:AF385,"Y")/(COUNTIF(Y385:AF385,"Y")+COUNTIF(Y385:AF385,"N")),0))</f>
        <v/>
      </c>
      <c r="AL385" s="36">
        <f>IF(OR(A385="",X385=""),"",MAX(0,IF(V385&lt;&gt;"",V385,TODAY())-X385))</f>
        <v/>
      </c>
      <c r="AM385" s="32" t="n"/>
      <c r="AN385" s="33">
        <f>IF(A385="","",LOWER(AI385)&amp;"|"&amp;AH385&amp;"|"&amp;AJ385&amp;"|"&amp;AK385)</f>
        <v/>
      </c>
      <c r="AO385" s="33">
        <f>IF(OR(A385="",T385=""),"",T385-TODAY())</f>
        <v/>
      </c>
      <c r="AP385" s="33">
        <f>IF(OR(A385="",V385&lt;&gt;""),"",(TODAY()-B385)+ROW()/1000000)</f>
        <v/>
      </c>
    </row>
    <row r="386" ht="27" customHeight="1">
      <c r="A386" s="30" t="n"/>
      <c r="B386" s="31" t="n"/>
      <c r="C386" s="32" t="n"/>
      <c r="D386" s="32" t="n"/>
      <c r="E386" s="32" t="n"/>
      <c r="F386" s="32" t="n"/>
      <c r="G386" s="33">
        <f>IF(A386="","",IFERROR(INDEX(OffCat,MATCH(F386,OffList,0)),"Unlisted"))</f>
        <v/>
      </c>
      <c r="H386" s="30" t="n"/>
      <c r="I386" s="31" t="n"/>
      <c r="J386" s="34" t="n"/>
      <c r="K386" s="34" t="n"/>
      <c r="L386" s="34" t="n"/>
      <c r="M386" s="30" t="n"/>
      <c r="N386" s="30" t="n"/>
      <c r="O386" s="30" t="n"/>
      <c r="P386" s="30" t="n"/>
      <c r="Q386" s="31" t="n"/>
      <c r="R386" s="31" t="n"/>
      <c r="S386" s="31" t="n"/>
      <c r="T386" s="31" t="n"/>
      <c r="U386" s="31" t="n"/>
      <c r="V386" s="31" t="n"/>
      <c r="W386" s="30" t="n"/>
      <c r="X386" s="31" t="n"/>
      <c r="Y386" s="35" t="n"/>
      <c r="Z386" s="35" t="n"/>
      <c r="AA386" s="35" t="n"/>
      <c r="AB386" s="35" t="n"/>
      <c r="AC386" s="35" t="n"/>
      <c r="AD386" s="35" t="n"/>
      <c r="AE386" s="35" t="n"/>
      <c r="AF386" s="35" t="n"/>
      <c r="AG386" s="36">
        <f>IF(A386="","",IF(V386&lt;&gt;"",V386-B386,TODAY()-B386))</f>
        <v/>
      </c>
      <c r="AH386" s="36">
        <f>IF(OR(A386="",I386=""),"",MAX(0,IF(V386&lt;&gt;"",V386-I386,TODAY()-I386)))</f>
        <v/>
      </c>
      <c r="AI386" s="37">
        <f>IF(A386="","",IF(OR(K386="Closed",V386&lt;&gt;""),"Closed",IF(AH386&gt;=AgeCrit,"Critical",IF(AH386&gt;=AgeFu,"For Follow-up",IF(AH386&gt;=AgeMonitor,"Monitor","Within Standard")))))</f>
        <v/>
      </c>
      <c r="AJ386" s="38">
        <f>IF(A386="","",IFERROR(INDEX(StgPct,MATCH(H386,StgList,0)),0))</f>
        <v/>
      </c>
      <c r="AK386" s="38">
        <f>IF(A386="","",IFERROR(COUNTIF(Y386:AF386,"Y")/(COUNTIF(Y386:AF386,"Y")+COUNTIF(Y386:AF386,"N")),0))</f>
        <v/>
      </c>
      <c r="AL386" s="36">
        <f>IF(OR(A386="",X386=""),"",MAX(0,IF(V386&lt;&gt;"",V386,TODAY())-X386))</f>
        <v/>
      </c>
      <c r="AM386" s="32" t="n"/>
      <c r="AN386" s="33">
        <f>IF(A386="","",LOWER(AI386)&amp;"|"&amp;AH386&amp;"|"&amp;AJ386&amp;"|"&amp;AK386)</f>
        <v/>
      </c>
      <c r="AO386" s="33">
        <f>IF(OR(A386="",T386=""),"",T386-TODAY())</f>
        <v/>
      </c>
      <c r="AP386" s="33">
        <f>IF(OR(A386="",V386&lt;&gt;""),"",(TODAY()-B386)+ROW()/1000000)</f>
        <v/>
      </c>
    </row>
    <row r="387" ht="27" customHeight="1">
      <c r="A387" s="30" t="n"/>
      <c r="B387" s="31" t="n"/>
      <c r="C387" s="32" t="n"/>
      <c r="D387" s="32" t="n"/>
      <c r="E387" s="32" t="n"/>
      <c r="F387" s="32" t="n"/>
      <c r="G387" s="33">
        <f>IF(A387="","",IFERROR(INDEX(OffCat,MATCH(F387,OffList,0)),"Unlisted"))</f>
        <v/>
      </c>
      <c r="H387" s="30" t="n"/>
      <c r="I387" s="31" t="n"/>
      <c r="J387" s="34" t="n"/>
      <c r="K387" s="34" t="n"/>
      <c r="L387" s="34" t="n"/>
      <c r="M387" s="30" t="n"/>
      <c r="N387" s="30" t="n"/>
      <c r="O387" s="30" t="n"/>
      <c r="P387" s="30" t="n"/>
      <c r="Q387" s="31" t="n"/>
      <c r="R387" s="31" t="n"/>
      <c r="S387" s="31" t="n"/>
      <c r="T387" s="31" t="n"/>
      <c r="U387" s="31" t="n"/>
      <c r="V387" s="31" t="n"/>
      <c r="W387" s="30" t="n"/>
      <c r="X387" s="31" t="n"/>
      <c r="Y387" s="35" t="n"/>
      <c r="Z387" s="35" t="n"/>
      <c r="AA387" s="35" t="n"/>
      <c r="AB387" s="35" t="n"/>
      <c r="AC387" s="35" t="n"/>
      <c r="AD387" s="35" t="n"/>
      <c r="AE387" s="35" t="n"/>
      <c r="AF387" s="35" t="n"/>
      <c r="AG387" s="36">
        <f>IF(A387="","",IF(V387&lt;&gt;"",V387-B387,TODAY()-B387))</f>
        <v/>
      </c>
      <c r="AH387" s="36">
        <f>IF(OR(A387="",I387=""),"",MAX(0,IF(V387&lt;&gt;"",V387-I387,TODAY()-I387)))</f>
        <v/>
      </c>
      <c r="AI387" s="37">
        <f>IF(A387="","",IF(OR(K387="Closed",V387&lt;&gt;""),"Closed",IF(AH387&gt;=AgeCrit,"Critical",IF(AH387&gt;=AgeFu,"For Follow-up",IF(AH387&gt;=AgeMonitor,"Monitor","Within Standard")))))</f>
        <v/>
      </c>
      <c r="AJ387" s="38">
        <f>IF(A387="","",IFERROR(INDEX(StgPct,MATCH(H387,StgList,0)),0))</f>
        <v/>
      </c>
      <c r="AK387" s="38">
        <f>IF(A387="","",IFERROR(COUNTIF(Y387:AF387,"Y")/(COUNTIF(Y387:AF387,"Y")+COUNTIF(Y387:AF387,"N")),0))</f>
        <v/>
      </c>
      <c r="AL387" s="36">
        <f>IF(OR(A387="",X387=""),"",MAX(0,IF(V387&lt;&gt;"",V387,TODAY())-X387))</f>
        <v/>
      </c>
      <c r="AM387" s="32" t="n"/>
      <c r="AN387" s="33">
        <f>IF(A387="","",LOWER(AI387)&amp;"|"&amp;AH387&amp;"|"&amp;AJ387&amp;"|"&amp;AK387)</f>
        <v/>
      </c>
      <c r="AO387" s="33">
        <f>IF(OR(A387="",T387=""),"",T387-TODAY())</f>
        <v/>
      </c>
      <c r="AP387" s="33">
        <f>IF(OR(A387="",V387&lt;&gt;""),"",(TODAY()-B387)+ROW()/1000000)</f>
        <v/>
      </c>
    </row>
    <row r="388" ht="27" customHeight="1">
      <c r="A388" s="30" t="n"/>
      <c r="B388" s="31" t="n"/>
      <c r="C388" s="32" t="n"/>
      <c r="D388" s="32" t="n"/>
      <c r="E388" s="32" t="n"/>
      <c r="F388" s="32" t="n"/>
      <c r="G388" s="33">
        <f>IF(A388="","",IFERROR(INDEX(OffCat,MATCH(F388,OffList,0)),"Unlisted"))</f>
        <v/>
      </c>
      <c r="H388" s="30" t="n"/>
      <c r="I388" s="31" t="n"/>
      <c r="J388" s="34" t="n"/>
      <c r="K388" s="34" t="n"/>
      <c r="L388" s="34" t="n"/>
      <c r="M388" s="30" t="n"/>
      <c r="N388" s="30" t="n"/>
      <c r="O388" s="30" t="n"/>
      <c r="P388" s="30" t="n"/>
      <c r="Q388" s="31" t="n"/>
      <c r="R388" s="31" t="n"/>
      <c r="S388" s="31" t="n"/>
      <c r="T388" s="31" t="n"/>
      <c r="U388" s="31" t="n"/>
      <c r="V388" s="31" t="n"/>
      <c r="W388" s="30" t="n"/>
      <c r="X388" s="31" t="n"/>
      <c r="Y388" s="35" t="n"/>
      <c r="Z388" s="35" t="n"/>
      <c r="AA388" s="35" t="n"/>
      <c r="AB388" s="35" t="n"/>
      <c r="AC388" s="35" t="n"/>
      <c r="AD388" s="35" t="n"/>
      <c r="AE388" s="35" t="n"/>
      <c r="AF388" s="35" t="n"/>
      <c r="AG388" s="36">
        <f>IF(A388="","",IF(V388&lt;&gt;"",V388-B388,TODAY()-B388))</f>
        <v/>
      </c>
      <c r="AH388" s="36">
        <f>IF(OR(A388="",I388=""),"",MAX(0,IF(V388&lt;&gt;"",V388-I388,TODAY()-I388)))</f>
        <v/>
      </c>
      <c r="AI388" s="37">
        <f>IF(A388="","",IF(OR(K388="Closed",V388&lt;&gt;""),"Closed",IF(AH388&gt;=AgeCrit,"Critical",IF(AH388&gt;=AgeFu,"For Follow-up",IF(AH388&gt;=AgeMonitor,"Monitor","Within Standard")))))</f>
        <v/>
      </c>
      <c r="AJ388" s="38">
        <f>IF(A388="","",IFERROR(INDEX(StgPct,MATCH(H388,StgList,0)),0))</f>
        <v/>
      </c>
      <c r="AK388" s="38">
        <f>IF(A388="","",IFERROR(COUNTIF(Y388:AF388,"Y")/(COUNTIF(Y388:AF388,"Y")+COUNTIF(Y388:AF388,"N")),0))</f>
        <v/>
      </c>
      <c r="AL388" s="36">
        <f>IF(OR(A388="",X388=""),"",MAX(0,IF(V388&lt;&gt;"",V388,TODAY())-X388))</f>
        <v/>
      </c>
      <c r="AM388" s="32" t="n"/>
      <c r="AN388" s="33">
        <f>IF(A388="","",LOWER(AI388)&amp;"|"&amp;AH388&amp;"|"&amp;AJ388&amp;"|"&amp;AK388)</f>
        <v/>
      </c>
      <c r="AO388" s="33">
        <f>IF(OR(A388="",T388=""),"",T388-TODAY())</f>
        <v/>
      </c>
      <c r="AP388" s="33">
        <f>IF(OR(A388="",V388&lt;&gt;""),"",(TODAY()-B388)+ROW()/1000000)</f>
        <v/>
      </c>
    </row>
    <row r="389" ht="27" customHeight="1">
      <c r="A389" s="30" t="n"/>
      <c r="B389" s="31" t="n"/>
      <c r="C389" s="32" t="n"/>
      <c r="D389" s="32" t="n"/>
      <c r="E389" s="32" t="n"/>
      <c r="F389" s="32" t="n"/>
      <c r="G389" s="33">
        <f>IF(A389="","",IFERROR(INDEX(OffCat,MATCH(F389,OffList,0)),"Unlisted"))</f>
        <v/>
      </c>
      <c r="H389" s="30" t="n"/>
      <c r="I389" s="31" t="n"/>
      <c r="J389" s="34" t="n"/>
      <c r="K389" s="34" t="n"/>
      <c r="L389" s="34" t="n"/>
      <c r="M389" s="30" t="n"/>
      <c r="N389" s="30" t="n"/>
      <c r="O389" s="30" t="n"/>
      <c r="P389" s="30" t="n"/>
      <c r="Q389" s="31" t="n"/>
      <c r="R389" s="31" t="n"/>
      <c r="S389" s="31" t="n"/>
      <c r="T389" s="31" t="n"/>
      <c r="U389" s="31" t="n"/>
      <c r="V389" s="31" t="n"/>
      <c r="W389" s="30" t="n"/>
      <c r="X389" s="31" t="n"/>
      <c r="Y389" s="35" t="n"/>
      <c r="Z389" s="35" t="n"/>
      <c r="AA389" s="35" t="n"/>
      <c r="AB389" s="35" t="n"/>
      <c r="AC389" s="35" t="n"/>
      <c r="AD389" s="35" t="n"/>
      <c r="AE389" s="35" t="n"/>
      <c r="AF389" s="35" t="n"/>
      <c r="AG389" s="36">
        <f>IF(A389="","",IF(V389&lt;&gt;"",V389-B389,TODAY()-B389))</f>
        <v/>
      </c>
      <c r="AH389" s="36">
        <f>IF(OR(A389="",I389=""),"",MAX(0,IF(V389&lt;&gt;"",V389-I389,TODAY()-I389)))</f>
        <v/>
      </c>
      <c r="AI389" s="37">
        <f>IF(A389="","",IF(OR(K389="Closed",V389&lt;&gt;""),"Closed",IF(AH389&gt;=AgeCrit,"Critical",IF(AH389&gt;=AgeFu,"For Follow-up",IF(AH389&gt;=AgeMonitor,"Monitor","Within Standard")))))</f>
        <v/>
      </c>
      <c r="AJ389" s="38">
        <f>IF(A389="","",IFERROR(INDEX(StgPct,MATCH(H389,StgList,0)),0))</f>
        <v/>
      </c>
      <c r="AK389" s="38">
        <f>IF(A389="","",IFERROR(COUNTIF(Y389:AF389,"Y")/(COUNTIF(Y389:AF389,"Y")+COUNTIF(Y389:AF389,"N")),0))</f>
        <v/>
      </c>
      <c r="AL389" s="36">
        <f>IF(OR(A389="",X389=""),"",MAX(0,IF(V389&lt;&gt;"",V389,TODAY())-X389))</f>
        <v/>
      </c>
      <c r="AM389" s="32" t="n"/>
      <c r="AN389" s="33">
        <f>IF(A389="","",LOWER(AI389)&amp;"|"&amp;AH389&amp;"|"&amp;AJ389&amp;"|"&amp;AK389)</f>
        <v/>
      </c>
      <c r="AO389" s="33">
        <f>IF(OR(A389="",T389=""),"",T389-TODAY())</f>
        <v/>
      </c>
      <c r="AP389" s="33">
        <f>IF(OR(A389="",V389&lt;&gt;""),"",(TODAY()-B389)+ROW()/1000000)</f>
        <v/>
      </c>
    </row>
    <row r="390" ht="27" customHeight="1">
      <c r="A390" s="30" t="n"/>
      <c r="B390" s="31" t="n"/>
      <c r="C390" s="32" t="n"/>
      <c r="D390" s="32" t="n"/>
      <c r="E390" s="32" t="n"/>
      <c r="F390" s="32" t="n"/>
      <c r="G390" s="33">
        <f>IF(A390="","",IFERROR(INDEX(OffCat,MATCH(F390,OffList,0)),"Unlisted"))</f>
        <v/>
      </c>
      <c r="H390" s="30" t="n"/>
      <c r="I390" s="31" t="n"/>
      <c r="J390" s="34" t="n"/>
      <c r="K390" s="34" t="n"/>
      <c r="L390" s="34" t="n"/>
      <c r="M390" s="30" t="n"/>
      <c r="N390" s="30" t="n"/>
      <c r="O390" s="30" t="n"/>
      <c r="P390" s="30" t="n"/>
      <c r="Q390" s="31" t="n"/>
      <c r="R390" s="31" t="n"/>
      <c r="S390" s="31" t="n"/>
      <c r="T390" s="31" t="n"/>
      <c r="U390" s="31" t="n"/>
      <c r="V390" s="31" t="n"/>
      <c r="W390" s="30" t="n"/>
      <c r="X390" s="31" t="n"/>
      <c r="Y390" s="35" t="n"/>
      <c r="Z390" s="35" t="n"/>
      <c r="AA390" s="35" t="n"/>
      <c r="AB390" s="35" t="n"/>
      <c r="AC390" s="35" t="n"/>
      <c r="AD390" s="35" t="n"/>
      <c r="AE390" s="35" t="n"/>
      <c r="AF390" s="35" t="n"/>
      <c r="AG390" s="36">
        <f>IF(A390="","",IF(V390&lt;&gt;"",V390-B390,TODAY()-B390))</f>
        <v/>
      </c>
      <c r="AH390" s="36">
        <f>IF(OR(A390="",I390=""),"",MAX(0,IF(V390&lt;&gt;"",V390-I390,TODAY()-I390)))</f>
        <v/>
      </c>
      <c r="AI390" s="37">
        <f>IF(A390="","",IF(OR(K390="Closed",V390&lt;&gt;""),"Closed",IF(AH390&gt;=AgeCrit,"Critical",IF(AH390&gt;=AgeFu,"For Follow-up",IF(AH390&gt;=AgeMonitor,"Monitor","Within Standard")))))</f>
        <v/>
      </c>
      <c r="AJ390" s="38">
        <f>IF(A390="","",IFERROR(INDEX(StgPct,MATCH(H390,StgList,0)),0))</f>
        <v/>
      </c>
      <c r="AK390" s="38">
        <f>IF(A390="","",IFERROR(COUNTIF(Y390:AF390,"Y")/(COUNTIF(Y390:AF390,"Y")+COUNTIF(Y390:AF390,"N")),0))</f>
        <v/>
      </c>
      <c r="AL390" s="36">
        <f>IF(OR(A390="",X390=""),"",MAX(0,IF(V390&lt;&gt;"",V390,TODAY())-X390))</f>
        <v/>
      </c>
      <c r="AM390" s="32" t="n"/>
      <c r="AN390" s="33">
        <f>IF(A390="","",LOWER(AI390)&amp;"|"&amp;AH390&amp;"|"&amp;AJ390&amp;"|"&amp;AK390)</f>
        <v/>
      </c>
      <c r="AO390" s="33">
        <f>IF(OR(A390="",T390=""),"",T390-TODAY())</f>
        <v/>
      </c>
      <c r="AP390" s="33">
        <f>IF(OR(A390="",V390&lt;&gt;""),"",(TODAY()-B390)+ROW()/1000000)</f>
        <v/>
      </c>
    </row>
    <row r="391" ht="27" customHeight="1">
      <c r="A391" s="30" t="n"/>
      <c r="B391" s="31" t="n"/>
      <c r="C391" s="32" t="n"/>
      <c r="D391" s="32" t="n"/>
      <c r="E391" s="32" t="n"/>
      <c r="F391" s="32" t="n"/>
      <c r="G391" s="33">
        <f>IF(A391="","",IFERROR(INDEX(OffCat,MATCH(F391,OffList,0)),"Unlisted"))</f>
        <v/>
      </c>
      <c r="H391" s="30" t="n"/>
      <c r="I391" s="31" t="n"/>
      <c r="J391" s="34" t="n"/>
      <c r="K391" s="34" t="n"/>
      <c r="L391" s="34" t="n"/>
      <c r="M391" s="30" t="n"/>
      <c r="N391" s="30" t="n"/>
      <c r="O391" s="30" t="n"/>
      <c r="P391" s="30" t="n"/>
      <c r="Q391" s="31" t="n"/>
      <c r="R391" s="31" t="n"/>
      <c r="S391" s="31" t="n"/>
      <c r="T391" s="31" t="n"/>
      <c r="U391" s="31" t="n"/>
      <c r="V391" s="31" t="n"/>
      <c r="W391" s="30" t="n"/>
      <c r="X391" s="31" t="n"/>
      <c r="Y391" s="35" t="n"/>
      <c r="Z391" s="35" t="n"/>
      <c r="AA391" s="35" t="n"/>
      <c r="AB391" s="35" t="n"/>
      <c r="AC391" s="35" t="n"/>
      <c r="AD391" s="35" t="n"/>
      <c r="AE391" s="35" t="n"/>
      <c r="AF391" s="35" t="n"/>
      <c r="AG391" s="36">
        <f>IF(A391="","",IF(V391&lt;&gt;"",V391-B391,TODAY()-B391))</f>
        <v/>
      </c>
      <c r="AH391" s="36">
        <f>IF(OR(A391="",I391=""),"",MAX(0,IF(V391&lt;&gt;"",V391-I391,TODAY()-I391)))</f>
        <v/>
      </c>
      <c r="AI391" s="37">
        <f>IF(A391="","",IF(OR(K391="Closed",V391&lt;&gt;""),"Closed",IF(AH391&gt;=AgeCrit,"Critical",IF(AH391&gt;=AgeFu,"For Follow-up",IF(AH391&gt;=AgeMonitor,"Monitor","Within Standard")))))</f>
        <v/>
      </c>
      <c r="AJ391" s="38">
        <f>IF(A391="","",IFERROR(INDEX(StgPct,MATCH(H391,StgList,0)),0))</f>
        <v/>
      </c>
      <c r="AK391" s="38">
        <f>IF(A391="","",IFERROR(COUNTIF(Y391:AF391,"Y")/(COUNTIF(Y391:AF391,"Y")+COUNTIF(Y391:AF391,"N")),0))</f>
        <v/>
      </c>
      <c r="AL391" s="36">
        <f>IF(OR(A391="",X391=""),"",MAX(0,IF(V391&lt;&gt;"",V391,TODAY())-X391))</f>
        <v/>
      </c>
      <c r="AM391" s="32" t="n"/>
      <c r="AN391" s="33">
        <f>IF(A391="","",LOWER(AI391)&amp;"|"&amp;AH391&amp;"|"&amp;AJ391&amp;"|"&amp;AK391)</f>
        <v/>
      </c>
      <c r="AO391" s="33">
        <f>IF(OR(A391="",T391=""),"",T391-TODAY())</f>
        <v/>
      </c>
      <c r="AP391" s="33">
        <f>IF(OR(A391="",V391&lt;&gt;""),"",(TODAY()-B391)+ROW()/1000000)</f>
        <v/>
      </c>
    </row>
    <row r="392" ht="27" customHeight="1">
      <c r="A392" s="30" t="n"/>
      <c r="B392" s="31" t="n"/>
      <c r="C392" s="32" t="n"/>
      <c r="D392" s="32" t="n"/>
      <c r="E392" s="32" t="n"/>
      <c r="F392" s="32" t="n"/>
      <c r="G392" s="33">
        <f>IF(A392="","",IFERROR(INDEX(OffCat,MATCH(F392,OffList,0)),"Unlisted"))</f>
        <v/>
      </c>
      <c r="H392" s="30" t="n"/>
      <c r="I392" s="31" t="n"/>
      <c r="J392" s="34" t="n"/>
      <c r="K392" s="34" t="n"/>
      <c r="L392" s="34" t="n"/>
      <c r="M392" s="30" t="n"/>
      <c r="N392" s="30" t="n"/>
      <c r="O392" s="30" t="n"/>
      <c r="P392" s="30" t="n"/>
      <c r="Q392" s="31" t="n"/>
      <c r="R392" s="31" t="n"/>
      <c r="S392" s="31" t="n"/>
      <c r="T392" s="31" t="n"/>
      <c r="U392" s="31" t="n"/>
      <c r="V392" s="31" t="n"/>
      <c r="W392" s="30" t="n"/>
      <c r="X392" s="31" t="n"/>
      <c r="Y392" s="35" t="n"/>
      <c r="Z392" s="35" t="n"/>
      <c r="AA392" s="35" t="n"/>
      <c r="AB392" s="35" t="n"/>
      <c r="AC392" s="35" t="n"/>
      <c r="AD392" s="35" t="n"/>
      <c r="AE392" s="35" t="n"/>
      <c r="AF392" s="35" t="n"/>
      <c r="AG392" s="36">
        <f>IF(A392="","",IF(V392&lt;&gt;"",V392-B392,TODAY()-B392))</f>
        <v/>
      </c>
      <c r="AH392" s="36">
        <f>IF(OR(A392="",I392=""),"",MAX(0,IF(V392&lt;&gt;"",V392-I392,TODAY()-I392)))</f>
        <v/>
      </c>
      <c r="AI392" s="37">
        <f>IF(A392="","",IF(OR(K392="Closed",V392&lt;&gt;""),"Closed",IF(AH392&gt;=AgeCrit,"Critical",IF(AH392&gt;=AgeFu,"For Follow-up",IF(AH392&gt;=AgeMonitor,"Monitor","Within Standard")))))</f>
        <v/>
      </c>
      <c r="AJ392" s="38">
        <f>IF(A392="","",IFERROR(INDEX(StgPct,MATCH(H392,StgList,0)),0))</f>
        <v/>
      </c>
      <c r="AK392" s="38">
        <f>IF(A392="","",IFERROR(COUNTIF(Y392:AF392,"Y")/(COUNTIF(Y392:AF392,"Y")+COUNTIF(Y392:AF392,"N")),0))</f>
        <v/>
      </c>
      <c r="AL392" s="36">
        <f>IF(OR(A392="",X392=""),"",MAX(0,IF(V392&lt;&gt;"",V392,TODAY())-X392))</f>
        <v/>
      </c>
      <c r="AM392" s="32" t="n"/>
      <c r="AN392" s="33">
        <f>IF(A392="","",LOWER(AI392)&amp;"|"&amp;AH392&amp;"|"&amp;AJ392&amp;"|"&amp;AK392)</f>
        <v/>
      </c>
      <c r="AO392" s="33">
        <f>IF(OR(A392="",T392=""),"",T392-TODAY())</f>
        <v/>
      </c>
      <c r="AP392" s="33">
        <f>IF(OR(A392="",V392&lt;&gt;""),"",(TODAY()-B392)+ROW()/1000000)</f>
        <v/>
      </c>
    </row>
    <row r="393" ht="27" customHeight="1">
      <c r="A393" s="30" t="n"/>
      <c r="B393" s="31" t="n"/>
      <c r="C393" s="32" t="n"/>
      <c r="D393" s="32" t="n"/>
      <c r="E393" s="32" t="n"/>
      <c r="F393" s="32" t="n"/>
      <c r="G393" s="33">
        <f>IF(A393="","",IFERROR(INDEX(OffCat,MATCH(F393,OffList,0)),"Unlisted"))</f>
        <v/>
      </c>
      <c r="H393" s="30" t="n"/>
      <c r="I393" s="31" t="n"/>
      <c r="J393" s="34" t="n"/>
      <c r="K393" s="34" t="n"/>
      <c r="L393" s="34" t="n"/>
      <c r="M393" s="30" t="n"/>
      <c r="N393" s="30" t="n"/>
      <c r="O393" s="30" t="n"/>
      <c r="P393" s="30" t="n"/>
      <c r="Q393" s="31" t="n"/>
      <c r="R393" s="31" t="n"/>
      <c r="S393" s="31" t="n"/>
      <c r="T393" s="31" t="n"/>
      <c r="U393" s="31" t="n"/>
      <c r="V393" s="31" t="n"/>
      <c r="W393" s="30" t="n"/>
      <c r="X393" s="31" t="n"/>
      <c r="Y393" s="35" t="n"/>
      <c r="Z393" s="35" t="n"/>
      <c r="AA393" s="35" t="n"/>
      <c r="AB393" s="35" t="n"/>
      <c r="AC393" s="35" t="n"/>
      <c r="AD393" s="35" t="n"/>
      <c r="AE393" s="35" t="n"/>
      <c r="AF393" s="35" t="n"/>
      <c r="AG393" s="36">
        <f>IF(A393="","",IF(V393&lt;&gt;"",V393-B393,TODAY()-B393))</f>
        <v/>
      </c>
      <c r="AH393" s="36">
        <f>IF(OR(A393="",I393=""),"",MAX(0,IF(V393&lt;&gt;"",V393-I393,TODAY()-I393)))</f>
        <v/>
      </c>
      <c r="AI393" s="37">
        <f>IF(A393="","",IF(OR(K393="Closed",V393&lt;&gt;""),"Closed",IF(AH393&gt;=AgeCrit,"Critical",IF(AH393&gt;=AgeFu,"For Follow-up",IF(AH393&gt;=AgeMonitor,"Monitor","Within Standard")))))</f>
        <v/>
      </c>
      <c r="AJ393" s="38">
        <f>IF(A393="","",IFERROR(INDEX(StgPct,MATCH(H393,StgList,0)),0))</f>
        <v/>
      </c>
      <c r="AK393" s="38">
        <f>IF(A393="","",IFERROR(COUNTIF(Y393:AF393,"Y")/(COUNTIF(Y393:AF393,"Y")+COUNTIF(Y393:AF393,"N")),0))</f>
        <v/>
      </c>
      <c r="AL393" s="36">
        <f>IF(OR(A393="",X393=""),"",MAX(0,IF(V393&lt;&gt;"",V393,TODAY())-X393))</f>
        <v/>
      </c>
      <c r="AM393" s="32" t="n"/>
      <c r="AN393" s="33">
        <f>IF(A393="","",LOWER(AI393)&amp;"|"&amp;AH393&amp;"|"&amp;AJ393&amp;"|"&amp;AK393)</f>
        <v/>
      </c>
      <c r="AO393" s="33">
        <f>IF(OR(A393="",T393=""),"",T393-TODAY())</f>
        <v/>
      </c>
      <c r="AP393" s="33">
        <f>IF(OR(A393="",V393&lt;&gt;""),"",(TODAY()-B393)+ROW()/1000000)</f>
        <v/>
      </c>
    </row>
    <row r="394" ht="27" customHeight="1">
      <c r="A394" s="30" t="n"/>
      <c r="B394" s="31" t="n"/>
      <c r="C394" s="32" t="n"/>
      <c r="D394" s="32" t="n"/>
      <c r="E394" s="32" t="n"/>
      <c r="F394" s="32" t="n"/>
      <c r="G394" s="33">
        <f>IF(A394="","",IFERROR(INDEX(OffCat,MATCH(F394,OffList,0)),"Unlisted"))</f>
        <v/>
      </c>
      <c r="H394" s="30" t="n"/>
      <c r="I394" s="31" t="n"/>
      <c r="J394" s="34" t="n"/>
      <c r="K394" s="34" t="n"/>
      <c r="L394" s="34" t="n"/>
      <c r="M394" s="30" t="n"/>
      <c r="N394" s="30" t="n"/>
      <c r="O394" s="30" t="n"/>
      <c r="P394" s="30" t="n"/>
      <c r="Q394" s="31" t="n"/>
      <c r="R394" s="31" t="n"/>
      <c r="S394" s="31" t="n"/>
      <c r="T394" s="31" t="n"/>
      <c r="U394" s="31" t="n"/>
      <c r="V394" s="31" t="n"/>
      <c r="W394" s="30" t="n"/>
      <c r="X394" s="31" t="n"/>
      <c r="Y394" s="35" t="n"/>
      <c r="Z394" s="35" t="n"/>
      <c r="AA394" s="35" t="n"/>
      <c r="AB394" s="35" t="n"/>
      <c r="AC394" s="35" t="n"/>
      <c r="AD394" s="35" t="n"/>
      <c r="AE394" s="35" t="n"/>
      <c r="AF394" s="35" t="n"/>
      <c r="AG394" s="36">
        <f>IF(A394="","",IF(V394&lt;&gt;"",V394-B394,TODAY()-B394))</f>
        <v/>
      </c>
      <c r="AH394" s="36">
        <f>IF(OR(A394="",I394=""),"",MAX(0,IF(V394&lt;&gt;"",V394-I394,TODAY()-I394)))</f>
        <v/>
      </c>
      <c r="AI394" s="37">
        <f>IF(A394="","",IF(OR(K394="Closed",V394&lt;&gt;""),"Closed",IF(AH394&gt;=AgeCrit,"Critical",IF(AH394&gt;=AgeFu,"For Follow-up",IF(AH394&gt;=AgeMonitor,"Monitor","Within Standard")))))</f>
        <v/>
      </c>
      <c r="AJ394" s="38">
        <f>IF(A394="","",IFERROR(INDEX(StgPct,MATCH(H394,StgList,0)),0))</f>
        <v/>
      </c>
      <c r="AK394" s="38">
        <f>IF(A394="","",IFERROR(COUNTIF(Y394:AF394,"Y")/(COUNTIF(Y394:AF394,"Y")+COUNTIF(Y394:AF394,"N")),0))</f>
        <v/>
      </c>
      <c r="AL394" s="36">
        <f>IF(OR(A394="",X394=""),"",MAX(0,IF(V394&lt;&gt;"",V394,TODAY())-X394))</f>
        <v/>
      </c>
      <c r="AM394" s="32" t="n"/>
      <c r="AN394" s="33">
        <f>IF(A394="","",LOWER(AI394)&amp;"|"&amp;AH394&amp;"|"&amp;AJ394&amp;"|"&amp;AK394)</f>
        <v/>
      </c>
      <c r="AO394" s="33">
        <f>IF(OR(A394="",T394=""),"",T394-TODAY())</f>
        <v/>
      </c>
      <c r="AP394" s="33">
        <f>IF(OR(A394="",V394&lt;&gt;""),"",(TODAY()-B394)+ROW()/1000000)</f>
        <v/>
      </c>
    </row>
    <row r="395" ht="27" customHeight="1">
      <c r="A395" s="30" t="n"/>
      <c r="B395" s="31" t="n"/>
      <c r="C395" s="32" t="n"/>
      <c r="D395" s="32" t="n"/>
      <c r="E395" s="32" t="n"/>
      <c r="F395" s="32" t="n"/>
      <c r="G395" s="33">
        <f>IF(A395="","",IFERROR(INDEX(OffCat,MATCH(F395,OffList,0)),"Unlisted"))</f>
        <v/>
      </c>
      <c r="H395" s="30" t="n"/>
      <c r="I395" s="31" t="n"/>
      <c r="J395" s="34" t="n"/>
      <c r="K395" s="34" t="n"/>
      <c r="L395" s="34" t="n"/>
      <c r="M395" s="30" t="n"/>
      <c r="N395" s="30" t="n"/>
      <c r="O395" s="30" t="n"/>
      <c r="P395" s="30" t="n"/>
      <c r="Q395" s="31" t="n"/>
      <c r="R395" s="31" t="n"/>
      <c r="S395" s="31" t="n"/>
      <c r="T395" s="31" t="n"/>
      <c r="U395" s="31" t="n"/>
      <c r="V395" s="31" t="n"/>
      <c r="W395" s="30" t="n"/>
      <c r="X395" s="31" t="n"/>
      <c r="Y395" s="35" t="n"/>
      <c r="Z395" s="35" t="n"/>
      <c r="AA395" s="35" t="n"/>
      <c r="AB395" s="35" t="n"/>
      <c r="AC395" s="35" t="n"/>
      <c r="AD395" s="35" t="n"/>
      <c r="AE395" s="35" t="n"/>
      <c r="AF395" s="35" t="n"/>
      <c r="AG395" s="36">
        <f>IF(A395="","",IF(V395&lt;&gt;"",V395-B395,TODAY()-B395))</f>
        <v/>
      </c>
      <c r="AH395" s="36">
        <f>IF(OR(A395="",I395=""),"",MAX(0,IF(V395&lt;&gt;"",V395-I395,TODAY()-I395)))</f>
        <v/>
      </c>
      <c r="AI395" s="37">
        <f>IF(A395="","",IF(OR(K395="Closed",V395&lt;&gt;""),"Closed",IF(AH395&gt;=AgeCrit,"Critical",IF(AH395&gt;=AgeFu,"For Follow-up",IF(AH395&gt;=AgeMonitor,"Monitor","Within Standard")))))</f>
        <v/>
      </c>
      <c r="AJ395" s="38">
        <f>IF(A395="","",IFERROR(INDEX(StgPct,MATCH(H395,StgList,0)),0))</f>
        <v/>
      </c>
      <c r="AK395" s="38">
        <f>IF(A395="","",IFERROR(COUNTIF(Y395:AF395,"Y")/(COUNTIF(Y395:AF395,"Y")+COUNTIF(Y395:AF395,"N")),0))</f>
        <v/>
      </c>
      <c r="AL395" s="36">
        <f>IF(OR(A395="",X395=""),"",MAX(0,IF(V395&lt;&gt;"",V395,TODAY())-X395))</f>
        <v/>
      </c>
      <c r="AM395" s="32" t="n"/>
      <c r="AN395" s="33">
        <f>IF(A395="","",LOWER(AI395)&amp;"|"&amp;AH395&amp;"|"&amp;AJ395&amp;"|"&amp;AK395)</f>
        <v/>
      </c>
      <c r="AO395" s="33">
        <f>IF(OR(A395="",T395=""),"",T395-TODAY())</f>
        <v/>
      </c>
      <c r="AP395" s="33">
        <f>IF(OR(A395="",V395&lt;&gt;""),"",(TODAY()-B395)+ROW()/1000000)</f>
        <v/>
      </c>
    </row>
    <row r="396" ht="27" customHeight="1">
      <c r="A396" s="30" t="n"/>
      <c r="B396" s="31" t="n"/>
      <c r="C396" s="32" t="n"/>
      <c r="D396" s="32" t="n"/>
      <c r="E396" s="32" t="n"/>
      <c r="F396" s="32" t="n"/>
      <c r="G396" s="33">
        <f>IF(A396="","",IFERROR(INDEX(OffCat,MATCH(F396,OffList,0)),"Unlisted"))</f>
        <v/>
      </c>
      <c r="H396" s="30" t="n"/>
      <c r="I396" s="31" t="n"/>
      <c r="J396" s="34" t="n"/>
      <c r="K396" s="34" t="n"/>
      <c r="L396" s="34" t="n"/>
      <c r="M396" s="30" t="n"/>
      <c r="N396" s="30" t="n"/>
      <c r="O396" s="30" t="n"/>
      <c r="P396" s="30" t="n"/>
      <c r="Q396" s="31" t="n"/>
      <c r="R396" s="31" t="n"/>
      <c r="S396" s="31" t="n"/>
      <c r="T396" s="31" t="n"/>
      <c r="U396" s="31" t="n"/>
      <c r="V396" s="31" t="n"/>
      <c r="W396" s="30" t="n"/>
      <c r="X396" s="31" t="n"/>
      <c r="Y396" s="35" t="n"/>
      <c r="Z396" s="35" t="n"/>
      <c r="AA396" s="35" t="n"/>
      <c r="AB396" s="35" t="n"/>
      <c r="AC396" s="35" t="n"/>
      <c r="AD396" s="35" t="n"/>
      <c r="AE396" s="35" t="n"/>
      <c r="AF396" s="35" t="n"/>
      <c r="AG396" s="36">
        <f>IF(A396="","",IF(V396&lt;&gt;"",V396-B396,TODAY()-B396))</f>
        <v/>
      </c>
      <c r="AH396" s="36">
        <f>IF(OR(A396="",I396=""),"",MAX(0,IF(V396&lt;&gt;"",V396-I396,TODAY()-I396)))</f>
        <v/>
      </c>
      <c r="AI396" s="37">
        <f>IF(A396="","",IF(OR(K396="Closed",V396&lt;&gt;""),"Closed",IF(AH396&gt;=AgeCrit,"Critical",IF(AH396&gt;=AgeFu,"For Follow-up",IF(AH396&gt;=AgeMonitor,"Monitor","Within Standard")))))</f>
        <v/>
      </c>
      <c r="AJ396" s="38">
        <f>IF(A396="","",IFERROR(INDEX(StgPct,MATCH(H396,StgList,0)),0))</f>
        <v/>
      </c>
      <c r="AK396" s="38">
        <f>IF(A396="","",IFERROR(COUNTIF(Y396:AF396,"Y")/(COUNTIF(Y396:AF396,"Y")+COUNTIF(Y396:AF396,"N")),0))</f>
        <v/>
      </c>
      <c r="AL396" s="36">
        <f>IF(OR(A396="",X396=""),"",MAX(0,IF(V396&lt;&gt;"",V396,TODAY())-X396))</f>
        <v/>
      </c>
      <c r="AM396" s="32" t="n"/>
      <c r="AN396" s="33">
        <f>IF(A396="","",LOWER(AI396)&amp;"|"&amp;AH396&amp;"|"&amp;AJ396&amp;"|"&amp;AK396)</f>
        <v/>
      </c>
      <c r="AO396" s="33">
        <f>IF(OR(A396="",T396=""),"",T396-TODAY())</f>
        <v/>
      </c>
      <c r="AP396" s="33">
        <f>IF(OR(A396="",V396&lt;&gt;""),"",(TODAY()-B396)+ROW()/1000000)</f>
        <v/>
      </c>
    </row>
    <row r="397" ht="27" customHeight="1">
      <c r="A397" s="30" t="n"/>
      <c r="B397" s="31" t="n"/>
      <c r="C397" s="32" t="n"/>
      <c r="D397" s="32" t="n"/>
      <c r="E397" s="32" t="n"/>
      <c r="F397" s="32" t="n"/>
      <c r="G397" s="33">
        <f>IF(A397="","",IFERROR(INDEX(OffCat,MATCH(F397,OffList,0)),"Unlisted"))</f>
        <v/>
      </c>
      <c r="H397" s="30" t="n"/>
      <c r="I397" s="31" t="n"/>
      <c r="J397" s="34" t="n"/>
      <c r="K397" s="34" t="n"/>
      <c r="L397" s="34" t="n"/>
      <c r="M397" s="30" t="n"/>
      <c r="N397" s="30" t="n"/>
      <c r="O397" s="30" t="n"/>
      <c r="P397" s="30" t="n"/>
      <c r="Q397" s="31" t="n"/>
      <c r="R397" s="31" t="n"/>
      <c r="S397" s="31" t="n"/>
      <c r="T397" s="31" t="n"/>
      <c r="U397" s="31" t="n"/>
      <c r="V397" s="31" t="n"/>
      <c r="W397" s="30" t="n"/>
      <c r="X397" s="31" t="n"/>
      <c r="Y397" s="35" t="n"/>
      <c r="Z397" s="35" t="n"/>
      <c r="AA397" s="35" t="n"/>
      <c r="AB397" s="35" t="n"/>
      <c r="AC397" s="35" t="n"/>
      <c r="AD397" s="35" t="n"/>
      <c r="AE397" s="35" t="n"/>
      <c r="AF397" s="35" t="n"/>
      <c r="AG397" s="36">
        <f>IF(A397="","",IF(V397&lt;&gt;"",V397-B397,TODAY()-B397))</f>
        <v/>
      </c>
      <c r="AH397" s="36">
        <f>IF(OR(A397="",I397=""),"",MAX(0,IF(V397&lt;&gt;"",V397-I397,TODAY()-I397)))</f>
        <v/>
      </c>
      <c r="AI397" s="37">
        <f>IF(A397="","",IF(OR(K397="Closed",V397&lt;&gt;""),"Closed",IF(AH397&gt;=AgeCrit,"Critical",IF(AH397&gt;=AgeFu,"For Follow-up",IF(AH397&gt;=AgeMonitor,"Monitor","Within Standard")))))</f>
        <v/>
      </c>
      <c r="AJ397" s="38">
        <f>IF(A397="","",IFERROR(INDEX(StgPct,MATCH(H397,StgList,0)),0))</f>
        <v/>
      </c>
      <c r="AK397" s="38">
        <f>IF(A397="","",IFERROR(COUNTIF(Y397:AF397,"Y")/(COUNTIF(Y397:AF397,"Y")+COUNTIF(Y397:AF397,"N")),0))</f>
        <v/>
      </c>
      <c r="AL397" s="36">
        <f>IF(OR(A397="",X397=""),"",MAX(0,IF(V397&lt;&gt;"",V397,TODAY())-X397))</f>
        <v/>
      </c>
      <c r="AM397" s="32" t="n"/>
      <c r="AN397" s="33">
        <f>IF(A397="","",LOWER(AI397)&amp;"|"&amp;AH397&amp;"|"&amp;AJ397&amp;"|"&amp;AK397)</f>
        <v/>
      </c>
      <c r="AO397" s="33">
        <f>IF(OR(A397="",T397=""),"",T397-TODAY())</f>
        <v/>
      </c>
      <c r="AP397" s="33">
        <f>IF(OR(A397="",V397&lt;&gt;""),"",(TODAY()-B397)+ROW()/1000000)</f>
        <v/>
      </c>
    </row>
    <row r="398" ht="27" customHeight="1">
      <c r="A398" s="30" t="n"/>
      <c r="B398" s="31" t="n"/>
      <c r="C398" s="32" t="n"/>
      <c r="D398" s="32" t="n"/>
      <c r="E398" s="32" t="n"/>
      <c r="F398" s="32" t="n"/>
      <c r="G398" s="33">
        <f>IF(A398="","",IFERROR(INDEX(OffCat,MATCH(F398,OffList,0)),"Unlisted"))</f>
        <v/>
      </c>
      <c r="H398" s="30" t="n"/>
      <c r="I398" s="31" t="n"/>
      <c r="J398" s="34" t="n"/>
      <c r="K398" s="34" t="n"/>
      <c r="L398" s="34" t="n"/>
      <c r="M398" s="30" t="n"/>
      <c r="N398" s="30" t="n"/>
      <c r="O398" s="30" t="n"/>
      <c r="P398" s="30" t="n"/>
      <c r="Q398" s="31" t="n"/>
      <c r="R398" s="31" t="n"/>
      <c r="S398" s="31" t="n"/>
      <c r="T398" s="31" t="n"/>
      <c r="U398" s="31" t="n"/>
      <c r="V398" s="31" t="n"/>
      <c r="W398" s="30" t="n"/>
      <c r="X398" s="31" t="n"/>
      <c r="Y398" s="35" t="n"/>
      <c r="Z398" s="35" t="n"/>
      <c r="AA398" s="35" t="n"/>
      <c r="AB398" s="35" t="n"/>
      <c r="AC398" s="35" t="n"/>
      <c r="AD398" s="35" t="n"/>
      <c r="AE398" s="35" t="n"/>
      <c r="AF398" s="35" t="n"/>
      <c r="AG398" s="36">
        <f>IF(A398="","",IF(V398&lt;&gt;"",V398-B398,TODAY()-B398))</f>
        <v/>
      </c>
      <c r="AH398" s="36">
        <f>IF(OR(A398="",I398=""),"",MAX(0,IF(V398&lt;&gt;"",V398-I398,TODAY()-I398)))</f>
        <v/>
      </c>
      <c r="AI398" s="37">
        <f>IF(A398="","",IF(OR(K398="Closed",V398&lt;&gt;""),"Closed",IF(AH398&gt;=AgeCrit,"Critical",IF(AH398&gt;=AgeFu,"For Follow-up",IF(AH398&gt;=AgeMonitor,"Monitor","Within Standard")))))</f>
        <v/>
      </c>
      <c r="AJ398" s="38">
        <f>IF(A398="","",IFERROR(INDEX(StgPct,MATCH(H398,StgList,0)),0))</f>
        <v/>
      </c>
      <c r="AK398" s="38">
        <f>IF(A398="","",IFERROR(COUNTIF(Y398:AF398,"Y")/(COUNTIF(Y398:AF398,"Y")+COUNTIF(Y398:AF398,"N")),0))</f>
        <v/>
      </c>
      <c r="AL398" s="36">
        <f>IF(OR(A398="",X398=""),"",MAX(0,IF(V398&lt;&gt;"",V398,TODAY())-X398))</f>
        <v/>
      </c>
      <c r="AM398" s="32" t="n"/>
      <c r="AN398" s="33">
        <f>IF(A398="","",LOWER(AI398)&amp;"|"&amp;AH398&amp;"|"&amp;AJ398&amp;"|"&amp;AK398)</f>
        <v/>
      </c>
      <c r="AO398" s="33">
        <f>IF(OR(A398="",T398=""),"",T398-TODAY())</f>
        <v/>
      </c>
      <c r="AP398" s="33">
        <f>IF(OR(A398="",V398&lt;&gt;""),"",(TODAY()-B398)+ROW()/1000000)</f>
        <v/>
      </c>
    </row>
    <row r="399" ht="27" customHeight="1">
      <c r="A399" s="30" t="n"/>
      <c r="B399" s="31" t="n"/>
      <c r="C399" s="32" t="n"/>
      <c r="D399" s="32" t="n"/>
      <c r="E399" s="32" t="n"/>
      <c r="F399" s="32" t="n"/>
      <c r="G399" s="33">
        <f>IF(A399="","",IFERROR(INDEX(OffCat,MATCH(F399,OffList,0)),"Unlisted"))</f>
        <v/>
      </c>
      <c r="H399" s="30" t="n"/>
      <c r="I399" s="31" t="n"/>
      <c r="J399" s="34" t="n"/>
      <c r="K399" s="34" t="n"/>
      <c r="L399" s="34" t="n"/>
      <c r="M399" s="30" t="n"/>
      <c r="N399" s="30" t="n"/>
      <c r="O399" s="30" t="n"/>
      <c r="P399" s="30" t="n"/>
      <c r="Q399" s="31" t="n"/>
      <c r="R399" s="31" t="n"/>
      <c r="S399" s="31" t="n"/>
      <c r="T399" s="31" t="n"/>
      <c r="U399" s="31" t="n"/>
      <c r="V399" s="31" t="n"/>
      <c r="W399" s="30" t="n"/>
      <c r="X399" s="31" t="n"/>
      <c r="Y399" s="35" t="n"/>
      <c r="Z399" s="35" t="n"/>
      <c r="AA399" s="35" t="n"/>
      <c r="AB399" s="35" t="n"/>
      <c r="AC399" s="35" t="n"/>
      <c r="AD399" s="35" t="n"/>
      <c r="AE399" s="35" t="n"/>
      <c r="AF399" s="35" t="n"/>
      <c r="AG399" s="36">
        <f>IF(A399="","",IF(V399&lt;&gt;"",V399-B399,TODAY()-B399))</f>
        <v/>
      </c>
      <c r="AH399" s="36">
        <f>IF(OR(A399="",I399=""),"",MAX(0,IF(V399&lt;&gt;"",V399-I399,TODAY()-I399)))</f>
        <v/>
      </c>
      <c r="AI399" s="37">
        <f>IF(A399="","",IF(OR(K399="Closed",V399&lt;&gt;""),"Closed",IF(AH399&gt;=AgeCrit,"Critical",IF(AH399&gt;=AgeFu,"For Follow-up",IF(AH399&gt;=AgeMonitor,"Monitor","Within Standard")))))</f>
        <v/>
      </c>
      <c r="AJ399" s="38">
        <f>IF(A399="","",IFERROR(INDEX(StgPct,MATCH(H399,StgList,0)),0))</f>
        <v/>
      </c>
      <c r="AK399" s="38">
        <f>IF(A399="","",IFERROR(COUNTIF(Y399:AF399,"Y")/(COUNTIF(Y399:AF399,"Y")+COUNTIF(Y399:AF399,"N")),0))</f>
        <v/>
      </c>
      <c r="AL399" s="36">
        <f>IF(OR(A399="",X399=""),"",MAX(0,IF(V399&lt;&gt;"",V399,TODAY())-X399))</f>
        <v/>
      </c>
      <c r="AM399" s="32" t="n"/>
      <c r="AN399" s="33">
        <f>IF(A399="","",LOWER(AI399)&amp;"|"&amp;AH399&amp;"|"&amp;AJ399&amp;"|"&amp;AK399)</f>
        <v/>
      </c>
      <c r="AO399" s="33">
        <f>IF(OR(A399="",T399=""),"",T399-TODAY())</f>
        <v/>
      </c>
      <c r="AP399" s="33">
        <f>IF(OR(A399="",V399&lt;&gt;""),"",(TODAY()-B399)+ROW()/1000000)</f>
        <v/>
      </c>
    </row>
    <row r="400" ht="27" customHeight="1">
      <c r="A400" s="30" t="n"/>
      <c r="B400" s="31" t="n"/>
      <c r="C400" s="32" t="n"/>
      <c r="D400" s="32" t="n"/>
      <c r="E400" s="32" t="n"/>
      <c r="F400" s="32" t="n"/>
      <c r="G400" s="33">
        <f>IF(A400="","",IFERROR(INDEX(OffCat,MATCH(F400,OffList,0)),"Unlisted"))</f>
        <v/>
      </c>
      <c r="H400" s="30" t="n"/>
      <c r="I400" s="31" t="n"/>
      <c r="J400" s="34" t="n"/>
      <c r="K400" s="34" t="n"/>
      <c r="L400" s="34" t="n"/>
      <c r="M400" s="30" t="n"/>
      <c r="N400" s="30" t="n"/>
      <c r="O400" s="30" t="n"/>
      <c r="P400" s="30" t="n"/>
      <c r="Q400" s="31" t="n"/>
      <c r="R400" s="31" t="n"/>
      <c r="S400" s="31" t="n"/>
      <c r="T400" s="31" t="n"/>
      <c r="U400" s="31" t="n"/>
      <c r="V400" s="31" t="n"/>
      <c r="W400" s="30" t="n"/>
      <c r="X400" s="31" t="n"/>
      <c r="Y400" s="35" t="n"/>
      <c r="Z400" s="35" t="n"/>
      <c r="AA400" s="35" t="n"/>
      <c r="AB400" s="35" t="n"/>
      <c r="AC400" s="35" t="n"/>
      <c r="AD400" s="35" t="n"/>
      <c r="AE400" s="35" t="n"/>
      <c r="AF400" s="35" t="n"/>
      <c r="AG400" s="36">
        <f>IF(A400="","",IF(V400&lt;&gt;"",V400-B400,TODAY()-B400))</f>
        <v/>
      </c>
      <c r="AH400" s="36">
        <f>IF(OR(A400="",I400=""),"",MAX(0,IF(V400&lt;&gt;"",V400-I400,TODAY()-I400)))</f>
        <v/>
      </c>
      <c r="AI400" s="37">
        <f>IF(A400="","",IF(OR(K400="Closed",V400&lt;&gt;""),"Closed",IF(AH400&gt;=AgeCrit,"Critical",IF(AH400&gt;=AgeFu,"For Follow-up",IF(AH400&gt;=AgeMonitor,"Monitor","Within Standard")))))</f>
        <v/>
      </c>
      <c r="AJ400" s="38">
        <f>IF(A400="","",IFERROR(INDEX(StgPct,MATCH(H400,StgList,0)),0))</f>
        <v/>
      </c>
      <c r="AK400" s="38">
        <f>IF(A400="","",IFERROR(COUNTIF(Y400:AF400,"Y")/(COUNTIF(Y400:AF400,"Y")+COUNTIF(Y400:AF400,"N")),0))</f>
        <v/>
      </c>
      <c r="AL400" s="36">
        <f>IF(OR(A400="",X400=""),"",MAX(0,IF(V400&lt;&gt;"",V400,TODAY())-X400))</f>
        <v/>
      </c>
      <c r="AM400" s="32" t="n"/>
      <c r="AN400" s="33">
        <f>IF(A400="","",LOWER(AI400)&amp;"|"&amp;AH400&amp;"|"&amp;AJ400&amp;"|"&amp;AK400)</f>
        <v/>
      </c>
      <c r="AO400" s="33">
        <f>IF(OR(A400="",T400=""),"",T400-TODAY())</f>
        <v/>
      </c>
      <c r="AP400" s="33">
        <f>IF(OR(A400="",V400&lt;&gt;""),"",(TODAY()-B400)+ROW()/1000000)</f>
        <v/>
      </c>
    </row>
    <row r="401" ht="27" customHeight="1">
      <c r="A401" s="30" t="n"/>
      <c r="B401" s="31" t="n"/>
      <c r="C401" s="32" t="n"/>
      <c r="D401" s="32" t="n"/>
      <c r="E401" s="32" t="n"/>
      <c r="F401" s="32" t="n"/>
      <c r="G401" s="33">
        <f>IF(A401="","",IFERROR(INDEX(OffCat,MATCH(F401,OffList,0)),"Unlisted"))</f>
        <v/>
      </c>
      <c r="H401" s="30" t="n"/>
      <c r="I401" s="31" t="n"/>
      <c r="J401" s="34" t="n"/>
      <c r="K401" s="34" t="n"/>
      <c r="L401" s="34" t="n"/>
      <c r="M401" s="30" t="n"/>
      <c r="N401" s="30" t="n"/>
      <c r="O401" s="30" t="n"/>
      <c r="P401" s="30" t="n"/>
      <c r="Q401" s="31" t="n"/>
      <c r="R401" s="31" t="n"/>
      <c r="S401" s="31" t="n"/>
      <c r="T401" s="31" t="n"/>
      <c r="U401" s="31" t="n"/>
      <c r="V401" s="31" t="n"/>
      <c r="W401" s="30" t="n"/>
      <c r="X401" s="31" t="n"/>
      <c r="Y401" s="35" t="n"/>
      <c r="Z401" s="35" t="n"/>
      <c r="AA401" s="35" t="n"/>
      <c r="AB401" s="35" t="n"/>
      <c r="AC401" s="35" t="n"/>
      <c r="AD401" s="35" t="n"/>
      <c r="AE401" s="35" t="n"/>
      <c r="AF401" s="35" t="n"/>
      <c r="AG401" s="36">
        <f>IF(A401="","",IF(V401&lt;&gt;"",V401-B401,TODAY()-B401))</f>
        <v/>
      </c>
      <c r="AH401" s="36">
        <f>IF(OR(A401="",I401=""),"",MAX(0,IF(V401&lt;&gt;"",V401-I401,TODAY()-I401)))</f>
        <v/>
      </c>
      <c r="AI401" s="37">
        <f>IF(A401="","",IF(OR(K401="Closed",V401&lt;&gt;""),"Closed",IF(AH401&gt;=AgeCrit,"Critical",IF(AH401&gt;=AgeFu,"For Follow-up",IF(AH401&gt;=AgeMonitor,"Monitor","Within Standard")))))</f>
        <v/>
      </c>
      <c r="AJ401" s="38">
        <f>IF(A401="","",IFERROR(INDEX(StgPct,MATCH(H401,StgList,0)),0))</f>
        <v/>
      </c>
      <c r="AK401" s="38">
        <f>IF(A401="","",IFERROR(COUNTIF(Y401:AF401,"Y")/(COUNTIF(Y401:AF401,"Y")+COUNTIF(Y401:AF401,"N")),0))</f>
        <v/>
      </c>
      <c r="AL401" s="36">
        <f>IF(OR(A401="",X401=""),"",MAX(0,IF(V401&lt;&gt;"",V401,TODAY())-X401))</f>
        <v/>
      </c>
      <c r="AM401" s="32" t="n"/>
      <c r="AN401" s="33">
        <f>IF(A401="","",LOWER(AI401)&amp;"|"&amp;AH401&amp;"|"&amp;AJ401&amp;"|"&amp;AK401)</f>
        <v/>
      </c>
      <c r="AO401" s="33">
        <f>IF(OR(A401="",T401=""),"",T401-TODAY())</f>
        <v/>
      </c>
      <c r="AP401" s="33">
        <f>IF(OR(A401="",V401&lt;&gt;""),"",(TODAY()-B401)+ROW()/1000000)</f>
        <v/>
      </c>
    </row>
    <row r="402" ht="27" customHeight="1">
      <c r="A402" s="30" t="n"/>
      <c r="B402" s="31" t="n"/>
      <c r="C402" s="32" t="n"/>
      <c r="D402" s="32" t="n"/>
      <c r="E402" s="32" t="n"/>
      <c r="F402" s="32" t="n"/>
      <c r="G402" s="33">
        <f>IF(A402="","",IFERROR(INDEX(OffCat,MATCH(F402,OffList,0)),"Unlisted"))</f>
        <v/>
      </c>
      <c r="H402" s="30" t="n"/>
      <c r="I402" s="31" t="n"/>
      <c r="J402" s="34" t="n"/>
      <c r="K402" s="34" t="n"/>
      <c r="L402" s="34" t="n"/>
      <c r="M402" s="30" t="n"/>
      <c r="N402" s="30" t="n"/>
      <c r="O402" s="30" t="n"/>
      <c r="P402" s="30" t="n"/>
      <c r="Q402" s="31" t="n"/>
      <c r="R402" s="31" t="n"/>
      <c r="S402" s="31" t="n"/>
      <c r="T402" s="31" t="n"/>
      <c r="U402" s="31" t="n"/>
      <c r="V402" s="31" t="n"/>
      <c r="W402" s="30" t="n"/>
      <c r="X402" s="31" t="n"/>
      <c r="Y402" s="35" t="n"/>
      <c r="Z402" s="35" t="n"/>
      <c r="AA402" s="35" t="n"/>
      <c r="AB402" s="35" t="n"/>
      <c r="AC402" s="35" t="n"/>
      <c r="AD402" s="35" t="n"/>
      <c r="AE402" s="35" t="n"/>
      <c r="AF402" s="35" t="n"/>
      <c r="AG402" s="36">
        <f>IF(A402="","",IF(V402&lt;&gt;"",V402-B402,TODAY()-B402))</f>
        <v/>
      </c>
      <c r="AH402" s="36">
        <f>IF(OR(A402="",I402=""),"",MAX(0,IF(V402&lt;&gt;"",V402-I402,TODAY()-I402)))</f>
        <v/>
      </c>
      <c r="AI402" s="37">
        <f>IF(A402="","",IF(OR(K402="Closed",V402&lt;&gt;""),"Closed",IF(AH402&gt;=AgeCrit,"Critical",IF(AH402&gt;=AgeFu,"For Follow-up",IF(AH402&gt;=AgeMonitor,"Monitor","Within Standard")))))</f>
        <v/>
      </c>
      <c r="AJ402" s="38">
        <f>IF(A402="","",IFERROR(INDEX(StgPct,MATCH(H402,StgList,0)),0))</f>
        <v/>
      </c>
      <c r="AK402" s="38">
        <f>IF(A402="","",IFERROR(COUNTIF(Y402:AF402,"Y")/(COUNTIF(Y402:AF402,"Y")+COUNTIF(Y402:AF402,"N")),0))</f>
        <v/>
      </c>
      <c r="AL402" s="36">
        <f>IF(OR(A402="",X402=""),"",MAX(0,IF(V402&lt;&gt;"",V402,TODAY())-X402))</f>
        <v/>
      </c>
      <c r="AM402" s="32" t="n"/>
      <c r="AN402" s="33">
        <f>IF(A402="","",LOWER(AI402)&amp;"|"&amp;AH402&amp;"|"&amp;AJ402&amp;"|"&amp;AK402)</f>
        <v/>
      </c>
      <c r="AO402" s="33">
        <f>IF(OR(A402="",T402=""),"",T402-TODAY())</f>
        <v/>
      </c>
      <c r="AP402" s="33">
        <f>IF(OR(A402="",V402&lt;&gt;""),"",(TODAY()-B402)+ROW()/1000000)</f>
        <v/>
      </c>
    </row>
    <row r="403" ht="27" customHeight="1">
      <c r="A403" s="30" t="n"/>
      <c r="B403" s="31" t="n"/>
      <c r="C403" s="32" t="n"/>
      <c r="D403" s="32" t="n"/>
      <c r="E403" s="32" t="n"/>
      <c r="F403" s="32" t="n"/>
      <c r="G403" s="33">
        <f>IF(A403="","",IFERROR(INDEX(OffCat,MATCH(F403,OffList,0)),"Unlisted"))</f>
        <v/>
      </c>
      <c r="H403" s="30" t="n"/>
      <c r="I403" s="31" t="n"/>
      <c r="J403" s="34" t="n"/>
      <c r="K403" s="34" t="n"/>
      <c r="L403" s="34" t="n"/>
      <c r="M403" s="30" t="n"/>
      <c r="N403" s="30" t="n"/>
      <c r="O403" s="30" t="n"/>
      <c r="P403" s="30" t="n"/>
      <c r="Q403" s="31" t="n"/>
      <c r="R403" s="31" t="n"/>
      <c r="S403" s="31" t="n"/>
      <c r="T403" s="31" t="n"/>
      <c r="U403" s="31" t="n"/>
      <c r="V403" s="31" t="n"/>
      <c r="W403" s="30" t="n"/>
      <c r="X403" s="31" t="n"/>
      <c r="Y403" s="35" t="n"/>
      <c r="Z403" s="35" t="n"/>
      <c r="AA403" s="35" t="n"/>
      <c r="AB403" s="35" t="n"/>
      <c r="AC403" s="35" t="n"/>
      <c r="AD403" s="35" t="n"/>
      <c r="AE403" s="35" t="n"/>
      <c r="AF403" s="35" t="n"/>
      <c r="AG403" s="36">
        <f>IF(A403="","",IF(V403&lt;&gt;"",V403-B403,TODAY()-B403))</f>
        <v/>
      </c>
      <c r="AH403" s="36">
        <f>IF(OR(A403="",I403=""),"",MAX(0,IF(V403&lt;&gt;"",V403-I403,TODAY()-I403)))</f>
        <v/>
      </c>
      <c r="AI403" s="37">
        <f>IF(A403="","",IF(OR(K403="Closed",V403&lt;&gt;""),"Closed",IF(AH403&gt;=AgeCrit,"Critical",IF(AH403&gt;=AgeFu,"For Follow-up",IF(AH403&gt;=AgeMonitor,"Monitor","Within Standard")))))</f>
        <v/>
      </c>
      <c r="AJ403" s="38">
        <f>IF(A403="","",IFERROR(INDEX(StgPct,MATCH(H403,StgList,0)),0))</f>
        <v/>
      </c>
      <c r="AK403" s="38">
        <f>IF(A403="","",IFERROR(COUNTIF(Y403:AF403,"Y")/(COUNTIF(Y403:AF403,"Y")+COUNTIF(Y403:AF403,"N")),0))</f>
        <v/>
      </c>
      <c r="AL403" s="36">
        <f>IF(OR(A403="",X403=""),"",MAX(0,IF(V403&lt;&gt;"",V403,TODAY())-X403))</f>
        <v/>
      </c>
      <c r="AM403" s="32" t="n"/>
      <c r="AN403" s="33">
        <f>IF(A403="","",LOWER(AI403)&amp;"|"&amp;AH403&amp;"|"&amp;AJ403&amp;"|"&amp;AK403)</f>
        <v/>
      </c>
      <c r="AO403" s="33">
        <f>IF(OR(A403="",T403=""),"",T403-TODAY())</f>
        <v/>
      </c>
      <c r="AP403" s="33">
        <f>IF(OR(A403="",V403&lt;&gt;""),"",(TODAY()-B403)+ROW()/1000000)</f>
        <v/>
      </c>
    </row>
    <row r="404" ht="27" customHeight="1">
      <c r="A404" s="30" t="n"/>
      <c r="B404" s="31" t="n"/>
      <c r="C404" s="32" t="n"/>
      <c r="D404" s="32" t="n"/>
      <c r="E404" s="32" t="n"/>
      <c r="F404" s="32" t="n"/>
      <c r="G404" s="33">
        <f>IF(A404="","",IFERROR(INDEX(OffCat,MATCH(F404,OffList,0)),"Unlisted"))</f>
        <v/>
      </c>
      <c r="H404" s="30" t="n"/>
      <c r="I404" s="31" t="n"/>
      <c r="J404" s="34" t="n"/>
      <c r="K404" s="34" t="n"/>
      <c r="L404" s="34" t="n"/>
      <c r="M404" s="30" t="n"/>
      <c r="N404" s="30" t="n"/>
      <c r="O404" s="30" t="n"/>
      <c r="P404" s="30" t="n"/>
      <c r="Q404" s="31" t="n"/>
      <c r="R404" s="31" t="n"/>
      <c r="S404" s="31" t="n"/>
      <c r="T404" s="31" t="n"/>
      <c r="U404" s="31" t="n"/>
      <c r="V404" s="31" t="n"/>
      <c r="W404" s="30" t="n"/>
      <c r="X404" s="31" t="n"/>
      <c r="Y404" s="35" t="n"/>
      <c r="Z404" s="35" t="n"/>
      <c r="AA404" s="35" t="n"/>
      <c r="AB404" s="35" t="n"/>
      <c r="AC404" s="35" t="n"/>
      <c r="AD404" s="35" t="n"/>
      <c r="AE404" s="35" t="n"/>
      <c r="AF404" s="35" t="n"/>
      <c r="AG404" s="36">
        <f>IF(A404="","",IF(V404&lt;&gt;"",V404-B404,TODAY()-B404))</f>
        <v/>
      </c>
      <c r="AH404" s="36">
        <f>IF(OR(A404="",I404=""),"",MAX(0,IF(V404&lt;&gt;"",V404-I404,TODAY()-I404)))</f>
        <v/>
      </c>
      <c r="AI404" s="37">
        <f>IF(A404="","",IF(OR(K404="Closed",V404&lt;&gt;""),"Closed",IF(AH404&gt;=AgeCrit,"Critical",IF(AH404&gt;=AgeFu,"For Follow-up",IF(AH404&gt;=AgeMonitor,"Monitor","Within Standard")))))</f>
        <v/>
      </c>
      <c r="AJ404" s="38">
        <f>IF(A404="","",IFERROR(INDEX(StgPct,MATCH(H404,StgList,0)),0))</f>
        <v/>
      </c>
      <c r="AK404" s="38">
        <f>IF(A404="","",IFERROR(COUNTIF(Y404:AF404,"Y")/(COUNTIF(Y404:AF404,"Y")+COUNTIF(Y404:AF404,"N")),0))</f>
        <v/>
      </c>
      <c r="AL404" s="36">
        <f>IF(OR(A404="",X404=""),"",MAX(0,IF(V404&lt;&gt;"",V404,TODAY())-X404))</f>
        <v/>
      </c>
      <c r="AM404" s="32" t="n"/>
      <c r="AN404" s="33">
        <f>IF(A404="","",LOWER(AI404)&amp;"|"&amp;AH404&amp;"|"&amp;AJ404&amp;"|"&amp;AK404)</f>
        <v/>
      </c>
      <c r="AO404" s="33">
        <f>IF(OR(A404="",T404=""),"",T404-TODAY())</f>
        <v/>
      </c>
      <c r="AP404" s="33">
        <f>IF(OR(A404="",V404&lt;&gt;""),"",(TODAY()-B404)+ROW()/1000000)</f>
        <v/>
      </c>
    </row>
    <row r="405" ht="27" customHeight="1">
      <c r="A405" s="30" t="n"/>
      <c r="B405" s="31" t="n"/>
      <c r="C405" s="32" t="n"/>
      <c r="D405" s="32" t="n"/>
      <c r="E405" s="32" t="n"/>
      <c r="F405" s="32" t="n"/>
      <c r="G405" s="33">
        <f>IF(A405="","",IFERROR(INDEX(OffCat,MATCH(F405,OffList,0)),"Unlisted"))</f>
        <v/>
      </c>
      <c r="H405" s="30" t="n"/>
      <c r="I405" s="31" t="n"/>
      <c r="J405" s="34" t="n"/>
      <c r="K405" s="34" t="n"/>
      <c r="L405" s="34" t="n"/>
      <c r="M405" s="30" t="n"/>
      <c r="N405" s="30" t="n"/>
      <c r="O405" s="30" t="n"/>
      <c r="P405" s="30" t="n"/>
      <c r="Q405" s="31" t="n"/>
      <c r="R405" s="31" t="n"/>
      <c r="S405" s="31" t="n"/>
      <c r="T405" s="31" t="n"/>
      <c r="U405" s="31" t="n"/>
      <c r="V405" s="31" t="n"/>
      <c r="W405" s="30" t="n"/>
      <c r="X405" s="31" t="n"/>
      <c r="Y405" s="35" t="n"/>
      <c r="Z405" s="35" t="n"/>
      <c r="AA405" s="35" t="n"/>
      <c r="AB405" s="35" t="n"/>
      <c r="AC405" s="35" t="n"/>
      <c r="AD405" s="35" t="n"/>
      <c r="AE405" s="35" t="n"/>
      <c r="AF405" s="35" t="n"/>
      <c r="AG405" s="36">
        <f>IF(A405="","",IF(V405&lt;&gt;"",V405-B405,TODAY()-B405))</f>
        <v/>
      </c>
      <c r="AH405" s="36">
        <f>IF(OR(A405="",I405=""),"",MAX(0,IF(V405&lt;&gt;"",V405-I405,TODAY()-I405)))</f>
        <v/>
      </c>
      <c r="AI405" s="37">
        <f>IF(A405="","",IF(OR(K405="Closed",V405&lt;&gt;""),"Closed",IF(AH405&gt;=AgeCrit,"Critical",IF(AH405&gt;=AgeFu,"For Follow-up",IF(AH405&gt;=AgeMonitor,"Monitor","Within Standard")))))</f>
        <v/>
      </c>
      <c r="AJ405" s="38">
        <f>IF(A405="","",IFERROR(INDEX(StgPct,MATCH(H405,StgList,0)),0))</f>
        <v/>
      </c>
      <c r="AK405" s="38">
        <f>IF(A405="","",IFERROR(COUNTIF(Y405:AF405,"Y")/(COUNTIF(Y405:AF405,"Y")+COUNTIF(Y405:AF405,"N")),0))</f>
        <v/>
      </c>
      <c r="AL405" s="36">
        <f>IF(OR(A405="",X405=""),"",MAX(0,IF(V405&lt;&gt;"",V405,TODAY())-X405))</f>
        <v/>
      </c>
      <c r="AM405" s="32" t="n"/>
      <c r="AN405" s="33">
        <f>IF(A405="","",LOWER(AI405)&amp;"|"&amp;AH405&amp;"|"&amp;AJ405&amp;"|"&amp;AK405)</f>
        <v/>
      </c>
      <c r="AO405" s="33">
        <f>IF(OR(A405="",T405=""),"",T405-TODAY())</f>
        <v/>
      </c>
      <c r="AP405" s="33">
        <f>IF(OR(A405="",V405&lt;&gt;""),"",(TODAY()-B405)+ROW()/1000000)</f>
        <v/>
      </c>
    </row>
    <row r="406" ht="27" customHeight="1">
      <c r="A406" s="30" t="n"/>
      <c r="B406" s="31" t="n"/>
      <c r="C406" s="32" t="n"/>
      <c r="D406" s="32" t="n"/>
      <c r="E406" s="32" t="n"/>
      <c r="F406" s="32" t="n"/>
      <c r="G406" s="33">
        <f>IF(A406="","",IFERROR(INDEX(OffCat,MATCH(F406,OffList,0)),"Unlisted"))</f>
        <v/>
      </c>
      <c r="H406" s="30" t="n"/>
      <c r="I406" s="31" t="n"/>
      <c r="J406" s="34" t="n"/>
      <c r="K406" s="34" t="n"/>
      <c r="L406" s="34" t="n"/>
      <c r="M406" s="30" t="n"/>
      <c r="N406" s="30" t="n"/>
      <c r="O406" s="30" t="n"/>
      <c r="P406" s="30" t="n"/>
      <c r="Q406" s="31" t="n"/>
      <c r="R406" s="31" t="n"/>
      <c r="S406" s="31" t="n"/>
      <c r="T406" s="31" t="n"/>
      <c r="U406" s="31" t="n"/>
      <c r="V406" s="31" t="n"/>
      <c r="W406" s="30" t="n"/>
      <c r="X406" s="31" t="n"/>
      <c r="Y406" s="35" t="n"/>
      <c r="Z406" s="35" t="n"/>
      <c r="AA406" s="35" t="n"/>
      <c r="AB406" s="35" t="n"/>
      <c r="AC406" s="35" t="n"/>
      <c r="AD406" s="35" t="n"/>
      <c r="AE406" s="35" t="n"/>
      <c r="AF406" s="35" t="n"/>
      <c r="AG406" s="36">
        <f>IF(A406="","",IF(V406&lt;&gt;"",V406-B406,TODAY()-B406))</f>
        <v/>
      </c>
      <c r="AH406" s="36">
        <f>IF(OR(A406="",I406=""),"",MAX(0,IF(V406&lt;&gt;"",V406-I406,TODAY()-I406)))</f>
        <v/>
      </c>
      <c r="AI406" s="37">
        <f>IF(A406="","",IF(OR(K406="Closed",V406&lt;&gt;""),"Closed",IF(AH406&gt;=AgeCrit,"Critical",IF(AH406&gt;=AgeFu,"For Follow-up",IF(AH406&gt;=AgeMonitor,"Monitor","Within Standard")))))</f>
        <v/>
      </c>
      <c r="AJ406" s="38">
        <f>IF(A406="","",IFERROR(INDEX(StgPct,MATCH(H406,StgList,0)),0))</f>
        <v/>
      </c>
      <c r="AK406" s="38">
        <f>IF(A406="","",IFERROR(COUNTIF(Y406:AF406,"Y")/(COUNTIF(Y406:AF406,"Y")+COUNTIF(Y406:AF406,"N")),0))</f>
        <v/>
      </c>
      <c r="AL406" s="36">
        <f>IF(OR(A406="",X406=""),"",MAX(0,IF(V406&lt;&gt;"",V406,TODAY())-X406))</f>
        <v/>
      </c>
      <c r="AM406" s="32" t="n"/>
      <c r="AN406" s="33">
        <f>IF(A406="","",LOWER(AI406)&amp;"|"&amp;AH406&amp;"|"&amp;AJ406&amp;"|"&amp;AK406)</f>
        <v/>
      </c>
      <c r="AO406" s="33">
        <f>IF(OR(A406="",T406=""),"",T406-TODAY())</f>
        <v/>
      </c>
      <c r="AP406" s="33">
        <f>IF(OR(A406="",V406&lt;&gt;""),"",(TODAY()-B406)+ROW()/1000000)</f>
        <v/>
      </c>
    </row>
    <row r="407" ht="27" customHeight="1">
      <c r="A407" s="30" t="n"/>
      <c r="B407" s="31" t="n"/>
      <c r="C407" s="32" t="n"/>
      <c r="D407" s="32" t="n"/>
      <c r="E407" s="32" t="n"/>
      <c r="F407" s="32" t="n"/>
      <c r="G407" s="33">
        <f>IF(A407="","",IFERROR(INDEX(OffCat,MATCH(F407,OffList,0)),"Unlisted"))</f>
        <v/>
      </c>
      <c r="H407" s="30" t="n"/>
      <c r="I407" s="31" t="n"/>
      <c r="J407" s="34" t="n"/>
      <c r="K407" s="34" t="n"/>
      <c r="L407" s="34" t="n"/>
      <c r="M407" s="30" t="n"/>
      <c r="N407" s="30" t="n"/>
      <c r="O407" s="30" t="n"/>
      <c r="P407" s="30" t="n"/>
      <c r="Q407" s="31" t="n"/>
      <c r="R407" s="31" t="n"/>
      <c r="S407" s="31" t="n"/>
      <c r="T407" s="31" t="n"/>
      <c r="U407" s="31" t="n"/>
      <c r="V407" s="31" t="n"/>
      <c r="W407" s="30" t="n"/>
      <c r="X407" s="31" t="n"/>
      <c r="Y407" s="35" t="n"/>
      <c r="Z407" s="35" t="n"/>
      <c r="AA407" s="35" t="n"/>
      <c r="AB407" s="35" t="n"/>
      <c r="AC407" s="35" t="n"/>
      <c r="AD407" s="35" t="n"/>
      <c r="AE407" s="35" t="n"/>
      <c r="AF407" s="35" t="n"/>
      <c r="AG407" s="36">
        <f>IF(A407="","",IF(V407&lt;&gt;"",V407-B407,TODAY()-B407))</f>
        <v/>
      </c>
      <c r="AH407" s="36">
        <f>IF(OR(A407="",I407=""),"",MAX(0,IF(V407&lt;&gt;"",V407-I407,TODAY()-I407)))</f>
        <v/>
      </c>
      <c r="AI407" s="37">
        <f>IF(A407="","",IF(OR(K407="Closed",V407&lt;&gt;""),"Closed",IF(AH407&gt;=AgeCrit,"Critical",IF(AH407&gt;=AgeFu,"For Follow-up",IF(AH407&gt;=AgeMonitor,"Monitor","Within Standard")))))</f>
        <v/>
      </c>
      <c r="AJ407" s="38">
        <f>IF(A407="","",IFERROR(INDEX(StgPct,MATCH(H407,StgList,0)),0))</f>
        <v/>
      </c>
      <c r="AK407" s="38">
        <f>IF(A407="","",IFERROR(COUNTIF(Y407:AF407,"Y")/(COUNTIF(Y407:AF407,"Y")+COUNTIF(Y407:AF407,"N")),0))</f>
        <v/>
      </c>
      <c r="AL407" s="36">
        <f>IF(OR(A407="",X407=""),"",MAX(0,IF(V407&lt;&gt;"",V407,TODAY())-X407))</f>
        <v/>
      </c>
      <c r="AM407" s="32" t="n"/>
      <c r="AN407" s="33">
        <f>IF(A407="","",LOWER(AI407)&amp;"|"&amp;AH407&amp;"|"&amp;AJ407&amp;"|"&amp;AK407)</f>
        <v/>
      </c>
      <c r="AO407" s="33">
        <f>IF(OR(A407="",T407=""),"",T407-TODAY())</f>
        <v/>
      </c>
      <c r="AP407" s="33">
        <f>IF(OR(A407="",V407&lt;&gt;""),"",(TODAY()-B407)+ROW()/1000000)</f>
        <v/>
      </c>
    </row>
    <row r="408" ht="27" customHeight="1">
      <c r="A408" s="30" t="n"/>
      <c r="B408" s="31" t="n"/>
      <c r="C408" s="32" t="n"/>
      <c r="D408" s="32" t="n"/>
      <c r="E408" s="32" t="n"/>
      <c r="F408" s="32" t="n"/>
      <c r="G408" s="33">
        <f>IF(A408="","",IFERROR(INDEX(OffCat,MATCH(F408,OffList,0)),"Unlisted"))</f>
        <v/>
      </c>
      <c r="H408" s="30" t="n"/>
      <c r="I408" s="31" t="n"/>
      <c r="J408" s="34" t="n"/>
      <c r="K408" s="34" t="n"/>
      <c r="L408" s="34" t="n"/>
      <c r="M408" s="30" t="n"/>
      <c r="N408" s="30" t="n"/>
      <c r="O408" s="30" t="n"/>
      <c r="P408" s="30" t="n"/>
      <c r="Q408" s="31" t="n"/>
      <c r="R408" s="31" t="n"/>
      <c r="S408" s="31" t="n"/>
      <c r="T408" s="31" t="n"/>
      <c r="U408" s="31" t="n"/>
      <c r="V408" s="31" t="n"/>
      <c r="W408" s="30" t="n"/>
      <c r="X408" s="31" t="n"/>
      <c r="Y408" s="35" t="n"/>
      <c r="Z408" s="35" t="n"/>
      <c r="AA408" s="35" t="n"/>
      <c r="AB408" s="35" t="n"/>
      <c r="AC408" s="35" t="n"/>
      <c r="AD408" s="35" t="n"/>
      <c r="AE408" s="35" t="n"/>
      <c r="AF408" s="35" t="n"/>
      <c r="AG408" s="36">
        <f>IF(A408="","",IF(V408&lt;&gt;"",V408-B408,TODAY()-B408))</f>
        <v/>
      </c>
      <c r="AH408" s="36">
        <f>IF(OR(A408="",I408=""),"",MAX(0,IF(V408&lt;&gt;"",V408-I408,TODAY()-I408)))</f>
        <v/>
      </c>
      <c r="AI408" s="37">
        <f>IF(A408="","",IF(OR(K408="Closed",V408&lt;&gt;""),"Closed",IF(AH408&gt;=AgeCrit,"Critical",IF(AH408&gt;=AgeFu,"For Follow-up",IF(AH408&gt;=AgeMonitor,"Monitor","Within Standard")))))</f>
        <v/>
      </c>
      <c r="AJ408" s="38">
        <f>IF(A408="","",IFERROR(INDEX(StgPct,MATCH(H408,StgList,0)),0))</f>
        <v/>
      </c>
      <c r="AK408" s="38">
        <f>IF(A408="","",IFERROR(COUNTIF(Y408:AF408,"Y")/(COUNTIF(Y408:AF408,"Y")+COUNTIF(Y408:AF408,"N")),0))</f>
        <v/>
      </c>
      <c r="AL408" s="36">
        <f>IF(OR(A408="",X408=""),"",MAX(0,IF(V408&lt;&gt;"",V408,TODAY())-X408))</f>
        <v/>
      </c>
      <c r="AM408" s="32" t="n"/>
      <c r="AN408" s="33">
        <f>IF(A408="","",LOWER(AI408)&amp;"|"&amp;AH408&amp;"|"&amp;AJ408&amp;"|"&amp;AK408)</f>
        <v/>
      </c>
      <c r="AO408" s="33">
        <f>IF(OR(A408="",T408=""),"",T408-TODAY())</f>
        <v/>
      </c>
      <c r="AP408" s="33">
        <f>IF(OR(A408="",V408&lt;&gt;""),"",(TODAY()-B408)+ROW()/1000000)</f>
        <v/>
      </c>
    </row>
    <row r="409" ht="27" customHeight="1">
      <c r="A409" s="30" t="n"/>
      <c r="B409" s="31" t="n"/>
      <c r="C409" s="32" t="n"/>
      <c r="D409" s="32" t="n"/>
      <c r="E409" s="32" t="n"/>
      <c r="F409" s="32" t="n"/>
      <c r="G409" s="33">
        <f>IF(A409="","",IFERROR(INDEX(OffCat,MATCH(F409,OffList,0)),"Unlisted"))</f>
        <v/>
      </c>
      <c r="H409" s="30" t="n"/>
      <c r="I409" s="31" t="n"/>
      <c r="J409" s="34" t="n"/>
      <c r="K409" s="34" t="n"/>
      <c r="L409" s="34" t="n"/>
      <c r="M409" s="30" t="n"/>
      <c r="N409" s="30" t="n"/>
      <c r="O409" s="30" t="n"/>
      <c r="P409" s="30" t="n"/>
      <c r="Q409" s="31" t="n"/>
      <c r="R409" s="31" t="n"/>
      <c r="S409" s="31" t="n"/>
      <c r="T409" s="31" t="n"/>
      <c r="U409" s="31" t="n"/>
      <c r="V409" s="31" t="n"/>
      <c r="W409" s="30" t="n"/>
      <c r="X409" s="31" t="n"/>
      <c r="Y409" s="35" t="n"/>
      <c r="Z409" s="35" t="n"/>
      <c r="AA409" s="35" t="n"/>
      <c r="AB409" s="35" t="n"/>
      <c r="AC409" s="35" t="n"/>
      <c r="AD409" s="35" t="n"/>
      <c r="AE409" s="35" t="n"/>
      <c r="AF409" s="35" t="n"/>
      <c r="AG409" s="36">
        <f>IF(A409="","",IF(V409&lt;&gt;"",V409-B409,TODAY()-B409))</f>
        <v/>
      </c>
      <c r="AH409" s="36">
        <f>IF(OR(A409="",I409=""),"",MAX(0,IF(V409&lt;&gt;"",V409-I409,TODAY()-I409)))</f>
        <v/>
      </c>
      <c r="AI409" s="37">
        <f>IF(A409="","",IF(OR(K409="Closed",V409&lt;&gt;""),"Closed",IF(AH409&gt;=AgeCrit,"Critical",IF(AH409&gt;=AgeFu,"For Follow-up",IF(AH409&gt;=AgeMonitor,"Monitor","Within Standard")))))</f>
        <v/>
      </c>
      <c r="AJ409" s="38">
        <f>IF(A409="","",IFERROR(INDEX(StgPct,MATCH(H409,StgList,0)),0))</f>
        <v/>
      </c>
      <c r="AK409" s="38">
        <f>IF(A409="","",IFERROR(COUNTIF(Y409:AF409,"Y")/(COUNTIF(Y409:AF409,"Y")+COUNTIF(Y409:AF409,"N")),0))</f>
        <v/>
      </c>
      <c r="AL409" s="36">
        <f>IF(OR(A409="",X409=""),"",MAX(0,IF(V409&lt;&gt;"",V409,TODAY())-X409))</f>
        <v/>
      </c>
      <c r="AM409" s="32" t="n"/>
      <c r="AN409" s="33">
        <f>IF(A409="","",LOWER(AI409)&amp;"|"&amp;AH409&amp;"|"&amp;AJ409&amp;"|"&amp;AK409)</f>
        <v/>
      </c>
      <c r="AO409" s="33">
        <f>IF(OR(A409="",T409=""),"",T409-TODAY())</f>
        <v/>
      </c>
      <c r="AP409" s="33">
        <f>IF(OR(A409="",V409&lt;&gt;""),"",(TODAY()-B409)+ROW()/1000000)</f>
        <v/>
      </c>
    </row>
    <row r="410" ht="27" customHeight="1">
      <c r="A410" s="30" t="n"/>
      <c r="B410" s="31" t="n"/>
      <c r="C410" s="32" t="n"/>
      <c r="D410" s="32" t="n"/>
      <c r="E410" s="32" t="n"/>
      <c r="F410" s="32" t="n"/>
      <c r="G410" s="33">
        <f>IF(A410="","",IFERROR(INDEX(OffCat,MATCH(F410,OffList,0)),"Unlisted"))</f>
        <v/>
      </c>
      <c r="H410" s="30" t="n"/>
      <c r="I410" s="31" t="n"/>
      <c r="J410" s="34" t="n"/>
      <c r="K410" s="34" t="n"/>
      <c r="L410" s="34" t="n"/>
      <c r="M410" s="30" t="n"/>
      <c r="N410" s="30" t="n"/>
      <c r="O410" s="30" t="n"/>
      <c r="P410" s="30" t="n"/>
      <c r="Q410" s="31" t="n"/>
      <c r="R410" s="31" t="n"/>
      <c r="S410" s="31" t="n"/>
      <c r="T410" s="31" t="n"/>
      <c r="U410" s="31" t="n"/>
      <c r="V410" s="31" t="n"/>
      <c r="W410" s="30" t="n"/>
      <c r="X410" s="31" t="n"/>
      <c r="Y410" s="35" t="n"/>
      <c r="Z410" s="35" t="n"/>
      <c r="AA410" s="35" t="n"/>
      <c r="AB410" s="35" t="n"/>
      <c r="AC410" s="35" t="n"/>
      <c r="AD410" s="35" t="n"/>
      <c r="AE410" s="35" t="n"/>
      <c r="AF410" s="35" t="n"/>
      <c r="AG410" s="36">
        <f>IF(A410="","",IF(V410&lt;&gt;"",V410-B410,TODAY()-B410))</f>
        <v/>
      </c>
      <c r="AH410" s="36">
        <f>IF(OR(A410="",I410=""),"",MAX(0,IF(V410&lt;&gt;"",V410-I410,TODAY()-I410)))</f>
        <v/>
      </c>
      <c r="AI410" s="37">
        <f>IF(A410="","",IF(OR(K410="Closed",V410&lt;&gt;""),"Closed",IF(AH410&gt;=AgeCrit,"Critical",IF(AH410&gt;=AgeFu,"For Follow-up",IF(AH410&gt;=AgeMonitor,"Monitor","Within Standard")))))</f>
        <v/>
      </c>
      <c r="AJ410" s="38">
        <f>IF(A410="","",IFERROR(INDEX(StgPct,MATCH(H410,StgList,0)),0))</f>
        <v/>
      </c>
      <c r="AK410" s="38">
        <f>IF(A410="","",IFERROR(COUNTIF(Y410:AF410,"Y")/(COUNTIF(Y410:AF410,"Y")+COUNTIF(Y410:AF410,"N")),0))</f>
        <v/>
      </c>
      <c r="AL410" s="36">
        <f>IF(OR(A410="",X410=""),"",MAX(0,IF(V410&lt;&gt;"",V410,TODAY())-X410))</f>
        <v/>
      </c>
      <c r="AM410" s="32" t="n"/>
      <c r="AN410" s="33">
        <f>IF(A410="","",LOWER(AI410)&amp;"|"&amp;AH410&amp;"|"&amp;AJ410&amp;"|"&amp;AK410)</f>
        <v/>
      </c>
      <c r="AO410" s="33">
        <f>IF(OR(A410="",T410=""),"",T410-TODAY())</f>
        <v/>
      </c>
      <c r="AP410" s="33">
        <f>IF(OR(A410="",V410&lt;&gt;""),"",(TODAY()-B410)+ROW()/1000000)</f>
        <v/>
      </c>
    </row>
    <row r="411" ht="27" customHeight="1">
      <c r="A411" s="30" t="n"/>
      <c r="B411" s="31" t="n"/>
      <c r="C411" s="32" t="n"/>
      <c r="D411" s="32" t="n"/>
      <c r="E411" s="32" t="n"/>
      <c r="F411" s="32" t="n"/>
      <c r="G411" s="33">
        <f>IF(A411="","",IFERROR(INDEX(OffCat,MATCH(F411,OffList,0)),"Unlisted"))</f>
        <v/>
      </c>
      <c r="H411" s="30" t="n"/>
      <c r="I411" s="31" t="n"/>
      <c r="J411" s="34" t="n"/>
      <c r="K411" s="34" t="n"/>
      <c r="L411" s="34" t="n"/>
      <c r="M411" s="30" t="n"/>
      <c r="N411" s="30" t="n"/>
      <c r="O411" s="30" t="n"/>
      <c r="P411" s="30" t="n"/>
      <c r="Q411" s="31" t="n"/>
      <c r="R411" s="31" t="n"/>
      <c r="S411" s="31" t="n"/>
      <c r="T411" s="31" t="n"/>
      <c r="U411" s="31" t="n"/>
      <c r="V411" s="31" t="n"/>
      <c r="W411" s="30" t="n"/>
      <c r="X411" s="31" t="n"/>
      <c r="Y411" s="35" t="n"/>
      <c r="Z411" s="35" t="n"/>
      <c r="AA411" s="35" t="n"/>
      <c r="AB411" s="35" t="n"/>
      <c r="AC411" s="35" t="n"/>
      <c r="AD411" s="35" t="n"/>
      <c r="AE411" s="35" t="n"/>
      <c r="AF411" s="35" t="n"/>
      <c r="AG411" s="36">
        <f>IF(A411="","",IF(V411&lt;&gt;"",V411-B411,TODAY()-B411))</f>
        <v/>
      </c>
      <c r="AH411" s="36">
        <f>IF(OR(A411="",I411=""),"",MAX(0,IF(V411&lt;&gt;"",V411-I411,TODAY()-I411)))</f>
        <v/>
      </c>
      <c r="AI411" s="37">
        <f>IF(A411="","",IF(OR(K411="Closed",V411&lt;&gt;""),"Closed",IF(AH411&gt;=AgeCrit,"Critical",IF(AH411&gt;=AgeFu,"For Follow-up",IF(AH411&gt;=AgeMonitor,"Monitor","Within Standard")))))</f>
        <v/>
      </c>
      <c r="AJ411" s="38">
        <f>IF(A411="","",IFERROR(INDEX(StgPct,MATCH(H411,StgList,0)),0))</f>
        <v/>
      </c>
      <c r="AK411" s="38">
        <f>IF(A411="","",IFERROR(COUNTIF(Y411:AF411,"Y")/(COUNTIF(Y411:AF411,"Y")+COUNTIF(Y411:AF411,"N")),0))</f>
        <v/>
      </c>
      <c r="AL411" s="36">
        <f>IF(OR(A411="",X411=""),"",MAX(0,IF(V411&lt;&gt;"",V411,TODAY())-X411))</f>
        <v/>
      </c>
      <c r="AM411" s="32" t="n"/>
      <c r="AN411" s="33">
        <f>IF(A411="","",LOWER(AI411)&amp;"|"&amp;AH411&amp;"|"&amp;AJ411&amp;"|"&amp;AK411)</f>
        <v/>
      </c>
      <c r="AO411" s="33">
        <f>IF(OR(A411="",T411=""),"",T411-TODAY())</f>
        <v/>
      </c>
      <c r="AP411" s="33">
        <f>IF(OR(A411="",V411&lt;&gt;""),"",(TODAY()-B411)+ROW()/1000000)</f>
        <v/>
      </c>
    </row>
    <row r="412" ht="27" customHeight="1">
      <c r="A412" s="30" t="n"/>
      <c r="B412" s="31" t="n"/>
      <c r="C412" s="32" t="n"/>
      <c r="D412" s="32" t="n"/>
      <c r="E412" s="32" t="n"/>
      <c r="F412" s="32" t="n"/>
      <c r="G412" s="33">
        <f>IF(A412="","",IFERROR(INDEX(OffCat,MATCH(F412,OffList,0)),"Unlisted"))</f>
        <v/>
      </c>
      <c r="H412" s="30" t="n"/>
      <c r="I412" s="31" t="n"/>
      <c r="J412" s="34" t="n"/>
      <c r="K412" s="34" t="n"/>
      <c r="L412" s="34" t="n"/>
      <c r="M412" s="30" t="n"/>
      <c r="N412" s="30" t="n"/>
      <c r="O412" s="30" t="n"/>
      <c r="P412" s="30" t="n"/>
      <c r="Q412" s="31" t="n"/>
      <c r="R412" s="31" t="n"/>
      <c r="S412" s="31" t="n"/>
      <c r="T412" s="31" t="n"/>
      <c r="U412" s="31" t="n"/>
      <c r="V412" s="31" t="n"/>
      <c r="W412" s="30" t="n"/>
      <c r="X412" s="31" t="n"/>
      <c r="Y412" s="35" t="n"/>
      <c r="Z412" s="35" t="n"/>
      <c r="AA412" s="35" t="n"/>
      <c r="AB412" s="35" t="n"/>
      <c r="AC412" s="35" t="n"/>
      <c r="AD412" s="35" t="n"/>
      <c r="AE412" s="35" t="n"/>
      <c r="AF412" s="35" t="n"/>
      <c r="AG412" s="36">
        <f>IF(A412="","",IF(V412&lt;&gt;"",V412-B412,TODAY()-B412))</f>
        <v/>
      </c>
      <c r="AH412" s="36">
        <f>IF(OR(A412="",I412=""),"",MAX(0,IF(V412&lt;&gt;"",V412-I412,TODAY()-I412)))</f>
        <v/>
      </c>
      <c r="AI412" s="37">
        <f>IF(A412="","",IF(OR(K412="Closed",V412&lt;&gt;""),"Closed",IF(AH412&gt;=AgeCrit,"Critical",IF(AH412&gt;=AgeFu,"For Follow-up",IF(AH412&gt;=AgeMonitor,"Monitor","Within Standard")))))</f>
        <v/>
      </c>
      <c r="AJ412" s="38">
        <f>IF(A412="","",IFERROR(INDEX(StgPct,MATCH(H412,StgList,0)),0))</f>
        <v/>
      </c>
      <c r="AK412" s="38">
        <f>IF(A412="","",IFERROR(COUNTIF(Y412:AF412,"Y")/(COUNTIF(Y412:AF412,"Y")+COUNTIF(Y412:AF412,"N")),0))</f>
        <v/>
      </c>
      <c r="AL412" s="36">
        <f>IF(OR(A412="",X412=""),"",MAX(0,IF(V412&lt;&gt;"",V412,TODAY())-X412))</f>
        <v/>
      </c>
      <c r="AM412" s="32" t="n"/>
      <c r="AN412" s="33">
        <f>IF(A412="","",LOWER(AI412)&amp;"|"&amp;AH412&amp;"|"&amp;AJ412&amp;"|"&amp;AK412)</f>
        <v/>
      </c>
      <c r="AO412" s="33">
        <f>IF(OR(A412="",T412=""),"",T412-TODAY())</f>
        <v/>
      </c>
      <c r="AP412" s="33">
        <f>IF(OR(A412="",V412&lt;&gt;""),"",(TODAY()-B412)+ROW()/1000000)</f>
        <v/>
      </c>
    </row>
    <row r="413" ht="27" customHeight="1">
      <c r="A413" s="30" t="n"/>
      <c r="B413" s="31" t="n"/>
      <c r="C413" s="32" t="n"/>
      <c r="D413" s="32" t="n"/>
      <c r="E413" s="32" t="n"/>
      <c r="F413" s="32" t="n"/>
      <c r="G413" s="33">
        <f>IF(A413="","",IFERROR(INDEX(OffCat,MATCH(F413,OffList,0)),"Unlisted"))</f>
        <v/>
      </c>
      <c r="H413" s="30" t="n"/>
      <c r="I413" s="31" t="n"/>
      <c r="J413" s="34" t="n"/>
      <c r="K413" s="34" t="n"/>
      <c r="L413" s="34" t="n"/>
      <c r="M413" s="30" t="n"/>
      <c r="N413" s="30" t="n"/>
      <c r="O413" s="30" t="n"/>
      <c r="P413" s="30" t="n"/>
      <c r="Q413" s="31" t="n"/>
      <c r="R413" s="31" t="n"/>
      <c r="S413" s="31" t="n"/>
      <c r="T413" s="31" t="n"/>
      <c r="U413" s="31" t="n"/>
      <c r="V413" s="31" t="n"/>
      <c r="W413" s="30" t="n"/>
      <c r="X413" s="31" t="n"/>
      <c r="Y413" s="35" t="n"/>
      <c r="Z413" s="35" t="n"/>
      <c r="AA413" s="35" t="n"/>
      <c r="AB413" s="35" t="n"/>
      <c r="AC413" s="35" t="n"/>
      <c r="AD413" s="35" t="n"/>
      <c r="AE413" s="35" t="n"/>
      <c r="AF413" s="35" t="n"/>
      <c r="AG413" s="36">
        <f>IF(A413="","",IF(V413&lt;&gt;"",V413-B413,TODAY()-B413))</f>
        <v/>
      </c>
      <c r="AH413" s="36">
        <f>IF(OR(A413="",I413=""),"",MAX(0,IF(V413&lt;&gt;"",V413-I413,TODAY()-I413)))</f>
        <v/>
      </c>
      <c r="AI413" s="37">
        <f>IF(A413="","",IF(OR(K413="Closed",V413&lt;&gt;""),"Closed",IF(AH413&gt;=AgeCrit,"Critical",IF(AH413&gt;=AgeFu,"For Follow-up",IF(AH413&gt;=AgeMonitor,"Monitor","Within Standard")))))</f>
        <v/>
      </c>
      <c r="AJ413" s="38">
        <f>IF(A413="","",IFERROR(INDEX(StgPct,MATCH(H413,StgList,0)),0))</f>
        <v/>
      </c>
      <c r="AK413" s="38">
        <f>IF(A413="","",IFERROR(COUNTIF(Y413:AF413,"Y")/(COUNTIF(Y413:AF413,"Y")+COUNTIF(Y413:AF413,"N")),0))</f>
        <v/>
      </c>
      <c r="AL413" s="36">
        <f>IF(OR(A413="",X413=""),"",MAX(0,IF(V413&lt;&gt;"",V413,TODAY())-X413))</f>
        <v/>
      </c>
      <c r="AM413" s="32" t="n"/>
      <c r="AN413" s="33">
        <f>IF(A413="","",LOWER(AI413)&amp;"|"&amp;AH413&amp;"|"&amp;AJ413&amp;"|"&amp;AK413)</f>
        <v/>
      </c>
      <c r="AO413" s="33">
        <f>IF(OR(A413="",T413=""),"",T413-TODAY())</f>
        <v/>
      </c>
      <c r="AP413" s="33">
        <f>IF(OR(A413="",V413&lt;&gt;""),"",(TODAY()-B413)+ROW()/1000000)</f>
        <v/>
      </c>
    </row>
    <row r="414" ht="27" customHeight="1">
      <c r="A414" s="30" t="n"/>
      <c r="B414" s="31" t="n"/>
      <c r="C414" s="32" t="n"/>
      <c r="D414" s="32" t="n"/>
      <c r="E414" s="32" t="n"/>
      <c r="F414" s="32" t="n"/>
      <c r="G414" s="33">
        <f>IF(A414="","",IFERROR(INDEX(OffCat,MATCH(F414,OffList,0)),"Unlisted"))</f>
        <v/>
      </c>
      <c r="H414" s="30" t="n"/>
      <c r="I414" s="31" t="n"/>
      <c r="J414" s="34" t="n"/>
      <c r="K414" s="34" t="n"/>
      <c r="L414" s="34" t="n"/>
      <c r="M414" s="30" t="n"/>
      <c r="N414" s="30" t="n"/>
      <c r="O414" s="30" t="n"/>
      <c r="P414" s="30" t="n"/>
      <c r="Q414" s="31" t="n"/>
      <c r="R414" s="31" t="n"/>
      <c r="S414" s="31" t="n"/>
      <c r="T414" s="31" t="n"/>
      <c r="U414" s="31" t="n"/>
      <c r="V414" s="31" t="n"/>
      <c r="W414" s="30" t="n"/>
      <c r="X414" s="31" t="n"/>
      <c r="Y414" s="35" t="n"/>
      <c r="Z414" s="35" t="n"/>
      <c r="AA414" s="35" t="n"/>
      <c r="AB414" s="35" t="n"/>
      <c r="AC414" s="35" t="n"/>
      <c r="AD414" s="35" t="n"/>
      <c r="AE414" s="35" t="n"/>
      <c r="AF414" s="35" t="n"/>
      <c r="AG414" s="36">
        <f>IF(A414="","",IF(V414&lt;&gt;"",V414-B414,TODAY()-B414))</f>
        <v/>
      </c>
      <c r="AH414" s="36">
        <f>IF(OR(A414="",I414=""),"",MAX(0,IF(V414&lt;&gt;"",V414-I414,TODAY()-I414)))</f>
        <v/>
      </c>
      <c r="AI414" s="37">
        <f>IF(A414="","",IF(OR(K414="Closed",V414&lt;&gt;""),"Closed",IF(AH414&gt;=AgeCrit,"Critical",IF(AH414&gt;=AgeFu,"For Follow-up",IF(AH414&gt;=AgeMonitor,"Monitor","Within Standard")))))</f>
        <v/>
      </c>
      <c r="AJ414" s="38">
        <f>IF(A414="","",IFERROR(INDEX(StgPct,MATCH(H414,StgList,0)),0))</f>
        <v/>
      </c>
      <c r="AK414" s="38">
        <f>IF(A414="","",IFERROR(COUNTIF(Y414:AF414,"Y")/(COUNTIF(Y414:AF414,"Y")+COUNTIF(Y414:AF414,"N")),0))</f>
        <v/>
      </c>
      <c r="AL414" s="36">
        <f>IF(OR(A414="",X414=""),"",MAX(0,IF(V414&lt;&gt;"",V414,TODAY())-X414))</f>
        <v/>
      </c>
      <c r="AM414" s="32" t="n"/>
      <c r="AN414" s="33">
        <f>IF(A414="","",LOWER(AI414)&amp;"|"&amp;AH414&amp;"|"&amp;AJ414&amp;"|"&amp;AK414)</f>
        <v/>
      </c>
      <c r="AO414" s="33">
        <f>IF(OR(A414="",T414=""),"",T414-TODAY())</f>
        <v/>
      </c>
      <c r="AP414" s="33">
        <f>IF(OR(A414="",V414&lt;&gt;""),"",(TODAY()-B414)+ROW()/1000000)</f>
        <v/>
      </c>
    </row>
    <row r="415" ht="27" customHeight="1">
      <c r="A415" s="30" t="n"/>
      <c r="B415" s="31" t="n"/>
      <c r="C415" s="32" t="n"/>
      <c r="D415" s="32" t="n"/>
      <c r="E415" s="32" t="n"/>
      <c r="F415" s="32" t="n"/>
      <c r="G415" s="33">
        <f>IF(A415="","",IFERROR(INDEX(OffCat,MATCH(F415,OffList,0)),"Unlisted"))</f>
        <v/>
      </c>
      <c r="H415" s="30" t="n"/>
      <c r="I415" s="31" t="n"/>
      <c r="J415" s="34" t="n"/>
      <c r="K415" s="34" t="n"/>
      <c r="L415" s="34" t="n"/>
      <c r="M415" s="30" t="n"/>
      <c r="N415" s="30" t="n"/>
      <c r="O415" s="30" t="n"/>
      <c r="P415" s="30" t="n"/>
      <c r="Q415" s="31" t="n"/>
      <c r="R415" s="31" t="n"/>
      <c r="S415" s="31" t="n"/>
      <c r="T415" s="31" t="n"/>
      <c r="U415" s="31" t="n"/>
      <c r="V415" s="31" t="n"/>
      <c r="W415" s="30" t="n"/>
      <c r="X415" s="31" t="n"/>
      <c r="Y415" s="35" t="n"/>
      <c r="Z415" s="35" t="n"/>
      <c r="AA415" s="35" t="n"/>
      <c r="AB415" s="35" t="n"/>
      <c r="AC415" s="35" t="n"/>
      <c r="AD415" s="35" t="n"/>
      <c r="AE415" s="35" t="n"/>
      <c r="AF415" s="35" t="n"/>
      <c r="AG415" s="36">
        <f>IF(A415="","",IF(V415&lt;&gt;"",V415-B415,TODAY()-B415))</f>
        <v/>
      </c>
      <c r="AH415" s="36">
        <f>IF(OR(A415="",I415=""),"",MAX(0,IF(V415&lt;&gt;"",V415-I415,TODAY()-I415)))</f>
        <v/>
      </c>
      <c r="AI415" s="37">
        <f>IF(A415="","",IF(OR(K415="Closed",V415&lt;&gt;""),"Closed",IF(AH415&gt;=AgeCrit,"Critical",IF(AH415&gt;=AgeFu,"For Follow-up",IF(AH415&gt;=AgeMonitor,"Monitor","Within Standard")))))</f>
        <v/>
      </c>
      <c r="AJ415" s="38">
        <f>IF(A415="","",IFERROR(INDEX(StgPct,MATCH(H415,StgList,0)),0))</f>
        <v/>
      </c>
      <c r="AK415" s="38">
        <f>IF(A415="","",IFERROR(COUNTIF(Y415:AF415,"Y")/(COUNTIF(Y415:AF415,"Y")+COUNTIF(Y415:AF415,"N")),0))</f>
        <v/>
      </c>
      <c r="AL415" s="36">
        <f>IF(OR(A415="",X415=""),"",MAX(0,IF(V415&lt;&gt;"",V415,TODAY())-X415))</f>
        <v/>
      </c>
      <c r="AM415" s="32" t="n"/>
      <c r="AN415" s="33">
        <f>IF(A415="","",LOWER(AI415)&amp;"|"&amp;AH415&amp;"|"&amp;AJ415&amp;"|"&amp;AK415)</f>
        <v/>
      </c>
      <c r="AO415" s="33">
        <f>IF(OR(A415="",T415=""),"",T415-TODAY())</f>
        <v/>
      </c>
      <c r="AP415" s="33">
        <f>IF(OR(A415="",V415&lt;&gt;""),"",(TODAY()-B415)+ROW()/1000000)</f>
        <v/>
      </c>
    </row>
    <row r="416" ht="27" customHeight="1">
      <c r="A416" s="30" t="n"/>
      <c r="B416" s="31" t="n"/>
      <c r="C416" s="32" t="n"/>
      <c r="D416" s="32" t="n"/>
      <c r="E416" s="32" t="n"/>
      <c r="F416" s="32" t="n"/>
      <c r="G416" s="33">
        <f>IF(A416="","",IFERROR(INDEX(OffCat,MATCH(F416,OffList,0)),"Unlisted"))</f>
        <v/>
      </c>
      <c r="H416" s="30" t="n"/>
      <c r="I416" s="31" t="n"/>
      <c r="J416" s="34" t="n"/>
      <c r="K416" s="34" t="n"/>
      <c r="L416" s="34" t="n"/>
      <c r="M416" s="30" t="n"/>
      <c r="N416" s="30" t="n"/>
      <c r="O416" s="30" t="n"/>
      <c r="P416" s="30" t="n"/>
      <c r="Q416" s="31" t="n"/>
      <c r="R416" s="31" t="n"/>
      <c r="S416" s="31" t="n"/>
      <c r="T416" s="31" t="n"/>
      <c r="U416" s="31" t="n"/>
      <c r="V416" s="31" t="n"/>
      <c r="W416" s="30" t="n"/>
      <c r="X416" s="31" t="n"/>
      <c r="Y416" s="35" t="n"/>
      <c r="Z416" s="35" t="n"/>
      <c r="AA416" s="35" t="n"/>
      <c r="AB416" s="35" t="n"/>
      <c r="AC416" s="35" t="n"/>
      <c r="AD416" s="35" t="n"/>
      <c r="AE416" s="35" t="n"/>
      <c r="AF416" s="35" t="n"/>
      <c r="AG416" s="36">
        <f>IF(A416="","",IF(V416&lt;&gt;"",V416-B416,TODAY()-B416))</f>
        <v/>
      </c>
      <c r="AH416" s="36">
        <f>IF(OR(A416="",I416=""),"",MAX(0,IF(V416&lt;&gt;"",V416-I416,TODAY()-I416)))</f>
        <v/>
      </c>
      <c r="AI416" s="37">
        <f>IF(A416="","",IF(OR(K416="Closed",V416&lt;&gt;""),"Closed",IF(AH416&gt;=AgeCrit,"Critical",IF(AH416&gt;=AgeFu,"For Follow-up",IF(AH416&gt;=AgeMonitor,"Monitor","Within Standard")))))</f>
        <v/>
      </c>
      <c r="AJ416" s="38">
        <f>IF(A416="","",IFERROR(INDEX(StgPct,MATCH(H416,StgList,0)),0))</f>
        <v/>
      </c>
      <c r="AK416" s="38">
        <f>IF(A416="","",IFERROR(COUNTIF(Y416:AF416,"Y")/(COUNTIF(Y416:AF416,"Y")+COUNTIF(Y416:AF416,"N")),0))</f>
        <v/>
      </c>
      <c r="AL416" s="36">
        <f>IF(OR(A416="",X416=""),"",MAX(0,IF(V416&lt;&gt;"",V416,TODAY())-X416))</f>
        <v/>
      </c>
      <c r="AM416" s="32" t="n"/>
      <c r="AN416" s="33">
        <f>IF(A416="","",LOWER(AI416)&amp;"|"&amp;AH416&amp;"|"&amp;AJ416&amp;"|"&amp;AK416)</f>
        <v/>
      </c>
      <c r="AO416" s="33">
        <f>IF(OR(A416="",T416=""),"",T416-TODAY())</f>
        <v/>
      </c>
      <c r="AP416" s="33">
        <f>IF(OR(A416="",V416&lt;&gt;""),"",(TODAY()-B416)+ROW()/1000000)</f>
        <v/>
      </c>
    </row>
    <row r="417" ht="27" customHeight="1">
      <c r="A417" s="30" t="n"/>
      <c r="B417" s="31" t="n"/>
      <c r="C417" s="32" t="n"/>
      <c r="D417" s="32" t="n"/>
      <c r="E417" s="32" t="n"/>
      <c r="F417" s="32" t="n"/>
      <c r="G417" s="33">
        <f>IF(A417="","",IFERROR(INDEX(OffCat,MATCH(F417,OffList,0)),"Unlisted"))</f>
        <v/>
      </c>
      <c r="H417" s="30" t="n"/>
      <c r="I417" s="31" t="n"/>
      <c r="J417" s="34" t="n"/>
      <c r="K417" s="34" t="n"/>
      <c r="L417" s="34" t="n"/>
      <c r="M417" s="30" t="n"/>
      <c r="N417" s="30" t="n"/>
      <c r="O417" s="30" t="n"/>
      <c r="P417" s="30" t="n"/>
      <c r="Q417" s="31" t="n"/>
      <c r="R417" s="31" t="n"/>
      <c r="S417" s="31" t="n"/>
      <c r="T417" s="31" t="n"/>
      <c r="U417" s="31" t="n"/>
      <c r="V417" s="31" t="n"/>
      <c r="W417" s="30" t="n"/>
      <c r="X417" s="31" t="n"/>
      <c r="Y417" s="35" t="n"/>
      <c r="Z417" s="35" t="n"/>
      <c r="AA417" s="35" t="n"/>
      <c r="AB417" s="35" t="n"/>
      <c r="AC417" s="35" t="n"/>
      <c r="AD417" s="35" t="n"/>
      <c r="AE417" s="35" t="n"/>
      <c r="AF417" s="35" t="n"/>
      <c r="AG417" s="36">
        <f>IF(A417="","",IF(V417&lt;&gt;"",V417-B417,TODAY()-B417))</f>
        <v/>
      </c>
      <c r="AH417" s="36">
        <f>IF(OR(A417="",I417=""),"",MAX(0,IF(V417&lt;&gt;"",V417-I417,TODAY()-I417)))</f>
        <v/>
      </c>
      <c r="AI417" s="37">
        <f>IF(A417="","",IF(OR(K417="Closed",V417&lt;&gt;""),"Closed",IF(AH417&gt;=AgeCrit,"Critical",IF(AH417&gt;=AgeFu,"For Follow-up",IF(AH417&gt;=AgeMonitor,"Monitor","Within Standard")))))</f>
        <v/>
      </c>
      <c r="AJ417" s="38">
        <f>IF(A417="","",IFERROR(INDEX(StgPct,MATCH(H417,StgList,0)),0))</f>
        <v/>
      </c>
      <c r="AK417" s="38">
        <f>IF(A417="","",IFERROR(COUNTIF(Y417:AF417,"Y")/(COUNTIF(Y417:AF417,"Y")+COUNTIF(Y417:AF417,"N")),0))</f>
        <v/>
      </c>
      <c r="AL417" s="36">
        <f>IF(OR(A417="",X417=""),"",MAX(0,IF(V417&lt;&gt;"",V417,TODAY())-X417))</f>
        <v/>
      </c>
      <c r="AM417" s="32" t="n"/>
      <c r="AN417" s="33">
        <f>IF(A417="","",LOWER(AI417)&amp;"|"&amp;AH417&amp;"|"&amp;AJ417&amp;"|"&amp;AK417)</f>
        <v/>
      </c>
      <c r="AO417" s="33">
        <f>IF(OR(A417="",T417=""),"",T417-TODAY())</f>
        <v/>
      </c>
      <c r="AP417" s="33">
        <f>IF(OR(A417="",V417&lt;&gt;""),"",(TODAY()-B417)+ROW()/1000000)</f>
        <v/>
      </c>
    </row>
    <row r="418" ht="27" customHeight="1">
      <c r="A418" s="30" t="n"/>
      <c r="B418" s="31" t="n"/>
      <c r="C418" s="32" t="n"/>
      <c r="D418" s="32" t="n"/>
      <c r="E418" s="32" t="n"/>
      <c r="F418" s="32" t="n"/>
      <c r="G418" s="33">
        <f>IF(A418="","",IFERROR(INDEX(OffCat,MATCH(F418,OffList,0)),"Unlisted"))</f>
        <v/>
      </c>
      <c r="H418" s="30" t="n"/>
      <c r="I418" s="31" t="n"/>
      <c r="J418" s="34" t="n"/>
      <c r="K418" s="34" t="n"/>
      <c r="L418" s="34" t="n"/>
      <c r="M418" s="30" t="n"/>
      <c r="N418" s="30" t="n"/>
      <c r="O418" s="30" t="n"/>
      <c r="P418" s="30" t="n"/>
      <c r="Q418" s="31" t="n"/>
      <c r="R418" s="31" t="n"/>
      <c r="S418" s="31" t="n"/>
      <c r="T418" s="31" t="n"/>
      <c r="U418" s="31" t="n"/>
      <c r="V418" s="31" t="n"/>
      <c r="W418" s="30" t="n"/>
      <c r="X418" s="31" t="n"/>
      <c r="Y418" s="35" t="n"/>
      <c r="Z418" s="35" t="n"/>
      <c r="AA418" s="35" t="n"/>
      <c r="AB418" s="35" t="n"/>
      <c r="AC418" s="35" t="n"/>
      <c r="AD418" s="35" t="n"/>
      <c r="AE418" s="35" t="n"/>
      <c r="AF418" s="35" t="n"/>
      <c r="AG418" s="36">
        <f>IF(A418="","",IF(V418&lt;&gt;"",V418-B418,TODAY()-B418))</f>
        <v/>
      </c>
      <c r="AH418" s="36">
        <f>IF(OR(A418="",I418=""),"",MAX(0,IF(V418&lt;&gt;"",V418-I418,TODAY()-I418)))</f>
        <v/>
      </c>
      <c r="AI418" s="37">
        <f>IF(A418="","",IF(OR(K418="Closed",V418&lt;&gt;""),"Closed",IF(AH418&gt;=AgeCrit,"Critical",IF(AH418&gt;=AgeFu,"For Follow-up",IF(AH418&gt;=AgeMonitor,"Monitor","Within Standard")))))</f>
        <v/>
      </c>
      <c r="AJ418" s="38">
        <f>IF(A418="","",IFERROR(INDEX(StgPct,MATCH(H418,StgList,0)),0))</f>
        <v/>
      </c>
      <c r="AK418" s="38">
        <f>IF(A418="","",IFERROR(COUNTIF(Y418:AF418,"Y")/(COUNTIF(Y418:AF418,"Y")+COUNTIF(Y418:AF418,"N")),0))</f>
        <v/>
      </c>
      <c r="AL418" s="36">
        <f>IF(OR(A418="",X418=""),"",MAX(0,IF(V418&lt;&gt;"",V418,TODAY())-X418))</f>
        <v/>
      </c>
      <c r="AM418" s="32" t="n"/>
      <c r="AN418" s="33">
        <f>IF(A418="","",LOWER(AI418)&amp;"|"&amp;AH418&amp;"|"&amp;AJ418&amp;"|"&amp;AK418)</f>
        <v/>
      </c>
      <c r="AO418" s="33">
        <f>IF(OR(A418="",T418=""),"",T418-TODAY())</f>
        <v/>
      </c>
      <c r="AP418" s="33">
        <f>IF(OR(A418="",V418&lt;&gt;""),"",(TODAY()-B418)+ROW()/1000000)</f>
        <v/>
      </c>
    </row>
    <row r="419" ht="27" customHeight="1">
      <c r="A419" s="30" t="n"/>
      <c r="B419" s="31" t="n"/>
      <c r="C419" s="32" t="n"/>
      <c r="D419" s="32" t="n"/>
      <c r="E419" s="32" t="n"/>
      <c r="F419" s="32" t="n"/>
      <c r="G419" s="33">
        <f>IF(A419="","",IFERROR(INDEX(OffCat,MATCH(F419,OffList,0)),"Unlisted"))</f>
        <v/>
      </c>
      <c r="H419" s="30" t="n"/>
      <c r="I419" s="31" t="n"/>
      <c r="J419" s="34" t="n"/>
      <c r="K419" s="34" t="n"/>
      <c r="L419" s="34" t="n"/>
      <c r="M419" s="30" t="n"/>
      <c r="N419" s="30" t="n"/>
      <c r="O419" s="30" t="n"/>
      <c r="P419" s="30" t="n"/>
      <c r="Q419" s="31" t="n"/>
      <c r="R419" s="31" t="n"/>
      <c r="S419" s="31" t="n"/>
      <c r="T419" s="31" t="n"/>
      <c r="U419" s="31" t="n"/>
      <c r="V419" s="31" t="n"/>
      <c r="W419" s="30" t="n"/>
      <c r="X419" s="31" t="n"/>
      <c r="Y419" s="35" t="n"/>
      <c r="Z419" s="35" t="n"/>
      <c r="AA419" s="35" t="n"/>
      <c r="AB419" s="35" t="n"/>
      <c r="AC419" s="35" t="n"/>
      <c r="AD419" s="35" t="n"/>
      <c r="AE419" s="35" t="n"/>
      <c r="AF419" s="35" t="n"/>
      <c r="AG419" s="36">
        <f>IF(A419="","",IF(V419&lt;&gt;"",V419-B419,TODAY()-B419))</f>
        <v/>
      </c>
      <c r="AH419" s="36">
        <f>IF(OR(A419="",I419=""),"",MAX(0,IF(V419&lt;&gt;"",V419-I419,TODAY()-I419)))</f>
        <v/>
      </c>
      <c r="AI419" s="37">
        <f>IF(A419="","",IF(OR(K419="Closed",V419&lt;&gt;""),"Closed",IF(AH419&gt;=AgeCrit,"Critical",IF(AH419&gt;=AgeFu,"For Follow-up",IF(AH419&gt;=AgeMonitor,"Monitor","Within Standard")))))</f>
        <v/>
      </c>
      <c r="AJ419" s="38">
        <f>IF(A419="","",IFERROR(INDEX(StgPct,MATCH(H419,StgList,0)),0))</f>
        <v/>
      </c>
      <c r="AK419" s="38">
        <f>IF(A419="","",IFERROR(COUNTIF(Y419:AF419,"Y")/(COUNTIF(Y419:AF419,"Y")+COUNTIF(Y419:AF419,"N")),0))</f>
        <v/>
      </c>
      <c r="AL419" s="36">
        <f>IF(OR(A419="",X419=""),"",MAX(0,IF(V419&lt;&gt;"",V419,TODAY())-X419))</f>
        <v/>
      </c>
      <c r="AM419" s="32" t="n"/>
      <c r="AN419" s="33">
        <f>IF(A419="","",LOWER(AI419)&amp;"|"&amp;AH419&amp;"|"&amp;AJ419&amp;"|"&amp;AK419)</f>
        <v/>
      </c>
      <c r="AO419" s="33">
        <f>IF(OR(A419="",T419=""),"",T419-TODAY())</f>
        <v/>
      </c>
      <c r="AP419" s="33">
        <f>IF(OR(A419="",V419&lt;&gt;""),"",(TODAY()-B419)+ROW()/1000000)</f>
        <v/>
      </c>
    </row>
    <row r="420" ht="27" customHeight="1">
      <c r="A420" s="30" t="n"/>
      <c r="B420" s="31" t="n"/>
      <c r="C420" s="32" t="n"/>
      <c r="D420" s="32" t="n"/>
      <c r="E420" s="32" t="n"/>
      <c r="F420" s="32" t="n"/>
      <c r="G420" s="33">
        <f>IF(A420="","",IFERROR(INDEX(OffCat,MATCH(F420,OffList,0)),"Unlisted"))</f>
        <v/>
      </c>
      <c r="H420" s="30" t="n"/>
      <c r="I420" s="31" t="n"/>
      <c r="J420" s="34" t="n"/>
      <c r="K420" s="34" t="n"/>
      <c r="L420" s="34" t="n"/>
      <c r="M420" s="30" t="n"/>
      <c r="N420" s="30" t="n"/>
      <c r="O420" s="30" t="n"/>
      <c r="P420" s="30" t="n"/>
      <c r="Q420" s="31" t="n"/>
      <c r="R420" s="31" t="n"/>
      <c r="S420" s="31" t="n"/>
      <c r="T420" s="31" t="n"/>
      <c r="U420" s="31" t="n"/>
      <c r="V420" s="31" t="n"/>
      <c r="W420" s="30" t="n"/>
      <c r="X420" s="31" t="n"/>
      <c r="Y420" s="35" t="n"/>
      <c r="Z420" s="35" t="n"/>
      <c r="AA420" s="35" t="n"/>
      <c r="AB420" s="35" t="n"/>
      <c r="AC420" s="35" t="n"/>
      <c r="AD420" s="35" t="n"/>
      <c r="AE420" s="35" t="n"/>
      <c r="AF420" s="35" t="n"/>
      <c r="AG420" s="36">
        <f>IF(A420="","",IF(V420&lt;&gt;"",V420-B420,TODAY()-B420))</f>
        <v/>
      </c>
      <c r="AH420" s="36">
        <f>IF(OR(A420="",I420=""),"",MAX(0,IF(V420&lt;&gt;"",V420-I420,TODAY()-I420)))</f>
        <v/>
      </c>
      <c r="AI420" s="37">
        <f>IF(A420="","",IF(OR(K420="Closed",V420&lt;&gt;""),"Closed",IF(AH420&gt;=AgeCrit,"Critical",IF(AH420&gt;=AgeFu,"For Follow-up",IF(AH420&gt;=AgeMonitor,"Monitor","Within Standard")))))</f>
        <v/>
      </c>
      <c r="AJ420" s="38">
        <f>IF(A420="","",IFERROR(INDEX(StgPct,MATCH(H420,StgList,0)),0))</f>
        <v/>
      </c>
      <c r="AK420" s="38">
        <f>IF(A420="","",IFERROR(COUNTIF(Y420:AF420,"Y")/(COUNTIF(Y420:AF420,"Y")+COUNTIF(Y420:AF420,"N")),0))</f>
        <v/>
      </c>
      <c r="AL420" s="36">
        <f>IF(OR(A420="",X420=""),"",MAX(0,IF(V420&lt;&gt;"",V420,TODAY())-X420))</f>
        <v/>
      </c>
      <c r="AM420" s="32" t="n"/>
      <c r="AN420" s="33">
        <f>IF(A420="","",LOWER(AI420)&amp;"|"&amp;AH420&amp;"|"&amp;AJ420&amp;"|"&amp;AK420)</f>
        <v/>
      </c>
      <c r="AO420" s="33">
        <f>IF(OR(A420="",T420=""),"",T420-TODAY())</f>
        <v/>
      </c>
      <c r="AP420" s="33">
        <f>IF(OR(A420="",V420&lt;&gt;""),"",(TODAY()-B420)+ROW()/1000000)</f>
        <v/>
      </c>
    </row>
    <row r="421" ht="27" customHeight="1">
      <c r="A421" s="30" t="n"/>
      <c r="B421" s="31" t="n"/>
      <c r="C421" s="32" t="n"/>
      <c r="D421" s="32" t="n"/>
      <c r="E421" s="32" t="n"/>
      <c r="F421" s="32" t="n"/>
      <c r="G421" s="33">
        <f>IF(A421="","",IFERROR(INDEX(OffCat,MATCH(F421,OffList,0)),"Unlisted"))</f>
        <v/>
      </c>
      <c r="H421" s="30" t="n"/>
      <c r="I421" s="31" t="n"/>
      <c r="J421" s="34" t="n"/>
      <c r="K421" s="34" t="n"/>
      <c r="L421" s="34" t="n"/>
      <c r="M421" s="30" t="n"/>
      <c r="N421" s="30" t="n"/>
      <c r="O421" s="30" t="n"/>
      <c r="P421" s="30" t="n"/>
      <c r="Q421" s="31" t="n"/>
      <c r="R421" s="31" t="n"/>
      <c r="S421" s="31" t="n"/>
      <c r="T421" s="31" t="n"/>
      <c r="U421" s="31" t="n"/>
      <c r="V421" s="31" t="n"/>
      <c r="W421" s="30" t="n"/>
      <c r="X421" s="31" t="n"/>
      <c r="Y421" s="35" t="n"/>
      <c r="Z421" s="35" t="n"/>
      <c r="AA421" s="35" t="n"/>
      <c r="AB421" s="35" t="n"/>
      <c r="AC421" s="35" t="n"/>
      <c r="AD421" s="35" t="n"/>
      <c r="AE421" s="35" t="n"/>
      <c r="AF421" s="35" t="n"/>
      <c r="AG421" s="36">
        <f>IF(A421="","",IF(V421&lt;&gt;"",V421-B421,TODAY()-B421))</f>
        <v/>
      </c>
      <c r="AH421" s="36">
        <f>IF(OR(A421="",I421=""),"",MAX(0,IF(V421&lt;&gt;"",V421-I421,TODAY()-I421)))</f>
        <v/>
      </c>
      <c r="AI421" s="37">
        <f>IF(A421="","",IF(OR(K421="Closed",V421&lt;&gt;""),"Closed",IF(AH421&gt;=AgeCrit,"Critical",IF(AH421&gt;=AgeFu,"For Follow-up",IF(AH421&gt;=AgeMonitor,"Monitor","Within Standard")))))</f>
        <v/>
      </c>
      <c r="AJ421" s="38">
        <f>IF(A421="","",IFERROR(INDEX(StgPct,MATCH(H421,StgList,0)),0))</f>
        <v/>
      </c>
      <c r="AK421" s="38">
        <f>IF(A421="","",IFERROR(COUNTIF(Y421:AF421,"Y")/(COUNTIF(Y421:AF421,"Y")+COUNTIF(Y421:AF421,"N")),0))</f>
        <v/>
      </c>
      <c r="AL421" s="36">
        <f>IF(OR(A421="",X421=""),"",MAX(0,IF(V421&lt;&gt;"",V421,TODAY())-X421))</f>
        <v/>
      </c>
      <c r="AM421" s="32" t="n"/>
      <c r="AN421" s="33">
        <f>IF(A421="","",LOWER(AI421)&amp;"|"&amp;AH421&amp;"|"&amp;AJ421&amp;"|"&amp;AK421)</f>
        <v/>
      </c>
      <c r="AO421" s="33">
        <f>IF(OR(A421="",T421=""),"",T421-TODAY())</f>
        <v/>
      </c>
      <c r="AP421" s="33">
        <f>IF(OR(A421="",V421&lt;&gt;""),"",(TODAY()-B421)+ROW()/1000000)</f>
        <v/>
      </c>
    </row>
    <row r="422" ht="27" customHeight="1">
      <c r="A422" s="30" t="n"/>
      <c r="B422" s="31" t="n"/>
      <c r="C422" s="32" t="n"/>
      <c r="D422" s="32" t="n"/>
      <c r="E422" s="32" t="n"/>
      <c r="F422" s="32" t="n"/>
      <c r="G422" s="33">
        <f>IF(A422="","",IFERROR(INDEX(OffCat,MATCH(F422,OffList,0)),"Unlisted"))</f>
        <v/>
      </c>
      <c r="H422" s="30" t="n"/>
      <c r="I422" s="31" t="n"/>
      <c r="J422" s="34" t="n"/>
      <c r="K422" s="34" t="n"/>
      <c r="L422" s="34" t="n"/>
      <c r="M422" s="30" t="n"/>
      <c r="N422" s="30" t="n"/>
      <c r="O422" s="30" t="n"/>
      <c r="P422" s="30" t="n"/>
      <c r="Q422" s="31" t="n"/>
      <c r="R422" s="31" t="n"/>
      <c r="S422" s="31" t="n"/>
      <c r="T422" s="31" t="n"/>
      <c r="U422" s="31" t="n"/>
      <c r="V422" s="31" t="n"/>
      <c r="W422" s="30" t="n"/>
      <c r="X422" s="31" t="n"/>
      <c r="Y422" s="35" t="n"/>
      <c r="Z422" s="35" t="n"/>
      <c r="AA422" s="35" t="n"/>
      <c r="AB422" s="35" t="n"/>
      <c r="AC422" s="35" t="n"/>
      <c r="AD422" s="35" t="n"/>
      <c r="AE422" s="35" t="n"/>
      <c r="AF422" s="35" t="n"/>
      <c r="AG422" s="36">
        <f>IF(A422="","",IF(V422&lt;&gt;"",V422-B422,TODAY()-B422))</f>
        <v/>
      </c>
      <c r="AH422" s="36">
        <f>IF(OR(A422="",I422=""),"",MAX(0,IF(V422&lt;&gt;"",V422-I422,TODAY()-I422)))</f>
        <v/>
      </c>
      <c r="AI422" s="37">
        <f>IF(A422="","",IF(OR(K422="Closed",V422&lt;&gt;""),"Closed",IF(AH422&gt;=AgeCrit,"Critical",IF(AH422&gt;=AgeFu,"For Follow-up",IF(AH422&gt;=AgeMonitor,"Monitor","Within Standard")))))</f>
        <v/>
      </c>
      <c r="AJ422" s="38">
        <f>IF(A422="","",IFERROR(INDEX(StgPct,MATCH(H422,StgList,0)),0))</f>
        <v/>
      </c>
      <c r="AK422" s="38">
        <f>IF(A422="","",IFERROR(COUNTIF(Y422:AF422,"Y")/(COUNTIF(Y422:AF422,"Y")+COUNTIF(Y422:AF422,"N")),0))</f>
        <v/>
      </c>
      <c r="AL422" s="36">
        <f>IF(OR(A422="",X422=""),"",MAX(0,IF(V422&lt;&gt;"",V422,TODAY())-X422))</f>
        <v/>
      </c>
      <c r="AM422" s="32" t="n"/>
      <c r="AN422" s="33">
        <f>IF(A422="","",LOWER(AI422)&amp;"|"&amp;AH422&amp;"|"&amp;AJ422&amp;"|"&amp;AK422)</f>
        <v/>
      </c>
      <c r="AO422" s="33">
        <f>IF(OR(A422="",T422=""),"",T422-TODAY())</f>
        <v/>
      </c>
      <c r="AP422" s="33">
        <f>IF(OR(A422="",V422&lt;&gt;""),"",(TODAY()-B422)+ROW()/1000000)</f>
        <v/>
      </c>
    </row>
    <row r="423" ht="27" customHeight="1">
      <c r="A423" s="30" t="n"/>
      <c r="B423" s="31" t="n"/>
      <c r="C423" s="32" t="n"/>
      <c r="D423" s="32" t="n"/>
      <c r="E423" s="32" t="n"/>
      <c r="F423" s="32" t="n"/>
      <c r="G423" s="33">
        <f>IF(A423="","",IFERROR(INDEX(OffCat,MATCH(F423,OffList,0)),"Unlisted"))</f>
        <v/>
      </c>
      <c r="H423" s="30" t="n"/>
      <c r="I423" s="31" t="n"/>
      <c r="J423" s="34" t="n"/>
      <c r="K423" s="34" t="n"/>
      <c r="L423" s="34" t="n"/>
      <c r="M423" s="30" t="n"/>
      <c r="N423" s="30" t="n"/>
      <c r="O423" s="30" t="n"/>
      <c r="P423" s="30" t="n"/>
      <c r="Q423" s="31" t="n"/>
      <c r="R423" s="31" t="n"/>
      <c r="S423" s="31" t="n"/>
      <c r="T423" s="31" t="n"/>
      <c r="U423" s="31" t="n"/>
      <c r="V423" s="31" t="n"/>
      <c r="W423" s="30" t="n"/>
      <c r="X423" s="31" t="n"/>
      <c r="Y423" s="35" t="n"/>
      <c r="Z423" s="35" t="n"/>
      <c r="AA423" s="35" t="n"/>
      <c r="AB423" s="35" t="n"/>
      <c r="AC423" s="35" t="n"/>
      <c r="AD423" s="35" t="n"/>
      <c r="AE423" s="35" t="n"/>
      <c r="AF423" s="35" t="n"/>
      <c r="AG423" s="36">
        <f>IF(A423="","",IF(V423&lt;&gt;"",V423-B423,TODAY()-B423))</f>
        <v/>
      </c>
      <c r="AH423" s="36">
        <f>IF(OR(A423="",I423=""),"",MAX(0,IF(V423&lt;&gt;"",V423-I423,TODAY()-I423)))</f>
        <v/>
      </c>
      <c r="AI423" s="37">
        <f>IF(A423="","",IF(OR(K423="Closed",V423&lt;&gt;""),"Closed",IF(AH423&gt;=AgeCrit,"Critical",IF(AH423&gt;=AgeFu,"For Follow-up",IF(AH423&gt;=AgeMonitor,"Monitor","Within Standard")))))</f>
        <v/>
      </c>
      <c r="AJ423" s="38">
        <f>IF(A423="","",IFERROR(INDEX(StgPct,MATCH(H423,StgList,0)),0))</f>
        <v/>
      </c>
      <c r="AK423" s="38">
        <f>IF(A423="","",IFERROR(COUNTIF(Y423:AF423,"Y")/(COUNTIF(Y423:AF423,"Y")+COUNTIF(Y423:AF423,"N")),0))</f>
        <v/>
      </c>
      <c r="AL423" s="36">
        <f>IF(OR(A423="",X423=""),"",MAX(0,IF(V423&lt;&gt;"",V423,TODAY())-X423))</f>
        <v/>
      </c>
      <c r="AM423" s="32" t="n"/>
      <c r="AN423" s="33">
        <f>IF(A423="","",LOWER(AI423)&amp;"|"&amp;AH423&amp;"|"&amp;AJ423&amp;"|"&amp;AK423)</f>
        <v/>
      </c>
      <c r="AO423" s="33">
        <f>IF(OR(A423="",T423=""),"",T423-TODAY())</f>
        <v/>
      </c>
      <c r="AP423" s="33">
        <f>IF(OR(A423="",V423&lt;&gt;""),"",(TODAY()-B423)+ROW()/1000000)</f>
        <v/>
      </c>
    </row>
    <row r="424" ht="27" customHeight="1">
      <c r="A424" s="30" t="n"/>
      <c r="B424" s="31" t="n"/>
      <c r="C424" s="32" t="n"/>
      <c r="D424" s="32" t="n"/>
      <c r="E424" s="32" t="n"/>
      <c r="F424" s="32" t="n"/>
      <c r="G424" s="33">
        <f>IF(A424="","",IFERROR(INDEX(OffCat,MATCH(F424,OffList,0)),"Unlisted"))</f>
        <v/>
      </c>
      <c r="H424" s="30" t="n"/>
      <c r="I424" s="31" t="n"/>
      <c r="J424" s="34" t="n"/>
      <c r="K424" s="34" t="n"/>
      <c r="L424" s="34" t="n"/>
      <c r="M424" s="30" t="n"/>
      <c r="N424" s="30" t="n"/>
      <c r="O424" s="30" t="n"/>
      <c r="P424" s="30" t="n"/>
      <c r="Q424" s="31" t="n"/>
      <c r="R424" s="31" t="n"/>
      <c r="S424" s="31" t="n"/>
      <c r="T424" s="31" t="n"/>
      <c r="U424" s="31" t="n"/>
      <c r="V424" s="31" t="n"/>
      <c r="W424" s="30" t="n"/>
      <c r="X424" s="31" t="n"/>
      <c r="Y424" s="35" t="n"/>
      <c r="Z424" s="35" t="n"/>
      <c r="AA424" s="35" t="n"/>
      <c r="AB424" s="35" t="n"/>
      <c r="AC424" s="35" t="n"/>
      <c r="AD424" s="35" t="n"/>
      <c r="AE424" s="35" t="n"/>
      <c r="AF424" s="35" t="n"/>
      <c r="AG424" s="36">
        <f>IF(A424="","",IF(V424&lt;&gt;"",V424-B424,TODAY()-B424))</f>
        <v/>
      </c>
      <c r="AH424" s="36">
        <f>IF(OR(A424="",I424=""),"",MAX(0,IF(V424&lt;&gt;"",V424-I424,TODAY()-I424)))</f>
        <v/>
      </c>
      <c r="AI424" s="37">
        <f>IF(A424="","",IF(OR(K424="Closed",V424&lt;&gt;""),"Closed",IF(AH424&gt;=AgeCrit,"Critical",IF(AH424&gt;=AgeFu,"For Follow-up",IF(AH424&gt;=AgeMonitor,"Monitor","Within Standard")))))</f>
        <v/>
      </c>
      <c r="AJ424" s="38">
        <f>IF(A424="","",IFERROR(INDEX(StgPct,MATCH(H424,StgList,0)),0))</f>
        <v/>
      </c>
      <c r="AK424" s="38">
        <f>IF(A424="","",IFERROR(COUNTIF(Y424:AF424,"Y")/(COUNTIF(Y424:AF424,"Y")+COUNTIF(Y424:AF424,"N")),0))</f>
        <v/>
      </c>
      <c r="AL424" s="36">
        <f>IF(OR(A424="",X424=""),"",MAX(0,IF(V424&lt;&gt;"",V424,TODAY())-X424))</f>
        <v/>
      </c>
      <c r="AM424" s="32" t="n"/>
      <c r="AN424" s="33">
        <f>IF(A424="","",LOWER(AI424)&amp;"|"&amp;AH424&amp;"|"&amp;AJ424&amp;"|"&amp;AK424)</f>
        <v/>
      </c>
      <c r="AO424" s="33">
        <f>IF(OR(A424="",T424=""),"",T424-TODAY())</f>
        <v/>
      </c>
      <c r="AP424" s="33">
        <f>IF(OR(A424="",V424&lt;&gt;""),"",(TODAY()-B424)+ROW()/1000000)</f>
        <v/>
      </c>
    </row>
    <row r="425" ht="27" customHeight="1">
      <c r="A425" s="30" t="n"/>
      <c r="B425" s="31" t="n"/>
      <c r="C425" s="32" t="n"/>
      <c r="D425" s="32" t="n"/>
      <c r="E425" s="32" t="n"/>
      <c r="F425" s="32" t="n"/>
      <c r="G425" s="33">
        <f>IF(A425="","",IFERROR(INDEX(OffCat,MATCH(F425,OffList,0)),"Unlisted"))</f>
        <v/>
      </c>
      <c r="H425" s="30" t="n"/>
      <c r="I425" s="31" t="n"/>
      <c r="J425" s="34" t="n"/>
      <c r="K425" s="34" t="n"/>
      <c r="L425" s="34" t="n"/>
      <c r="M425" s="30" t="n"/>
      <c r="N425" s="30" t="n"/>
      <c r="O425" s="30" t="n"/>
      <c r="P425" s="30" t="n"/>
      <c r="Q425" s="31" t="n"/>
      <c r="R425" s="31" t="n"/>
      <c r="S425" s="31" t="n"/>
      <c r="T425" s="31" t="n"/>
      <c r="U425" s="31" t="n"/>
      <c r="V425" s="31" t="n"/>
      <c r="W425" s="30" t="n"/>
      <c r="X425" s="31" t="n"/>
      <c r="Y425" s="35" t="n"/>
      <c r="Z425" s="35" t="n"/>
      <c r="AA425" s="35" t="n"/>
      <c r="AB425" s="35" t="n"/>
      <c r="AC425" s="35" t="n"/>
      <c r="AD425" s="35" t="n"/>
      <c r="AE425" s="35" t="n"/>
      <c r="AF425" s="35" t="n"/>
      <c r="AG425" s="36">
        <f>IF(A425="","",IF(V425&lt;&gt;"",V425-B425,TODAY()-B425))</f>
        <v/>
      </c>
      <c r="AH425" s="36">
        <f>IF(OR(A425="",I425=""),"",MAX(0,IF(V425&lt;&gt;"",V425-I425,TODAY()-I425)))</f>
        <v/>
      </c>
      <c r="AI425" s="37">
        <f>IF(A425="","",IF(OR(K425="Closed",V425&lt;&gt;""),"Closed",IF(AH425&gt;=AgeCrit,"Critical",IF(AH425&gt;=AgeFu,"For Follow-up",IF(AH425&gt;=AgeMonitor,"Monitor","Within Standard")))))</f>
        <v/>
      </c>
      <c r="AJ425" s="38">
        <f>IF(A425="","",IFERROR(INDEX(StgPct,MATCH(H425,StgList,0)),0))</f>
        <v/>
      </c>
      <c r="AK425" s="38">
        <f>IF(A425="","",IFERROR(COUNTIF(Y425:AF425,"Y")/(COUNTIF(Y425:AF425,"Y")+COUNTIF(Y425:AF425,"N")),0))</f>
        <v/>
      </c>
      <c r="AL425" s="36">
        <f>IF(OR(A425="",X425=""),"",MAX(0,IF(V425&lt;&gt;"",V425,TODAY())-X425))</f>
        <v/>
      </c>
      <c r="AM425" s="32" t="n"/>
      <c r="AN425" s="33">
        <f>IF(A425="","",LOWER(AI425)&amp;"|"&amp;AH425&amp;"|"&amp;AJ425&amp;"|"&amp;AK425)</f>
        <v/>
      </c>
      <c r="AO425" s="33">
        <f>IF(OR(A425="",T425=""),"",T425-TODAY())</f>
        <v/>
      </c>
      <c r="AP425" s="33">
        <f>IF(OR(A425="",V425&lt;&gt;""),"",(TODAY()-B425)+ROW()/1000000)</f>
        <v/>
      </c>
    </row>
    <row r="426" ht="27" customHeight="1">
      <c r="A426" s="30" t="n"/>
      <c r="B426" s="31" t="n"/>
      <c r="C426" s="32" t="n"/>
      <c r="D426" s="32" t="n"/>
      <c r="E426" s="32" t="n"/>
      <c r="F426" s="32" t="n"/>
      <c r="G426" s="33">
        <f>IF(A426="","",IFERROR(INDEX(OffCat,MATCH(F426,OffList,0)),"Unlisted"))</f>
        <v/>
      </c>
      <c r="H426" s="30" t="n"/>
      <c r="I426" s="31" t="n"/>
      <c r="J426" s="34" t="n"/>
      <c r="K426" s="34" t="n"/>
      <c r="L426" s="34" t="n"/>
      <c r="M426" s="30" t="n"/>
      <c r="N426" s="30" t="n"/>
      <c r="O426" s="30" t="n"/>
      <c r="P426" s="30" t="n"/>
      <c r="Q426" s="31" t="n"/>
      <c r="R426" s="31" t="n"/>
      <c r="S426" s="31" t="n"/>
      <c r="T426" s="31" t="n"/>
      <c r="U426" s="31" t="n"/>
      <c r="V426" s="31" t="n"/>
      <c r="W426" s="30" t="n"/>
      <c r="X426" s="31" t="n"/>
      <c r="Y426" s="35" t="n"/>
      <c r="Z426" s="35" t="n"/>
      <c r="AA426" s="35" t="n"/>
      <c r="AB426" s="35" t="n"/>
      <c r="AC426" s="35" t="n"/>
      <c r="AD426" s="35" t="n"/>
      <c r="AE426" s="35" t="n"/>
      <c r="AF426" s="35" t="n"/>
      <c r="AG426" s="36">
        <f>IF(A426="","",IF(V426&lt;&gt;"",V426-B426,TODAY()-B426))</f>
        <v/>
      </c>
      <c r="AH426" s="36">
        <f>IF(OR(A426="",I426=""),"",MAX(0,IF(V426&lt;&gt;"",V426-I426,TODAY()-I426)))</f>
        <v/>
      </c>
      <c r="AI426" s="37">
        <f>IF(A426="","",IF(OR(K426="Closed",V426&lt;&gt;""),"Closed",IF(AH426&gt;=AgeCrit,"Critical",IF(AH426&gt;=AgeFu,"For Follow-up",IF(AH426&gt;=AgeMonitor,"Monitor","Within Standard")))))</f>
        <v/>
      </c>
      <c r="AJ426" s="38">
        <f>IF(A426="","",IFERROR(INDEX(StgPct,MATCH(H426,StgList,0)),0))</f>
        <v/>
      </c>
      <c r="AK426" s="38">
        <f>IF(A426="","",IFERROR(COUNTIF(Y426:AF426,"Y")/(COUNTIF(Y426:AF426,"Y")+COUNTIF(Y426:AF426,"N")),0))</f>
        <v/>
      </c>
      <c r="AL426" s="36">
        <f>IF(OR(A426="",X426=""),"",MAX(0,IF(V426&lt;&gt;"",V426,TODAY())-X426))</f>
        <v/>
      </c>
      <c r="AM426" s="32" t="n"/>
      <c r="AN426" s="33">
        <f>IF(A426="","",LOWER(AI426)&amp;"|"&amp;AH426&amp;"|"&amp;AJ426&amp;"|"&amp;AK426)</f>
        <v/>
      </c>
      <c r="AO426" s="33">
        <f>IF(OR(A426="",T426=""),"",T426-TODAY())</f>
        <v/>
      </c>
      <c r="AP426" s="33">
        <f>IF(OR(A426="",V426&lt;&gt;""),"",(TODAY()-B426)+ROW()/1000000)</f>
        <v/>
      </c>
    </row>
    <row r="427" ht="27" customHeight="1">
      <c r="A427" s="30" t="n"/>
      <c r="B427" s="31" t="n"/>
      <c r="C427" s="32" t="n"/>
      <c r="D427" s="32" t="n"/>
      <c r="E427" s="32" t="n"/>
      <c r="F427" s="32" t="n"/>
      <c r="G427" s="33">
        <f>IF(A427="","",IFERROR(INDEX(OffCat,MATCH(F427,OffList,0)),"Unlisted"))</f>
        <v/>
      </c>
      <c r="H427" s="30" t="n"/>
      <c r="I427" s="31" t="n"/>
      <c r="J427" s="34" t="n"/>
      <c r="K427" s="34" t="n"/>
      <c r="L427" s="34" t="n"/>
      <c r="M427" s="30" t="n"/>
      <c r="N427" s="30" t="n"/>
      <c r="O427" s="30" t="n"/>
      <c r="P427" s="30" t="n"/>
      <c r="Q427" s="31" t="n"/>
      <c r="R427" s="31" t="n"/>
      <c r="S427" s="31" t="n"/>
      <c r="T427" s="31" t="n"/>
      <c r="U427" s="31" t="n"/>
      <c r="V427" s="31" t="n"/>
      <c r="W427" s="30" t="n"/>
      <c r="X427" s="31" t="n"/>
      <c r="Y427" s="35" t="n"/>
      <c r="Z427" s="35" t="n"/>
      <c r="AA427" s="35" t="n"/>
      <c r="AB427" s="35" t="n"/>
      <c r="AC427" s="35" t="n"/>
      <c r="AD427" s="35" t="n"/>
      <c r="AE427" s="35" t="n"/>
      <c r="AF427" s="35" t="n"/>
      <c r="AG427" s="36">
        <f>IF(A427="","",IF(V427&lt;&gt;"",V427-B427,TODAY()-B427))</f>
        <v/>
      </c>
      <c r="AH427" s="36">
        <f>IF(OR(A427="",I427=""),"",MAX(0,IF(V427&lt;&gt;"",V427-I427,TODAY()-I427)))</f>
        <v/>
      </c>
      <c r="AI427" s="37">
        <f>IF(A427="","",IF(OR(K427="Closed",V427&lt;&gt;""),"Closed",IF(AH427&gt;=AgeCrit,"Critical",IF(AH427&gt;=AgeFu,"For Follow-up",IF(AH427&gt;=AgeMonitor,"Monitor","Within Standard")))))</f>
        <v/>
      </c>
      <c r="AJ427" s="38">
        <f>IF(A427="","",IFERROR(INDEX(StgPct,MATCH(H427,StgList,0)),0))</f>
        <v/>
      </c>
      <c r="AK427" s="38">
        <f>IF(A427="","",IFERROR(COUNTIF(Y427:AF427,"Y")/(COUNTIF(Y427:AF427,"Y")+COUNTIF(Y427:AF427,"N")),0))</f>
        <v/>
      </c>
      <c r="AL427" s="36">
        <f>IF(OR(A427="",X427=""),"",MAX(0,IF(V427&lt;&gt;"",V427,TODAY())-X427))</f>
        <v/>
      </c>
      <c r="AM427" s="32" t="n"/>
      <c r="AN427" s="33">
        <f>IF(A427="","",LOWER(AI427)&amp;"|"&amp;AH427&amp;"|"&amp;AJ427&amp;"|"&amp;AK427)</f>
        <v/>
      </c>
      <c r="AO427" s="33">
        <f>IF(OR(A427="",T427=""),"",T427-TODAY())</f>
        <v/>
      </c>
      <c r="AP427" s="33">
        <f>IF(OR(A427="",V427&lt;&gt;""),"",(TODAY()-B427)+ROW()/1000000)</f>
        <v/>
      </c>
    </row>
    <row r="428" ht="27" customHeight="1">
      <c r="A428" s="30" t="n"/>
      <c r="B428" s="31" t="n"/>
      <c r="C428" s="32" t="n"/>
      <c r="D428" s="32" t="n"/>
      <c r="E428" s="32" t="n"/>
      <c r="F428" s="32" t="n"/>
      <c r="G428" s="33">
        <f>IF(A428="","",IFERROR(INDEX(OffCat,MATCH(F428,OffList,0)),"Unlisted"))</f>
        <v/>
      </c>
      <c r="H428" s="30" t="n"/>
      <c r="I428" s="31" t="n"/>
      <c r="J428" s="34" t="n"/>
      <c r="K428" s="34" t="n"/>
      <c r="L428" s="34" t="n"/>
      <c r="M428" s="30" t="n"/>
      <c r="N428" s="30" t="n"/>
      <c r="O428" s="30" t="n"/>
      <c r="P428" s="30" t="n"/>
      <c r="Q428" s="31" t="n"/>
      <c r="R428" s="31" t="n"/>
      <c r="S428" s="31" t="n"/>
      <c r="T428" s="31" t="n"/>
      <c r="U428" s="31" t="n"/>
      <c r="V428" s="31" t="n"/>
      <c r="W428" s="30" t="n"/>
      <c r="X428" s="31" t="n"/>
      <c r="Y428" s="35" t="n"/>
      <c r="Z428" s="35" t="n"/>
      <c r="AA428" s="35" t="n"/>
      <c r="AB428" s="35" t="n"/>
      <c r="AC428" s="35" t="n"/>
      <c r="AD428" s="35" t="n"/>
      <c r="AE428" s="35" t="n"/>
      <c r="AF428" s="35" t="n"/>
      <c r="AG428" s="36">
        <f>IF(A428="","",IF(V428&lt;&gt;"",V428-B428,TODAY()-B428))</f>
        <v/>
      </c>
      <c r="AH428" s="36">
        <f>IF(OR(A428="",I428=""),"",MAX(0,IF(V428&lt;&gt;"",V428-I428,TODAY()-I428)))</f>
        <v/>
      </c>
      <c r="AI428" s="37">
        <f>IF(A428="","",IF(OR(K428="Closed",V428&lt;&gt;""),"Closed",IF(AH428&gt;=AgeCrit,"Critical",IF(AH428&gt;=AgeFu,"For Follow-up",IF(AH428&gt;=AgeMonitor,"Monitor","Within Standard")))))</f>
        <v/>
      </c>
      <c r="AJ428" s="38">
        <f>IF(A428="","",IFERROR(INDEX(StgPct,MATCH(H428,StgList,0)),0))</f>
        <v/>
      </c>
      <c r="AK428" s="38">
        <f>IF(A428="","",IFERROR(COUNTIF(Y428:AF428,"Y")/(COUNTIF(Y428:AF428,"Y")+COUNTIF(Y428:AF428,"N")),0))</f>
        <v/>
      </c>
      <c r="AL428" s="36">
        <f>IF(OR(A428="",X428=""),"",MAX(0,IF(V428&lt;&gt;"",V428,TODAY())-X428))</f>
        <v/>
      </c>
      <c r="AM428" s="32" t="n"/>
      <c r="AN428" s="33">
        <f>IF(A428="","",LOWER(AI428)&amp;"|"&amp;AH428&amp;"|"&amp;AJ428&amp;"|"&amp;AK428)</f>
        <v/>
      </c>
      <c r="AO428" s="33">
        <f>IF(OR(A428="",T428=""),"",T428-TODAY())</f>
        <v/>
      </c>
      <c r="AP428" s="33">
        <f>IF(OR(A428="",V428&lt;&gt;""),"",(TODAY()-B428)+ROW()/1000000)</f>
        <v/>
      </c>
    </row>
    <row r="429" ht="27" customHeight="1">
      <c r="A429" s="30" t="n"/>
      <c r="B429" s="31" t="n"/>
      <c r="C429" s="32" t="n"/>
      <c r="D429" s="32" t="n"/>
      <c r="E429" s="32" t="n"/>
      <c r="F429" s="32" t="n"/>
      <c r="G429" s="33">
        <f>IF(A429="","",IFERROR(INDEX(OffCat,MATCH(F429,OffList,0)),"Unlisted"))</f>
        <v/>
      </c>
      <c r="H429" s="30" t="n"/>
      <c r="I429" s="31" t="n"/>
      <c r="J429" s="34" t="n"/>
      <c r="K429" s="34" t="n"/>
      <c r="L429" s="34" t="n"/>
      <c r="M429" s="30" t="n"/>
      <c r="N429" s="30" t="n"/>
      <c r="O429" s="30" t="n"/>
      <c r="P429" s="30" t="n"/>
      <c r="Q429" s="31" t="n"/>
      <c r="R429" s="31" t="n"/>
      <c r="S429" s="31" t="n"/>
      <c r="T429" s="31" t="n"/>
      <c r="U429" s="31" t="n"/>
      <c r="V429" s="31" t="n"/>
      <c r="W429" s="30" t="n"/>
      <c r="X429" s="31" t="n"/>
      <c r="Y429" s="35" t="n"/>
      <c r="Z429" s="35" t="n"/>
      <c r="AA429" s="35" t="n"/>
      <c r="AB429" s="35" t="n"/>
      <c r="AC429" s="35" t="n"/>
      <c r="AD429" s="35" t="n"/>
      <c r="AE429" s="35" t="n"/>
      <c r="AF429" s="35" t="n"/>
      <c r="AG429" s="36">
        <f>IF(A429="","",IF(V429&lt;&gt;"",V429-B429,TODAY()-B429))</f>
        <v/>
      </c>
      <c r="AH429" s="36">
        <f>IF(OR(A429="",I429=""),"",MAX(0,IF(V429&lt;&gt;"",V429-I429,TODAY()-I429)))</f>
        <v/>
      </c>
      <c r="AI429" s="37">
        <f>IF(A429="","",IF(OR(K429="Closed",V429&lt;&gt;""),"Closed",IF(AH429&gt;=AgeCrit,"Critical",IF(AH429&gt;=AgeFu,"For Follow-up",IF(AH429&gt;=AgeMonitor,"Monitor","Within Standard")))))</f>
        <v/>
      </c>
      <c r="AJ429" s="38">
        <f>IF(A429="","",IFERROR(INDEX(StgPct,MATCH(H429,StgList,0)),0))</f>
        <v/>
      </c>
      <c r="AK429" s="38">
        <f>IF(A429="","",IFERROR(COUNTIF(Y429:AF429,"Y")/(COUNTIF(Y429:AF429,"Y")+COUNTIF(Y429:AF429,"N")),0))</f>
        <v/>
      </c>
      <c r="AL429" s="36">
        <f>IF(OR(A429="",X429=""),"",MAX(0,IF(V429&lt;&gt;"",V429,TODAY())-X429))</f>
        <v/>
      </c>
      <c r="AM429" s="32" t="n"/>
      <c r="AN429" s="33">
        <f>IF(A429="","",LOWER(AI429)&amp;"|"&amp;AH429&amp;"|"&amp;AJ429&amp;"|"&amp;AK429)</f>
        <v/>
      </c>
      <c r="AO429" s="33">
        <f>IF(OR(A429="",T429=""),"",T429-TODAY())</f>
        <v/>
      </c>
      <c r="AP429" s="33">
        <f>IF(OR(A429="",V429&lt;&gt;""),"",(TODAY()-B429)+ROW()/1000000)</f>
        <v/>
      </c>
    </row>
    <row r="430" ht="27" customHeight="1">
      <c r="A430" s="30" t="n"/>
      <c r="B430" s="31" t="n"/>
      <c r="C430" s="32" t="n"/>
      <c r="D430" s="32" t="n"/>
      <c r="E430" s="32" t="n"/>
      <c r="F430" s="32" t="n"/>
      <c r="G430" s="33">
        <f>IF(A430="","",IFERROR(INDEX(OffCat,MATCH(F430,OffList,0)),"Unlisted"))</f>
        <v/>
      </c>
      <c r="H430" s="30" t="n"/>
      <c r="I430" s="31" t="n"/>
      <c r="J430" s="34" t="n"/>
      <c r="K430" s="34" t="n"/>
      <c r="L430" s="34" t="n"/>
      <c r="M430" s="30" t="n"/>
      <c r="N430" s="30" t="n"/>
      <c r="O430" s="30" t="n"/>
      <c r="P430" s="30" t="n"/>
      <c r="Q430" s="31" t="n"/>
      <c r="R430" s="31" t="n"/>
      <c r="S430" s="31" t="n"/>
      <c r="T430" s="31" t="n"/>
      <c r="U430" s="31" t="n"/>
      <c r="V430" s="31" t="n"/>
      <c r="W430" s="30" t="n"/>
      <c r="X430" s="31" t="n"/>
      <c r="Y430" s="35" t="n"/>
      <c r="Z430" s="35" t="n"/>
      <c r="AA430" s="35" t="n"/>
      <c r="AB430" s="35" t="n"/>
      <c r="AC430" s="35" t="n"/>
      <c r="AD430" s="35" t="n"/>
      <c r="AE430" s="35" t="n"/>
      <c r="AF430" s="35" t="n"/>
      <c r="AG430" s="36">
        <f>IF(A430="","",IF(V430&lt;&gt;"",V430-B430,TODAY()-B430))</f>
        <v/>
      </c>
      <c r="AH430" s="36">
        <f>IF(OR(A430="",I430=""),"",MAX(0,IF(V430&lt;&gt;"",V430-I430,TODAY()-I430)))</f>
        <v/>
      </c>
      <c r="AI430" s="37">
        <f>IF(A430="","",IF(OR(K430="Closed",V430&lt;&gt;""),"Closed",IF(AH430&gt;=AgeCrit,"Critical",IF(AH430&gt;=AgeFu,"For Follow-up",IF(AH430&gt;=AgeMonitor,"Monitor","Within Standard")))))</f>
        <v/>
      </c>
      <c r="AJ430" s="38">
        <f>IF(A430="","",IFERROR(INDEX(StgPct,MATCH(H430,StgList,0)),0))</f>
        <v/>
      </c>
      <c r="AK430" s="38">
        <f>IF(A430="","",IFERROR(COUNTIF(Y430:AF430,"Y")/(COUNTIF(Y430:AF430,"Y")+COUNTIF(Y430:AF430,"N")),0))</f>
        <v/>
      </c>
      <c r="AL430" s="36">
        <f>IF(OR(A430="",X430=""),"",MAX(0,IF(V430&lt;&gt;"",V430,TODAY())-X430))</f>
        <v/>
      </c>
      <c r="AM430" s="32" t="n"/>
      <c r="AN430" s="33">
        <f>IF(A430="","",LOWER(AI430)&amp;"|"&amp;AH430&amp;"|"&amp;AJ430&amp;"|"&amp;AK430)</f>
        <v/>
      </c>
      <c r="AO430" s="33">
        <f>IF(OR(A430="",T430=""),"",T430-TODAY())</f>
        <v/>
      </c>
      <c r="AP430" s="33">
        <f>IF(OR(A430="",V430&lt;&gt;""),"",(TODAY()-B430)+ROW()/1000000)</f>
        <v/>
      </c>
    </row>
    <row r="431" ht="27" customHeight="1">
      <c r="A431" s="30" t="n"/>
      <c r="B431" s="31" t="n"/>
      <c r="C431" s="32" t="n"/>
      <c r="D431" s="32" t="n"/>
      <c r="E431" s="32" t="n"/>
      <c r="F431" s="32" t="n"/>
      <c r="G431" s="33">
        <f>IF(A431="","",IFERROR(INDEX(OffCat,MATCH(F431,OffList,0)),"Unlisted"))</f>
        <v/>
      </c>
      <c r="H431" s="30" t="n"/>
      <c r="I431" s="31" t="n"/>
      <c r="J431" s="34" t="n"/>
      <c r="K431" s="34" t="n"/>
      <c r="L431" s="34" t="n"/>
      <c r="M431" s="30" t="n"/>
      <c r="N431" s="30" t="n"/>
      <c r="O431" s="30" t="n"/>
      <c r="P431" s="30" t="n"/>
      <c r="Q431" s="31" t="n"/>
      <c r="R431" s="31" t="n"/>
      <c r="S431" s="31" t="n"/>
      <c r="T431" s="31" t="n"/>
      <c r="U431" s="31" t="n"/>
      <c r="V431" s="31" t="n"/>
      <c r="W431" s="30" t="n"/>
      <c r="X431" s="31" t="n"/>
      <c r="Y431" s="35" t="n"/>
      <c r="Z431" s="35" t="n"/>
      <c r="AA431" s="35" t="n"/>
      <c r="AB431" s="35" t="n"/>
      <c r="AC431" s="35" t="n"/>
      <c r="AD431" s="35" t="n"/>
      <c r="AE431" s="35" t="n"/>
      <c r="AF431" s="35" t="n"/>
      <c r="AG431" s="36">
        <f>IF(A431="","",IF(V431&lt;&gt;"",V431-B431,TODAY()-B431))</f>
        <v/>
      </c>
      <c r="AH431" s="36">
        <f>IF(OR(A431="",I431=""),"",MAX(0,IF(V431&lt;&gt;"",V431-I431,TODAY()-I431)))</f>
        <v/>
      </c>
      <c r="AI431" s="37">
        <f>IF(A431="","",IF(OR(K431="Closed",V431&lt;&gt;""),"Closed",IF(AH431&gt;=AgeCrit,"Critical",IF(AH431&gt;=AgeFu,"For Follow-up",IF(AH431&gt;=AgeMonitor,"Monitor","Within Standard")))))</f>
        <v/>
      </c>
      <c r="AJ431" s="38">
        <f>IF(A431="","",IFERROR(INDEX(StgPct,MATCH(H431,StgList,0)),0))</f>
        <v/>
      </c>
      <c r="AK431" s="38">
        <f>IF(A431="","",IFERROR(COUNTIF(Y431:AF431,"Y")/(COUNTIF(Y431:AF431,"Y")+COUNTIF(Y431:AF431,"N")),0))</f>
        <v/>
      </c>
      <c r="AL431" s="36">
        <f>IF(OR(A431="",X431=""),"",MAX(0,IF(V431&lt;&gt;"",V431,TODAY())-X431))</f>
        <v/>
      </c>
      <c r="AM431" s="32" t="n"/>
      <c r="AN431" s="33">
        <f>IF(A431="","",LOWER(AI431)&amp;"|"&amp;AH431&amp;"|"&amp;AJ431&amp;"|"&amp;AK431)</f>
        <v/>
      </c>
      <c r="AO431" s="33">
        <f>IF(OR(A431="",T431=""),"",T431-TODAY())</f>
        <v/>
      </c>
      <c r="AP431" s="33">
        <f>IF(OR(A431="",V431&lt;&gt;""),"",(TODAY()-B431)+ROW()/1000000)</f>
        <v/>
      </c>
    </row>
    <row r="432" ht="27" customHeight="1">
      <c r="A432" s="30" t="n"/>
      <c r="B432" s="31" t="n"/>
      <c r="C432" s="32" t="n"/>
      <c r="D432" s="32" t="n"/>
      <c r="E432" s="32" t="n"/>
      <c r="F432" s="32" t="n"/>
      <c r="G432" s="33">
        <f>IF(A432="","",IFERROR(INDEX(OffCat,MATCH(F432,OffList,0)),"Unlisted"))</f>
        <v/>
      </c>
      <c r="H432" s="30" t="n"/>
      <c r="I432" s="31" t="n"/>
      <c r="J432" s="34" t="n"/>
      <c r="K432" s="34" t="n"/>
      <c r="L432" s="34" t="n"/>
      <c r="M432" s="30" t="n"/>
      <c r="N432" s="30" t="n"/>
      <c r="O432" s="30" t="n"/>
      <c r="P432" s="30" t="n"/>
      <c r="Q432" s="31" t="n"/>
      <c r="R432" s="31" t="n"/>
      <c r="S432" s="31" t="n"/>
      <c r="T432" s="31" t="n"/>
      <c r="U432" s="31" t="n"/>
      <c r="V432" s="31" t="n"/>
      <c r="W432" s="30" t="n"/>
      <c r="X432" s="31" t="n"/>
      <c r="Y432" s="35" t="n"/>
      <c r="Z432" s="35" t="n"/>
      <c r="AA432" s="35" t="n"/>
      <c r="AB432" s="35" t="n"/>
      <c r="AC432" s="35" t="n"/>
      <c r="AD432" s="35" t="n"/>
      <c r="AE432" s="35" t="n"/>
      <c r="AF432" s="35" t="n"/>
      <c r="AG432" s="36">
        <f>IF(A432="","",IF(V432&lt;&gt;"",V432-B432,TODAY()-B432))</f>
        <v/>
      </c>
      <c r="AH432" s="36">
        <f>IF(OR(A432="",I432=""),"",MAX(0,IF(V432&lt;&gt;"",V432-I432,TODAY()-I432)))</f>
        <v/>
      </c>
      <c r="AI432" s="37">
        <f>IF(A432="","",IF(OR(K432="Closed",V432&lt;&gt;""),"Closed",IF(AH432&gt;=AgeCrit,"Critical",IF(AH432&gt;=AgeFu,"For Follow-up",IF(AH432&gt;=AgeMonitor,"Monitor","Within Standard")))))</f>
        <v/>
      </c>
      <c r="AJ432" s="38">
        <f>IF(A432="","",IFERROR(INDEX(StgPct,MATCH(H432,StgList,0)),0))</f>
        <v/>
      </c>
      <c r="AK432" s="38">
        <f>IF(A432="","",IFERROR(COUNTIF(Y432:AF432,"Y")/(COUNTIF(Y432:AF432,"Y")+COUNTIF(Y432:AF432,"N")),0))</f>
        <v/>
      </c>
      <c r="AL432" s="36">
        <f>IF(OR(A432="",X432=""),"",MAX(0,IF(V432&lt;&gt;"",V432,TODAY())-X432))</f>
        <v/>
      </c>
      <c r="AM432" s="32" t="n"/>
      <c r="AN432" s="33">
        <f>IF(A432="","",LOWER(AI432)&amp;"|"&amp;AH432&amp;"|"&amp;AJ432&amp;"|"&amp;AK432)</f>
        <v/>
      </c>
      <c r="AO432" s="33">
        <f>IF(OR(A432="",T432=""),"",T432-TODAY())</f>
        <v/>
      </c>
      <c r="AP432" s="33">
        <f>IF(OR(A432="",V432&lt;&gt;""),"",(TODAY()-B432)+ROW()/1000000)</f>
        <v/>
      </c>
    </row>
    <row r="433" ht="27" customHeight="1">
      <c r="A433" s="30" t="n"/>
      <c r="B433" s="31" t="n"/>
      <c r="C433" s="32" t="n"/>
      <c r="D433" s="32" t="n"/>
      <c r="E433" s="32" t="n"/>
      <c r="F433" s="32" t="n"/>
      <c r="G433" s="33">
        <f>IF(A433="","",IFERROR(INDEX(OffCat,MATCH(F433,OffList,0)),"Unlisted"))</f>
        <v/>
      </c>
      <c r="H433" s="30" t="n"/>
      <c r="I433" s="31" t="n"/>
      <c r="J433" s="34" t="n"/>
      <c r="K433" s="34" t="n"/>
      <c r="L433" s="34" t="n"/>
      <c r="M433" s="30" t="n"/>
      <c r="N433" s="30" t="n"/>
      <c r="O433" s="30" t="n"/>
      <c r="P433" s="30" t="n"/>
      <c r="Q433" s="31" t="n"/>
      <c r="R433" s="31" t="n"/>
      <c r="S433" s="31" t="n"/>
      <c r="T433" s="31" t="n"/>
      <c r="U433" s="31" t="n"/>
      <c r="V433" s="31" t="n"/>
      <c r="W433" s="30" t="n"/>
      <c r="X433" s="31" t="n"/>
      <c r="Y433" s="35" t="n"/>
      <c r="Z433" s="35" t="n"/>
      <c r="AA433" s="35" t="n"/>
      <c r="AB433" s="35" t="n"/>
      <c r="AC433" s="35" t="n"/>
      <c r="AD433" s="35" t="n"/>
      <c r="AE433" s="35" t="n"/>
      <c r="AF433" s="35" t="n"/>
      <c r="AG433" s="36">
        <f>IF(A433="","",IF(V433&lt;&gt;"",V433-B433,TODAY()-B433))</f>
        <v/>
      </c>
      <c r="AH433" s="36">
        <f>IF(OR(A433="",I433=""),"",MAX(0,IF(V433&lt;&gt;"",V433-I433,TODAY()-I433)))</f>
        <v/>
      </c>
      <c r="AI433" s="37">
        <f>IF(A433="","",IF(OR(K433="Closed",V433&lt;&gt;""),"Closed",IF(AH433&gt;=AgeCrit,"Critical",IF(AH433&gt;=AgeFu,"For Follow-up",IF(AH433&gt;=AgeMonitor,"Monitor","Within Standard")))))</f>
        <v/>
      </c>
      <c r="AJ433" s="38">
        <f>IF(A433="","",IFERROR(INDEX(StgPct,MATCH(H433,StgList,0)),0))</f>
        <v/>
      </c>
      <c r="AK433" s="38">
        <f>IF(A433="","",IFERROR(COUNTIF(Y433:AF433,"Y")/(COUNTIF(Y433:AF433,"Y")+COUNTIF(Y433:AF433,"N")),0))</f>
        <v/>
      </c>
      <c r="AL433" s="36">
        <f>IF(OR(A433="",X433=""),"",MAX(0,IF(V433&lt;&gt;"",V433,TODAY())-X433))</f>
        <v/>
      </c>
      <c r="AM433" s="32" t="n"/>
      <c r="AN433" s="33">
        <f>IF(A433="","",LOWER(AI433)&amp;"|"&amp;AH433&amp;"|"&amp;AJ433&amp;"|"&amp;AK433)</f>
        <v/>
      </c>
      <c r="AO433" s="33">
        <f>IF(OR(A433="",T433=""),"",T433-TODAY())</f>
        <v/>
      </c>
      <c r="AP433" s="33">
        <f>IF(OR(A433="",V433&lt;&gt;""),"",(TODAY()-B433)+ROW()/1000000)</f>
        <v/>
      </c>
    </row>
    <row r="434" ht="27" customHeight="1">
      <c r="A434" s="30" t="n"/>
      <c r="B434" s="31" t="n"/>
      <c r="C434" s="32" t="n"/>
      <c r="D434" s="32" t="n"/>
      <c r="E434" s="32" t="n"/>
      <c r="F434" s="32" t="n"/>
      <c r="G434" s="33">
        <f>IF(A434="","",IFERROR(INDEX(OffCat,MATCH(F434,OffList,0)),"Unlisted"))</f>
        <v/>
      </c>
      <c r="H434" s="30" t="n"/>
      <c r="I434" s="31" t="n"/>
      <c r="J434" s="34" t="n"/>
      <c r="K434" s="34" t="n"/>
      <c r="L434" s="34" t="n"/>
      <c r="M434" s="30" t="n"/>
      <c r="N434" s="30" t="n"/>
      <c r="O434" s="30" t="n"/>
      <c r="P434" s="30" t="n"/>
      <c r="Q434" s="31" t="n"/>
      <c r="R434" s="31" t="n"/>
      <c r="S434" s="31" t="n"/>
      <c r="T434" s="31" t="n"/>
      <c r="U434" s="31" t="n"/>
      <c r="V434" s="31" t="n"/>
      <c r="W434" s="30" t="n"/>
      <c r="X434" s="31" t="n"/>
      <c r="Y434" s="35" t="n"/>
      <c r="Z434" s="35" t="n"/>
      <c r="AA434" s="35" t="n"/>
      <c r="AB434" s="35" t="n"/>
      <c r="AC434" s="35" t="n"/>
      <c r="AD434" s="35" t="n"/>
      <c r="AE434" s="35" t="n"/>
      <c r="AF434" s="35" t="n"/>
      <c r="AG434" s="36">
        <f>IF(A434="","",IF(V434&lt;&gt;"",V434-B434,TODAY()-B434))</f>
        <v/>
      </c>
      <c r="AH434" s="36">
        <f>IF(OR(A434="",I434=""),"",MAX(0,IF(V434&lt;&gt;"",V434-I434,TODAY()-I434)))</f>
        <v/>
      </c>
      <c r="AI434" s="37">
        <f>IF(A434="","",IF(OR(K434="Closed",V434&lt;&gt;""),"Closed",IF(AH434&gt;=AgeCrit,"Critical",IF(AH434&gt;=AgeFu,"For Follow-up",IF(AH434&gt;=AgeMonitor,"Monitor","Within Standard")))))</f>
        <v/>
      </c>
      <c r="AJ434" s="38">
        <f>IF(A434="","",IFERROR(INDEX(StgPct,MATCH(H434,StgList,0)),0))</f>
        <v/>
      </c>
      <c r="AK434" s="38">
        <f>IF(A434="","",IFERROR(COUNTIF(Y434:AF434,"Y")/(COUNTIF(Y434:AF434,"Y")+COUNTIF(Y434:AF434,"N")),0))</f>
        <v/>
      </c>
      <c r="AL434" s="36">
        <f>IF(OR(A434="",X434=""),"",MAX(0,IF(V434&lt;&gt;"",V434,TODAY())-X434))</f>
        <v/>
      </c>
      <c r="AM434" s="32" t="n"/>
      <c r="AN434" s="33">
        <f>IF(A434="","",LOWER(AI434)&amp;"|"&amp;AH434&amp;"|"&amp;AJ434&amp;"|"&amp;AK434)</f>
        <v/>
      </c>
      <c r="AO434" s="33">
        <f>IF(OR(A434="",T434=""),"",T434-TODAY())</f>
        <v/>
      </c>
      <c r="AP434" s="33">
        <f>IF(OR(A434="",V434&lt;&gt;""),"",(TODAY()-B434)+ROW()/1000000)</f>
        <v/>
      </c>
    </row>
    <row r="435" ht="27" customHeight="1">
      <c r="A435" s="30" t="n"/>
      <c r="B435" s="31" t="n"/>
      <c r="C435" s="32" t="n"/>
      <c r="D435" s="32" t="n"/>
      <c r="E435" s="32" t="n"/>
      <c r="F435" s="32" t="n"/>
      <c r="G435" s="33">
        <f>IF(A435="","",IFERROR(INDEX(OffCat,MATCH(F435,OffList,0)),"Unlisted"))</f>
        <v/>
      </c>
      <c r="H435" s="30" t="n"/>
      <c r="I435" s="31" t="n"/>
      <c r="J435" s="34" t="n"/>
      <c r="K435" s="34" t="n"/>
      <c r="L435" s="34" t="n"/>
      <c r="M435" s="30" t="n"/>
      <c r="N435" s="30" t="n"/>
      <c r="O435" s="30" t="n"/>
      <c r="P435" s="30" t="n"/>
      <c r="Q435" s="31" t="n"/>
      <c r="R435" s="31" t="n"/>
      <c r="S435" s="31" t="n"/>
      <c r="T435" s="31" t="n"/>
      <c r="U435" s="31" t="n"/>
      <c r="V435" s="31" t="n"/>
      <c r="W435" s="30" t="n"/>
      <c r="X435" s="31" t="n"/>
      <c r="Y435" s="35" t="n"/>
      <c r="Z435" s="35" t="n"/>
      <c r="AA435" s="35" t="n"/>
      <c r="AB435" s="35" t="n"/>
      <c r="AC435" s="35" t="n"/>
      <c r="AD435" s="35" t="n"/>
      <c r="AE435" s="35" t="n"/>
      <c r="AF435" s="35" t="n"/>
      <c r="AG435" s="36">
        <f>IF(A435="","",IF(V435&lt;&gt;"",V435-B435,TODAY()-B435))</f>
        <v/>
      </c>
      <c r="AH435" s="36">
        <f>IF(OR(A435="",I435=""),"",MAX(0,IF(V435&lt;&gt;"",V435-I435,TODAY()-I435)))</f>
        <v/>
      </c>
      <c r="AI435" s="37">
        <f>IF(A435="","",IF(OR(K435="Closed",V435&lt;&gt;""),"Closed",IF(AH435&gt;=AgeCrit,"Critical",IF(AH435&gt;=AgeFu,"For Follow-up",IF(AH435&gt;=AgeMonitor,"Monitor","Within Standard")))))</f>
        <v/>
      </c>
      <c r="AJ435" s="38">
        <f>IF(A435="","",IFERROR(INDEX(StgPct,MATCH(H435,StgList,0)),0))</f>
        <v/>
      </c>
      <c r="AK435" s="38">
        <f>IF(A435="","",IFERROR(COUNTIF(Y435:AF435,"Y")/(COUNTIF(Y435:AF435,"Y")+COUNTIF(Y435:AF435,"N")),0))</f>
        <v/>
      </c>
      <c r="AL435" s="36">
        <f>IF(OR(A435="",X435=""),"",MAX(0,IF(V435&lt;&gt;"",V435,TODAY())-X435))</f>
        <v/>
      </c>
      <c r="AM435" s="32" t="n"/>
      <c r="AN435" s="33">
        <f>IF(A435="","",LOWER(AI435)&amp;"|"&amp;AH435&amp;"|"&amp;AJ435&amp;"|"&amp;AK435)</f>
        <v/>
      </c>
      <c r="AO435" s="33">
        <f>IF(OR(A435="",T435=""),"",T435-TODAY())</f>
        <v/>
      </c>
      <c r="AP435" s="33">
        <f>IF(OR(A435="",V435&lt;&gt;""),"",(TODAY()-B435)+ROW()/1000000)</f>
        <v/>
      </c>
    </row>
    <row r="436" ht="27" customHeight="1">
      <c r="A436" s="30" t="n"/>
      <c r="B436" s="31" t="n"/>
      <c r="C436" s="32" t="n"/>
      <c r="D436" s="32" t="n"/>
      <c r="E436" s="32" t="n"/>
      <c r="F436" s="32" t="n"/>
      <c r="G436" s="33">
        <f>IF(A436="","",IFERROR(INDEX(OffCat,MATCH(F436,OffList,0)),"Unlisted"))</f>
        <v/>
      </c>
      <c r="H436" s="30" t="n"/>
      <c r="I436" s="31" t="n"/>
      <c r="J436" s="34" t="n"/>
      <c r="K436" s="34" t="n"/>
      <c r="L436" s="34" t="n"/>
      <c r="M436" s="30" t="n"/>
      <c r="N436" s="30" t="n"/>
      <c r="O436" s="30" t="n"/>
      <c r="P436" s="30" t="n"/>
      <c r="Q436" s="31" t="n"/>
      <c r="R436" s="31" t="n"/>
      <c r="S436" s="31" t="n"/>
      <c r="T436" s="31" t="n"/>
      <c r="U436" s="31" t="n"/>
      <c r="V436" s="31" t="n"/>
      <c r="W436" s="30" t="n"/>
      <c r="X436" s="31" t="n"/>
      <c r="Y436" s="35" t="n"/>
      <c r="Z436" s="35" t="n"/>
      <c r="AA436" s="35" t="n"/>
      <c r="AB436" s="35" t="n"/>
      <c r="AC436" s="35" t="n"/>
      <c r="AD436" s="35" t="n"/>
      <c r="AE436" s="35" t="n"/>
      <c r="AF436" s="35" t="n"/>
      <c r="AG436" s="36">
        <f>IF(A436="","",IF(V436&lt;&gt;"",V436-B436,TODAY()-B436))</f>
        <v/>
      </c>
      <c r="AH436" s="36">
        <f>IF(OR(A436="",I436=""),"",MAX(0,IF(V436&lt;&gt;"",V436-I436,TODAY()-I436)))</f>
        <v/>
      </c>
      <c r="AI436" s="37">
        <f>IF(A436="","",IF(OR(K436="Closed",V436&lt;&gt;""),"Closed",IF(AH436&gt;=AgeCrit,"Critical",IF(AH436&gt;=AgeFu,"For Follow-up",IF(AH436&gt;=AgeMonitor,"Monitor","Within Standard")))))</f>
        <v/>
      </c>
      <c r="AJ436" s="38">
        <f>IF(A436="","",IFERROR(INDEX(StgPct,MATCH(H436,StgList,0)),0))</f>
        <v/>
      </c>
      <c r="AK436" s="38">
        <f>IF(A436="","",IFERROR(COUNTIF(Y436:AF436,"Y")/(COUNTIF(Y436:AF436,"Y")+COUNTIF(Y436:AF436,"N")),0))</f>
        <v/>
      </c>
      <c r="AL436" s="36">
        <f>IF(OR(A436="",X436=""),"",MAX(0,IF(V436&lt;&gt;"",V436,TODAY())-X436))</f>
        <v/>
      </c>
      <c r="AM436" s="32" t="n"/>
      <c r="AN436" s="33">
        <f>IF(A436="","",LOWER(AI436)&amp;"|"&amp;AH436&amp;"|"&amp;AJ436&amp;"|"&amp;AK436)</f>
        <v/>
      </c>
      <c r="AO436" s="33">
        <f>IF(OR(A436="",T436=""),"",T436-TODAY())</f>
        <v/>
      </c>
      <c r="AP436" s="33">
        <f>IF(OR(A436="",V436&lt;&gt;""),"",(TODAY()-B436)+ROW()/1000000)</f>
        <v/>
      </c>
    </row>
    <row r="437" ht="27" customHeight="1">
      <c r="A437" s="30" t="n"/>
      <c r="B437" s="31" t="n"/>
      <c r="C437" s="32" t="n"/>
      <c r="D437" s="32" t="n"/>
      <c r="E437" s="32" t="n"/>
      <c r="F437" s="32" t="n"/>
      <c r="G437" s="33">
        <f>IF(A437="","",IFERROR(INDEX(OffCat,MATCH(F437,OffList,0)),"Unlisted"))</f>
        <v/>
      </c>
      <c r="H437" s="30" t="n"/>
      <c r="I437" s="31" t="n"/>
      <c r="J437" s="34" t="n"/>
      <c r="K437" s="34" t="n"/>
      <c r="L437" s="34" t="n"/>
      <c r="M437" s="30" t="n"/>
      <c r="N437" s="30" t="n"/>
      <c r="O437" s="30" t="n"/>
      <c r="P437" s="30" t="n"/>
      <c r="Q437" s="31" t="n"/>
      <c r="R437" s="31" t="n"/>
      <c r="S437" s="31" t="n"/>
      <c r="T437" s="31" t="n"/>
      <c r="U437" s="31" t="n"/>
      <c r="V437" s="31" t="n"/>
      <c r="W437" s="30" t="n"/>
      <c r="X437" s="31" t="n"/>
      <c r="Y437" s="35" t="n"/>
      <c r="Z437" s="35" t="n"/>
      <c r="AA437" s="35" t="n"/>
      <c r="AB437" s="35" t="n"/>
      <c r="AC437" s="35" t="n"/>
      <c r="AD437" s="35" t="n"/>
      <c r="AE437" s="35" t="n"/>
      <c r="AF437" s="35" t="n"/>
      <c r="AG437" s="36">
        <f>IF(A437="","",IF(V437&lt;&gt;"",V437-B437,TODAY()-B437))</f>
        <v/>
      </c>
      <c r="AH437" s="36">
        <f>IF(OR(A437="",I437=""),"",MAX(0,IF(V437&lt;&gt;"",V437-I437,TODAY()-I437)))</f>
        <v/>
      </c>
      <c r="AI437" s="37">
        <f>IF(A437="","",IF(OR(K437="Closed",V437&lt;&gt;""),"Closed",IF(AH437&gt;=AgeCrit,"Critical",IF(AH437&gt;=AgeFu,"For Follow-up",IF(AH437&gt;=AgeMonitor,"Monitor","Within Standard")))))</f>
        <v/>
      </c>
      <c r="AJ437" s="38">
        <f>IF(A437="","",IFERROR(INDEX(StgPct,MATCH(H437,StgList,0)),0))</f>
        <v/>
      </c>
      <c r="AK437" s="38">
        <f>IF(A437="","",IFERROR(COUNTIF(Y437:AF437,"Y")/(COUNTIF(Y437:AF437,"Y")+COUNTIF(Y437:AF437,"N")),0))</f>
        <v/>
      </c>
      <c r="AL437" s="36">
        <f>IF(OR(A437="",X437=""),"",MAX(0,IF(V437&lt;&gt;"",V437,TODAY())-X437))</f>
        <v/>
      </c>
      <c r="AM437" s="32" t="n"/>
      <c r="AN437" s="33">
        <f>IF(A437="","",LOWER(AI437)&amp;"|"&amp;AH437&amp;"|"&amp;AJ437&amp;"|"&amp;AK437)</f>
        <v/>
      </c>
      <c r="AO437" s="33">
        <f>IF(OR(A437="",T437=""),"",T437-TODAY())</f>
        <v/>
      </c>
      <c r="AP437" s="33">
        <f>IF(OR(A437="",V437&lt;&gt;""),"",(TODAY()-B437)+ROW()/1000000)</f>
        <v/>
      </c>
    </row>
    <row r="438" ht="27" customHeight="1">
      <c r="A438" s="30" t="n"/>
      <c r="B438" s="31" t="n"/>
      <c r="C438" s="32" t="n"/>
      <c r="D438" s="32" t="n"/>
      <c r="E438" s="32" t="n"/>
      <c r="F438" s="32" t="n"/>
      <c r="G438" s="33">
        <f>IF(A438="","",IFERROR(INDEX(OffCat,MATCH(F438,OffList,0)),"Unlisted"))</f>
        <v/>
      </c>
      <c r="H438" s="30" t="n"/>
      <c r="I438" s="31" t="n"/>
      <c r="J438" s="34" t="n"/>
      <c r="K438" s="34" t="n"/>
      <c r="L438" s="34" t="n"/>
      <c r="M438" s="30" t="n"/>
      <c r="N438" s="30" t="n"/>
      <c r="O438" s="30" t="n"/>
      <c r="P438" s="30" t="n"/>
      <c r="Q438" s="31" t="n"/>
      <c r="R438" s="31" t="n"/>
      <c r="S438" s="31" t="n"/>
      <c r="T438" s="31" t="n"/>
      <c r="U438" s="31" t="n"/>
      <c r="V438" s="31" t="n"/>
      <c r="W438" s="30" t="n"/>
      <c r="X438" s="31" t="n"/>
      <c r="Y438" s="35" t="n"/>
      <c r="Z438" s="35" t="n"/>
      <c r="AA438" s="35" t="n"/>
      <c r="AB438" s="35" t="n"/>
      <c r="AC438" s="35" t="n"/>
      <c r="AD438" s="35" t="n"/>
      <c r="AE438" s="35" t="n"/>
      <c r="AF438" s="35" t="n"/>
      <c r="AG438" s="36">
        <f>IF(A438="","",IF(V438&lt;&gt;"",V438-B438,TODAY()-B438))</f>
        <v/>
      </c>
      <c r="AH438" s="36">
        <f>IF(OR(A438="",I438=""),"",MAX(0,IF(V438&lt;&gt;"",V438-I438,TODAY()-I438)))</f>
        <v/>
      </c>
      <c r="AI438" s="37">
        <f>IF(A438="","",IF(OR(K438="Closed",V438&lt;&gt;""),"Closed",IF(AH438&gt;=AgeCrit,"Critical",IF(AH438&gt;=AgeFu,"For Follow-up",IF(AH438&gt;=AgeMonitor,"Monitor","Within Standard")))))</f>
        <v/>
      </c>
      <c r="AJ438" s="38">
        <f>IF(A438="","",IFERROR(INDEX(StgPct,MATCH(H438,StgList,0)),0))</f>
        <v/>
      </c>
      <c r="AK438" s="38">
        <f>IF(A438="","",IFERROR(COUNTIF(Y438:AF438,"Y")/(COUNTIF(Y438:AF438,"Y")+COUNTIF(Y438:AF438,"N")),0))</f>
        <v/>
      </c>
      <c r="AL438" s="36">
        <f>IF(OR(A438="",X438=""),"",MAX(0,IF(V438&lt;&gt;"",V438,TODAY())-X438))</f>
        <v/>
      </c>
      <c r="AM438" s="32" t="n"/>
      <c r="AN438" s="33">
        <f>IF(A438="","",LOWER(AI438)&amp;"|"&amp;AH438&amp;"|"&amp;AJ438&amp;"|"&amp;AK438)</f>
        <v/>
      </c>
      <c r="AO438" s="33">
        <f>IF(OR(A438="",T438=""),"",T438-TODAY())</f>
        <v/>
      </c>
      <c r="AP438" s="33">
        <f>IF(OR(A438="",V438&lt;&gt;""),"",(TODAY()-B438)+ROW()/1000000)</f>
        <v/>
      </c>
    </row>
    <row r="439" ht="27" customHeight="1">
      <c r="A439" s="30" t="n"/>
      <c r="B439" s="31" t="n"/>
      <c r="C439" s="32" t="n"/>
      <c r="D439" s="32" t="n"/>
      <c r="E439" s="32" t="n"/>
      <c r="F439" s="32" t="n"/>
      <c r="G439" s="33">
        <f>IF(A439="","",IFERROR(INDEX(OffCat,MATCH(F439,OffList,0)),"Unlisted"))</f>
        <v/>
      </c>
      <c r="H439" s="30" t="n"/>
      <c r="I439" s="31" t="n"/>
      <c r="J439" s="34" t="n"/>
      <c r="K439" s="34" t="n"/>
      <c r="L439" s="34" t="n"/>
      <c r="M439" s="30" t="n"/>
      <c r="N439" s="30" t="n"/>
      <c r="O439" s="30" t="n"/>
      <c r="P439" s="30" t="n"/>
      <c r="Q439" s="31" t="n"/>
      <c r="R439" s="31" t="n"/>
      <c r="S439" s="31" t="n"/>
      <c r="T439" s="31" t="n"/>
      <c r="U439" s="31" t="n"/>
      <c r="V439" s="31" t="n"/>
      <c r="W439" s="30" t="n"/>
      <c r="X439" s="31" t="n"/>
      <c r="Y439" s="35" t="n"/>
      <c r="Z439" s="35" t="n"/>
      <c r="AA439" s="35" t="n"/>
      <c r="AB439" s="35" t="n"/>
      <c r="AC439" s="35" t="n"/>
      <c r="AD439" s="35" t="n"/>
      <c r="AE439" s="35" t="n"/>
      <c r="AF439" s="35" t="n"/>
      <c r="AG439" s="36">
        <f>IF(A439="","",IF(V439&lt;&gt;"",V439-B439,TODAY()-B439))</f>
        <v/>
      </c>
      <c r="AH439" s="36">
        <f>IF(OR(A439="",I439=""),"",MAX(0,IF(V439&lt;&gt;"",V439-I439,TODAY()-I439)))</f>
        <v/>
      </c>
      <c r="AI439" s="37">
        <f>IF(A439="","",IF(OR(K439="Closed",V439&lt;&gt;""),"Closed",IF(AH439&gt;=AgeCrit,"Critical",IF(AH439&gt;=AgeFu,"For Follow-up",IF(AH439&gt;=AgeMonitor,"Monitor","Within Standard")))))</f>
        <v/>
      </c>
      <c r="AJ439" s="38">
        <f>IF(A439="","",IFERROR(INDEX(StgPct,MATCH(H439,StgList,0)),0))</f>
        <v/>
      </c>
      <c r="AK439" s="38">
        <f>IF(A439="","",IFERROR(COUNTIF(Y439:AF439,"Y")/(COUNTIF(Y439:AF439,"Y")+COUNTIF(Y439:AF439,"N")),0))</f>
        <v/>
      </c>
      <c r="AL439" s="36">
        <f>IF(OR(A439="",X439=""),"",MAX(0,IF(V439&lt;&gt;"",V439,TODAY())-X439))</f>
        <v/>
      </c>
      <c r="AM439" s="32" t="n"/>
      <c r="AN439" s="33">
        <f>IF(A439="","",LOWER(AI439)&amp;"|"&amp;AH439&amp;"|"&amp;AJ439&amp;"|"&amp;AK439)</f>
        <v/>
      </c>
      <c r="AO439" s="33">
        <f>IF(OR(A439="",T439=""),"",T439-TODAY())</f>
        <v/>
      </c>
      <c r="AP439" s="33">
        <f>IF(OR(A439="",V439&lt;&gt;""),"",(TODAY()-B439)+ROW()/1000000)</f>
        <v/>
      </c>
    </row>
    <row r="440" ht="27" customHeight="1">
      <c r="A440" s="30" t="n"/>
      <c r="B440" s="31" t="n"/>
      <c r="C440" s="32" t="n"/>
      <c r="D440" s="32" t="n"/>
      <c r="E440" s="32" t="n"/>
      <c r="F440" s="32" t="n"/>
      <c r="G440" s="33">
        <f>IF(A440="","",IFERROR(INDEX(OffCat,MATCH(F440,OffList,0)),"Unlisted"))</f>
        <v/>
      </c>
      <c r="H440" s="30" t="n"/>
      <c r="I440" s="31" t="n"/>
      <c r="J440" s="34" t="n"/>
      <c r="K440" s="34" t="n"/>
      <c r="L440" s="34" t="n"/>
      <c r="M440" s="30" t="n"/>
      <c r="N440" s="30" t="n"/>
      <c r="O440" s="30" t="n"/>
      <c r="P440" s="30" t="n"/>
      <c r="Q440" s="31" t="n"/>
      <c r="R440" s="31" t="n"/>
      <c r="S440" s="31" t="n"/>
      <c r="T440" s="31" t="n"/>
      <c r="U440" s="31" t="n"/>
      <c r="V440" s="31" t="n"/>
      <c r="W440" s="30" t="n"/>
      <c r="X440" s="31" t="n"/>
      <c r="Y440" s="35" t="n"/>
      <c r="Z440" s="35" t="n"/>
      <c r="AA440" s="35" t="n"/>
      <c r="AB440" s="35" t="n"/>
      <c r="AC440" s="35" t="n"/>
      <c r="AD440" s="35" t="n"/>
      <c r="AE440" s="35" t="n"/>
      <c r="AF440" s="35" t="n"/>
      <c r="AG440" s="36">
        <f>IF(A440="","",IF(V440&lt;&gt;"",V440-B440,TODAY()-B440))</f>
        <v/>
      </c>
      <c r="AH440" s="36">
        <f>IF(OR(A440="",I440=""),"",MAX(0,IF(V440&lt;&gt;"",V440-I440,TODAY()-I440)))</f>
        <v/>
      </c>
      <c r="AI440" s="37">
        <f>IF(A440="","",IF(OR(K440="Closed",V440&lt;&gt;""),"Closed",IF(AH440&gt;=AgeCrit,"Critical",IF(AH440&gt;=AgeFu,"For Follow-up",IF(AH440&gt;=AgeMonitor,"Monitor","Within Standard")))))</f>
        <v/>
      </c>
      <c r="AJ440" s="38">
        <f>IF(A440="","",IFERROR(INDEX(StgPct,MATCH(H440,StgList,0)),0))</f>
        <v/>
      </c>
      <c r="AK440" s="38">
        <f>IF(A440="","",IFERROR(COUNTIF(Y440:AF440,"Y")/(COUNTIF(Y440:AF440,"Y")+COUNTIF(Y440:AF440,"N")),0))</f>
        <v/>
      </c>
      <c r="AL440" s="36">
        <f>IF(OR(A440="",X440=""),"",MAX(0,IF(V440&lt;&gt;"",V440,TODAY())-X440))</f>
        <v/>
      </c>
      <c r="AM440" s="32" t="n"/>
      <c r="AN440" s="33">
        <f>IF(A440="","",LOWER(AI440)&amp;"|"&amp;AH440&amp;"|"&amp;AJ440&amp;"|"&amp;AK440)</f>
        <v/>
      </c>
      <c r="AO440" s="33">
        <f>IF(OR(A440="",T440=""),"",T440-TODAY())</f>
        <v/>
      </c>
      <c r="AP440" s="33">
        <f>IF(OR(A440="",V440&lt;&gt;""),"",(TODAY()-B440)+ROW()/1000000)</f>
        <v/>
      </c>
    </row>
    <row r="441" ht="27" customHeight="1">
      <c r="A441" s="30" t="n"/>
      <c r="B441" s="31" t="n"/>
      <c r="C441" s="32" t="n"/>
      <c r="D441" s="32" t="n"/>
      <c r="E441" s="32" t="n"/>
      <c r="F441" s="32" t="n"/>
      <c r="G441" s="33">
        <f>IF(A441="","",IFERROR(INDEX(OffCat,MATCH(F441,OffList,0)),"Unlisted"))</f>
        <v/>
      </c>
      <c r="H441" s="30" t="n"/>
      <c r="I441" s="31" t="n"/>
      <c r="J441" s="34" t="n"/>
      <c r="K441" s="34" t="n"/>
      <c r="L441" s="34" t="n"/>
      <c r="M441" s="30" t="n"/>
      <c r="N441" s="30" t="n"/>
      <c r="O441" s="30" t="n"/>
      <c r="P441" s="30" t="n"/>
      <c r="Q441" s="31" t="n"/>
      <c r="R441" s="31" t="n"/>
      <c r="S441" s="31" t="n"/>
      <c r="T441" s="31" t="n"/>
      <c r="U441" s="31" t="n"/>
      <c r="V441" s="31" t="n"/>
      <c r="W441" s="30" t="n"/>
      <c r="X441" s="31" t="n"/>
      <c r="Y441" s="35" t="n"/>
      <c r="Z441" s="35" t="n"/>
      <c r="AA441" s="35" t="n"/>
      <c r="AB441" s="35" t="n"/>
      <c r="AC441" s="35" t="n"/>
      <c r="AD441" s="35" t="n"/>
      <c r="AE441" s="35" t="n"/>
      <c r="AF441" s="35" t="n"/>
      <c r="AG441" s="36">
        <f>IF(A441="","",IF(V441&lt;&gt;"",V441-B441,TODAY()-B441))</f>
        <v/>
      </c>
      <c r="AH441" s="36">
        <f>IF(OR(A441="",I441=""),"",MAX(0,IF(V441&lt;&gt;"",V441-I441,TODAY()-I441)))</f>
        <v/>
      </c>
      <c r="AI441" s="37">
        <f>IF(A441="","",IF(OR(K441="Closed",V441&lt;&gt;""),"Closed",IF(AH441&gt;=AgeCrit,"Critical",IF(AH441&gt;=AgeFu,"For Follow-up",IF(AH441&gt;=AgeMonitor,"Monitor","Within Standard")))))</f>
        <v/>
      </c>
      <c r="AJ441" s="38">
        <f>IF(A441="","",IFERROR(INDEX(StgPct,MATCH(H441,StgList,0)),0))</f>
        <v/>
      </c>
      <c r="AK441" s="38">
        <f>IF(A441="","",IFERROR(COUNTIF(Y441:AF441,"Y")/(COUNTIF(Y441:AF441,"Y")+COUNTIF(Y441:AF441,"N")),0))</f>
        <v/>
      </c>
      <c r="AL441" s="36">
        <f>IF(OR(A441="",X441=""),"",MAX(0,IF(V441&lt;&gt;"",V441,TODAY())-X441))</f>
        <v/>
      </c>
      <c r="AM441" s="32" t="n"/>
      <c r="AN441" s="33">
        <f>IF(A441="","",LOWER(AI441)&amp;"|"&amp;AH441&amp;"|"&amp;AJ441&amp;"|"&amp;AK441)</f>
        <v/>
      </c>
      <c r="AO441" s="33">
        <f>IF(OR(A441="",T441=""),"",T441-TODAY())</f>
        <v/>
      </c>
      <c r="AP441" s="33">
        <f>IF(OR(A441="",V441&lt;&gt;""),"",(TODAY()-B441)+ROW()/1000000)</f>
        <v/>
      </c>
    </row>
    <row r="442" ht="27" customHeight="1">
      <c r="A442" s="30" t="n"/>
      <c r="B442" s="31" t="n"/>
      <c r="C442" s="32" t="n"/>
      <c r="D442" s="32" t="n"/>
      <c r="E442" s="32" t="n"/>
      <c r="F442" s="32" t="n"/>
      <c r="G442" s="33">
        <f>IF(A442="","",IFERROR(INDEX(OffCat,MATCH(F442,OffList,0)),"Unlisted"))</f>
        <v/>
      </c>
      <c r="H442" s="30" t="n"/>
      <c r="I442" s="31" t="n"/>
      <c r="J442" s="34" t="n"/>
      <c r="K442" s="34" t="n"/>
      <c r="L442" s="34" t="n"/>
      <c r="M442" s="30" t="n"/>
      <c r="N442" s="30" t="n"/>
      <c r="O442" s="30" t="n"/>
      <c r="P442" s="30" t="n"/>
      <c r="Q442" s="31" t="n"/>
      <c r="R442" s="31" t="n"/>
      <c r="S442" s="31" t="n"/>
      <c r="T442" s="31" t="n"/>
      <c r="U442" s="31" t="n"/>
      <c r="V442" s="31" t="n"/>
      <c r="W442" s="30" t="n"/>
      <c r="X442" s="31" t="n"/>
      <c r="Y442" s="35" t="n"/>
      <c r="Z442" s="35" t="n"/>
      <c r="AA442" s="35" t="n"/>
      <c r="AB442" s="35" t="n"/>
      <c r="AC442" s="35" t="n"/>
      <c r="AD442" s="35" t="n"/>
      <c r="AE442" s="35" t="n"/>
      <c r="AF442" s="35" t="n"/>
      <c r="AG442" s="36">
        <f>IF(A442="","",IF(V442&lt;&gt;"",V442-B442,TODAY()-B442))</f>
        <v/>
      </c>
      <c r="AH442" s="36">
        <f>IF(OR(A442="",I442=""),"",MAX(0,IF(V442&lt;&gt;"",V442-I442,TODAY()-I442)))</f>
        <v/>
      </c>
      <c r="AI442" s="37">
        <f>IF(A442="","",IF(OR(K442="Closed",V442&lt;&gt;""),"Closed",IF(AH442&gt;=AgeCrit,"Critical",IF(AH442&gt;=AgeFu,"For Follow-up",IF(AH442&gt;=AgeMonitor,"Monitor","Within Standard")))))</f>
        <v/>
      </c>
      <c r="AJ442" s="38">
        <f>IF(A442="","",IFERROR(INDEX(StgPct,MATCH(H442,StgList,0)),0))</f>
        <v/>
      </c>
      <c r="AK442" s="38">
        <f>IF(A442="","",IFERROR(COUNTIF(Y442:AF442,"Y")/(COUNTIF(Y442:AF442,"Y")+COUNTIF(Y442:AF442,"N")),0))</f>
        <v/>
      </c>
      <c r="AL442" s="36">
        <f>IF(OR(A442="",X442=""),"",MAX(0,IF(V442&lt;&gt;"",V442,TODAY())-X442))</f>
        <v/>
      </c>
      <c r="AM442" s="32" t="n"/>
      <c r="AN442" s="33">
        <f>IF(A442="","",LOWER(AI442)&amp;"|"&amp;AH442&amp;"|"&amp;AJ442&amp;"|"&amp;AK442)</f>
        <v/>
      </c>
      <c r="AO442" s="33">
        <f>IF(OR(A442="",T442=""),"",T442-TODAY())</f>
        <v/>
      </c>
      <c r="AP442" s="33">
        <f>IF(OR(A442="",V442&lt;&gt;""),"",(TODAY()-B442)+ROW()/1000000)</f>
        <v/>
      </c>
    </row>
    <row r="443" ht="27" customHeight="1">
      <c r="A443" s="30" t="n"/>
      <c r="B443" s="31" t="n"/>
      <c r="C443" s="32" t="n"/>
      <c r="D443" s="32" t="n"/>
      <c r="E443" s="32" t="n"/>
      <c r="F443" s="32" t="n"/>
      <c r="G443" s="33">
        <f>IF(A443="","",IFERROR(INDEX(OffCat,MATCH(F443,OffList,0)),"Unlisted"))</f>
        <v/>
      </c>
      <c r="H443" s="30" t="n"/>
      <c r="I443" s="31" t="n"/>
      <c r="J443" s="34" t="n"/>
      <c r="K443" s="34" t="n"/>
      <c r="L443" s="34" t="n"/>
      <c r="M443" s="30" t="n"/>
      <c r="N443" s="30" t="n"/>
      <c r="O443" s="30" t="n"/>
      <c r="P443" s="30" t="n"/>
      <c r="Q443" s="31" t="n"/>
      <c r="R443" s="31" t="n"/>
      <c r="S443" s="31" t="n"/>
      <c r="T443" s="31" t="n"/>
      <c r="U443" s="31" t="n"/>
      <c r="V443" s="31" t="n"/>
      <c r="W443" s="30" t="n"/>
      <c r="X443" s="31" t="n"/>
      <c r="Y443" s="35" t="n"/>
      <c r="Z443" s="35" t="n"/>
      <c r="AA443" s="35" t="n"/>
      <c r="AB443" s="35" t="n"/>
      <c r="AC443" s="35" t="n"/>
      <c r="AD443" s="35" t="n"/>
      <c r="AE443" s="35" t="n"/>
      <c r="AF443" s="35" t="n"/>
      <c r="AG443" s="36">
        <f>IF(A443="","",IF(V443&lt;&gt;"",V443-B443,TODAY()-B443))</f>
        <v/>
      </c>
      <c r="AH443" s="36">
        <f>IF(OR(A443="",I443=""),"",MAX(0,IF(V443&lt;&gt;"",V443-I443,TODAY()-I443)))</f>
        <v/>
      </c>
      <c r="AI443" s="37">
        <f>IF(A443="","",IF(OR(K443="Closed",V443&lt;&gt;""),"Closed",IF(AH443&gt;=AgeCrit,"Critical",IF(AH443&gt;=AgeFu,"For Follow-up",IF(AH443&gt;=AgeMonitor,"Monitor","Within Standard")))))</f>
        <v/>
      </c>
      <c r="AJ443" s="38">
        <f>IF(A443="","",IFERROR(INDEX(StgPct,MATCH(H443,StgList,0)),0))</f>
        <v/>
      </c>
      <c r="AK443" s="38">
        <f>IF(A443="","",IFERROR(COUNTIF(Y443:AF443,"Y")/(COUNTIF(Y443:AF443,"Y")+COUNTIF(Y443:AF443,"N")),0))</f>
        <v/>
      </c>
      <c r="AL443" s="36">
        <f>IF(OR(A443="",X443=""),"",MAX(0,IF(V443&lt;&gt;"",V443,TODAY())-X443))</f>
        <v/>
      </c>
      <c r="AM443" s="32" t="n"/>
      <c r="AN443" s="33">
        <f>IF(A443="","",LOWER(AI443)&amp;"|"&amp;AH443&amp;"|"&amp;AJ443&amp;"|"&amp;AK443)</f>
        <v/>
      </c>
      <c r="AO443" s="33">
        <f>IF(OR(A443="",T443=""),"",T443-TODAY())</f>
        <v/>
      </c>
      <c r="AP443" s="33">
        <f>IF(OR(A443="",V443&lt;&gt;""),"",(TODAY()-B443)+ROW()/1000000)</f>
        <v/>
      </c>
    </row>
    <row r="444" ht="27" customHeight="1">
      <c r="A444" s="30" t="n"/>
      <c r="B444" s="31" t="n"/>
      <c r="C444" s="32" t="n"/>
      <c r="D444" s="32" t="n"/>
      <c r="E444" s="32" t="n"/>
      <c r="F444" s="32" t="n"/>
      <c r="G444" s="33">
        <f>IF(A444="","",IFERROR(INDEX(OffCat,MATCH(F444,OffList,0)),"Unlisted"))</f>
        <v/>
      </c>
      <c r="H444" s="30" t="n"/>
      <c r="I444" s="31" t="n"/>
      <c r="J444" s="34" t="n"/>
      <c r="K444" s="34" t="n"/>
      <c r="L444" s="34" t="n"/>
      <c r="M444" s="30" t="n"/>
      <c r="N444" s="30" t="n"/>
      <c r="O444" s="30" t="n"/>
      <c r="P444" s="30" t="n"/>
      <c r="Q444" s="31" t="n"/>
      <c r="R444" s="31" t="n"/>
      <c r="S444" s="31" t="n"/>
      <c r="T444" s="31" t="n"/>
      <c r="U444" s="31" t="n"/>
      <c r="V444" s="31" t="n"/>
      <c r="W444" s="30" t="n"/>
      <c r="X444" s="31" t="n"/>
      <c r="Y444" s="35" t="n"/>
      <c r="Z444" s="35" t="n"/>
      <c r="AA444" s="35" t="n"/>
      <c r="AB444" s="35" t="n"/>
      <c r="AC444" s="35" t="n"/>
      <c r="AD444" s="35" t="n"/>
      <c r="AE444" s="35" t="n"/>
      <c r="AF444" s="35" t="n"/>
      <c r="AG444" s="36">
        <f>IF(A444="","",IF(V444&lt;&gt;"",V444-B444,TODAY()-B444))</f>
        <v/>
      </c>
      <c r="AH444" s="36">
        <f>IF(OR(A444="",I444=""),"",MAX(0,IF(V444&lt;&gt;"",V444-I444,TODAY()-I444)))</f>
        <v/>
      </c>
      <c r="AI444" s="37">
        <f>IF(A444="","",IF(OR(K444="Closed",V444&lt;&gt;""),"Closed",IF(AH444&gt;=AgeCrit,"Critical",IF(AH444&gt;=AgeFu,"For Follow-up",IF(AH444&gt;=AgeMonitor,"Monitor","Within Standard")))))</f>
        <v/>
      </c>
      <c r="AJ444" s="38">
        <f>IF(A444="","",IFERROR(INDEX(StgPct,MATCH(H444,StgList,0)),0))</f>
        <v/>
      </c>
      <c r="AK444" s="38">
        <f>IF(A444="","",IFERROR(COUNTIF(Y444:AF444,"Y")/(COUNTIF(Y444:AF444,"Y")+COUNTIF(Y444:AF444,"N")),0))</f>
        <v/>
      </c>
      <c r="AL444" s="36">
        <f>IF(OR(A444="",X444=""),"",MAX(0,IF(V444&lt;&gt;"",V444,TODAY())-X444))</f>
        <v/>
      </c>
      <c r="AM444" s="32" t="n"/>
      <c r="AN444" s="33">
        <f>IF(A444="","",LOWER(AI444)&amp;"|"&amp;AH444&amp;"|"&amp;AJ444&amp;"|"&amp;AK444)</f>
        <v/>
      </c>
      <c r="AO444" s="33">
        <f>IF(OR(A444="",T444=""),"",T444-TODAY())</f>
        <v/>
      </c>
      <c r="AP444" s="33">
        <f>IF(OR(A444="",V444&lt;&gt;""),"",(TODAY()-B444)+ROW()/1000000)</f>
        <v/>
      </c>
    </row>
    <row r="445" ht="27" customHeight="1">
      <c r="A445" s="30" t="n"/>
      <c r="B445" s="31" t="n"/>
      <c r="C445" s="32" t="n"/>
      <c r="D445" s="32" t="n"/>
      <c r="E445" s="32" t="n"/>
      <c r="F445" s="32" t="n"/>
      <c r="G445" s="33">
        <f>IF(A445="","",IFERROR(INDEX(OffCat,MATCH(F445,OffList,0)),"Unlisted"))</f>
        <v/>
      </c>
      <c r="H445" s="30" t="n"/>
      <c r="I445" s="31" t="n"/>
      <c r="J445" s="34" t="n"/>
      <c r="K445" s="34" t="n"/>
      <c r="L445" s="34" t="n"/>
      <c r="M445" s="30" t="n"/>
      <c r="N445" s="30" t="n"/>
      <c r="O445" s="30" t="n"/>
      <c r="P445" s="30" t="n"/>
      <c r="Q445" s="31" t="n"/>
      <c r="R445" s="31" t="n"/>
      <c r="S445" s="31" t="n"/>
      <c r="T445" s="31" t="n"/>
      <c r="U445" s="31" t="n"/>
      <c r="V445" s="31" t="n"/>
      <c r="W445" s="30" t="n"/>
      <c r="X445" s="31" t="n"/>
      <c r="Y445" s="35" t="n"/>
      <c r="Z445" s="35" t="n"/>
      <c r="AA445" s="35" t="n"/>
      <c r="AB445" s="35" t="n"/>
      <c r="AC445" s="35" t="n"/>
      <c r="AD445" s="35" t="n"/>
      <c r="AE445" s="35" t="n"/>
      <c r="AF445" s="35" t="n"/>
      <c r="AG445" s="36">
        <f>IF(A445="","",IF(V445&lt;&gt;"",V445-B445,TODAY()-B445))</f>
        <v/>
      </c>
      <c r="AH445" s="36">
        <f>IF(OR(A445="",I445=""),"",MAX(0,IF(V445&lt;&gt;"",V445-I445,TODAY()-I445)))</f>
        <v/>
      </c>
      <c r="AI445" s="37">
        <f>IF(A445="","",IF(OR(K445="Closed",V445&lt;&gt;""),"Closed",IF(AH445&gt;=AgeCrit,"Critical",IF(AH445&gt;=AgeFu,"For Follow-up",IF(AH445&gt;=AgeMonitor,"Monitor","Within Standard")))))</f>
        <v/>
      </c>
      <c r="AJ445" s="38">
        <f>IF(A445="","",IFERROR(INDEX(StgPct,MATCH(H445,StgList,0)),0))</f>
        <v/>
      </c>
      <c r="AK445" s="38">
        <f>IF(A445="","",IFERROR(COUNTIF(Y445:AF445,"Y")/(COUNTIF(Y445:AF445,"Y")+COUNTIF(Y445:AF445,"N")),0))</f>
        <v/>
      </c>
      <c r="AL445" s="36">
        <f>IF(OR(A445="",X445=""),"",MAX(0,IF(V445&lt;&gt;"",V445,TODAY())-X445))</f>
        <v/>
      </c>
      <c r="AM445" s="32" t="n"/>
      <c r="AN445" s="33">
        <f>IF(A445="","",LOWER(AI445)&amp;"|"&amp;AH445&amp;"|"&amp;AJ445&amp;"|"&amp;AK445)</f>
        <v/>
      </c>
      <c r="AO445" s="33">
        <f>IF(OR(A445="",T445=""),"",T445-TODAY())</f>
        <v/>
      </c>
      <c r="AP445" s="33">
        <f>IF(OR(A445="",V445&lt;&gt;""),"",(TODAY()-B445)+ROW()/1000000)</f>
        <v/>
      </c>
    </row>
    <row r="446" ht="27" customHeight="1">
      <c r="A446" s="30" t="n"/>
      <c r="B446" s="31" t="n"/>
      <c r="C446" s="32" t="n"/>
      <c r="D446" s="32" t="n"/>
      <c r="E446" s="32" t="n"/>
      <c r="F446" s="32" t="n"/>
      <c r="G446" s="33">
        <f>IF(A446="","",IFERROR(INDEX(OffCat,MATCH(F446,OffList,0)),"Unlisted"))</f>
        <v/>
      </c>
      <c r="H446" s="30" t="n"/>
      <c r="I446" s="31" t="n"/>
      <c r="J446" s="34" t="n"/>
      <c r="K446" s="34" t="n"/>
      <c r="L446" s="34" t="n"/>
      <c r="M446" s="30" t="n"/>
      <c r="N446" s="30" t="n"/>
      <c r="O446" s="30" t="n"/>
      <c r="P446" s="30" t="n"/>
      <c r="Q446" s="31" t="n"/>
      <c r="R446" s="31" t="n"/>
      <c r="S446" s="31" t="n"/>
      <c r="T446" s="31" t="n"/>
      <c r="U446" s="31" t="n"/>
      <c r="V446" s="31" t="n"/>
      <c r="W446" s="30" t="n"/>
      <c r="X446" s="31" t="n"/>
      <c r="Y446" s="35" t="n"/>
      <c r="Z446" s="35" t="n"/>
      <c r="AA446" s="35" t="n"/>
      <c r="AB446" s="35" t="n"/>
      <c r="AC446" s="35" t="n"/>
      <c r="AD446" s="35" t="n"/>
      <c r="AE446" s="35" t="n"/>
      <c r="AF446" s="35" t="n"/>
      <c r="AG446" s="36">
        <f>IF(A446="","",IF(V446&lt;&gt;"",V446-B446,TODAY()-B446))</f>
        <v/>
      </c>
      <c r="AH446" s="36">
        <f>IF(OR(A446="",I446=""),"",MAX(0,IF(V446&lt;&gt;"",V446-I446,TODAY()-I446)))</f>
        <v/>
      </c>
      <c r="AI446" s="37">
        <f>IF(A446="","",IF(OR(K446="Closed",V446&lt;&gt;""),"Closed",IF(AH446&gt;=AgeCrit,"Critical",IF(AH446&gt;=AgeFu,"For Follow-up",IF(AH446&gt;=AgeMonitor,"Monitor","Within Standard")))))</f>
        <v/>
      </c>
      <c r="AJ446" s="38">
        <f>IF(A446="","",IFERROR(INDEX(StgPct,MATCH(H446,StgList,0)),0))</f>
        <v/>
      </c>
      <c r="AK446" s="38">
        <f>IF(A446="","",IFERROR(COUNTIF(Y446:AF446,"Y")/(COUNTIF(Y446:AF446,"Y")+COUNTIF(Y446:AF446,"N")),0))</f>
        <v/>
      </c>
      <c r="AL446" s="36">
        <f>IF(OR(A446="",X446=""),"",MAX(0,IF(V446&lt;&gt;"",V446,TODAY())-X446))</f>
        <v/>
      </c>
      <c r="AM446" s="32" t="n"/>
      <c r="AN446" s="33">
        <f>IF(A446="","",LOWER(AI446)&amp;"|"&amp;AH446&amp;"|"&amp;AJ446&amp;"|"&amp;AK446)</f>
        <v/>
      </c>
      <c r="AO446" s="33">
        <f>IF(OR(A446="",T446=""),"",T446-TODAY())</f>
        <v/>
      </c>
      <c r="AP446" s="33">
        <f>IF(OR(A446="",V446&lt;&gt;""),"",(TODAY()-B446)+ROW()/1000000)</f>
        <v/>
      </c>
    </row>
    <row r="447" ht="27" customHeight="1">
      <c r="A447" s="30" t="n"/>
      <c r="B447" s="31" t="n"/>
      <c r="C447" s="32" t="n"/>
      <c r="D447" s="32" t="n"/>
      <c r="E447" s="32" t="n"/>
      <c r="F447" s="32" t="n"/>
      <c r="G447" s="33">
        <f>IF(A447="","",IFERROR(INDEX(OffCat,MATCH(F447,OffList,0)),"Unlisted"))</f>
        <v/>
      </c>
      <c r="H447" s="30" t="n"/>
      <c r="I447" s="31" t="n"/>
      <c r="J447" s="34" t="n"/>
      <c r="K447" s="34" t="n"/>
      <c r="L447" s="34" t="n"/>
      <c r="M447" s="30" t="n"/>
      <c r="N447" s="30" t="n"/>
      <c r="O447" s="30" t="n"/>
      <c r="P447" s="30" t="n"/>
      <c r="Q447" s="31" t="n"/>
      <c r="R447" s="31" t="n"/>
      <c r="S447" s="31" t="n"/>
      <c r="T447" s="31" t="n"/>
      <c r="U447" s="31" t="n"/>
      <c r="V447" s="31" t="n"/>
      <c r="W447" s="30" t="n"/>
      <c r="X447" s="31" t="n"/>
      <c r="Y447" s="35" t="n"/>
      <c r="Z447" s="35" t="n"/>
      <c r="AA447" s="35" t="n"/>
      <c r="AB447" s="35" t="n"/>
      <c r="AC447" s="35" t="n"/>
      <c r="AD447" s="35" t="n"/>
      <c r="AE447" s="35" t="n"/>
      <c r="AF447" s="35" t="n"/>
      <c r="AG447" s="36">
        <f>IF(A447="","",IF(V447&lt;&gt;"",V447-B447,TODAY()-B447))</f>
        <v/>
      </c>
      <c r="AH447" s="36">
        <f>IF(OR(A447="",I447=""),"",MAX(0,IF(V447&lt;&gt;"",V447-I447,TODAY()-I447)))</f>
        <v/>
      </c>
      <c r="AI447" s="37">
        <f>IF(A447="","",IF(OR(K447="Closed",V447&lt;&gt;""),"Closed",IF(AH447&gt;=AgeCrit,"Critical",IF(AH447&gt;=AgeFu,"For Follow-up",IF(AH447&gt;=AgeMonitor,"Monitor","Within Standard")))))</f>
        <v/>
      </c>
      <c r="AJ447" s="38">
        <f>IF(A447="","",IFERROR(INDEX(StgPct,MATCH(H447,StgList,0)),0))</f>
        <v/>
      </c>
      <c r="AK447" s="38">
        <f>IF(A447="","",IFERROR(COUNTIF(Y447:AF447,"Y")/(COUNTIF(Y447:AF447,"Y")+COUNTIF(Y447:AF447,"N")),0))</f>
        <v/>
      </c>
      <c r="AL447" s="36">
        <f>IF(OR(A447="",X447=""),"",MAX(0,IF(V447&lt;&gt;"",V447,TODAY())-X447))</f>
        <v/>
      </c>
      <c r="AM447" s="32" t="n"/>
      <c r="AN447" s="33">
        <f>IF(A447="","",LOWER(AI447)&amp;"|"&amp;AH447&amp;"|"&amp;AJ447&amp;"|"&amp;AK447)</f>
        <v/>
      </c>
      <c r="AO447" s="33">
        <f>IF(OR(A447="",T447=""),"",T447-TODAY())</f>
        <v/>
      </c>
      <c r="AP447" s="33">
        <f>IF(OR(A447="",V447&lt;&gt;""),"",(TODAY()-B447)+ROW()/1000000)</f>
        <v/>
      </c>
    </row>
    <row r="448" ht="27" customHeight="1">
      <c r="A448" s="30" t="n"/>
      <c r="B448" s="31" t="n"/>
      <c r="C448" s="32" t="n"/>
      <c r="D448" s="32" t="n"/>
      <c r="E448" s="32" t="n"/>
      <c r="F448" s="32" t="n"/>
      <c r="G448" s="33">
        <f>IF(A448="","",IFERROR(INDEX(OffCat,MATCH(F448,OffList,0)),"Unlisted"))</f>
        <v/>
      </c>
      <c r="H448" s="30" t="n"/>
      <c r="I448" s="31" t="n"/>
      <c r="J448" s="34" t="n"/>
      <c r="K448" s="34" t="n"/>
      <c r="L448" s="34" t="n"/>
      <c r="M448" s="30" t="n"/>
      <c r="N448" s="30" t="n"/>
      <c r="O448" s="30" t="n"/>
      <c r="P448" s="30" t="n"/>
      <c r="Q448" s="31" t="n"/>
      <c r="R448" s="31" t="n"/>
      <c r="S448" s="31" t="n"/>
      <c r="T448" s="31" t="n"/>
      <c r="U448" s="31" t="n"/>
      <c r="V448" s="31" t="n"/>
      <c r="W448" s="30" t="n"/>
      <c r="X448" s="31" t="n"/>
      <c r="Y448" s="35" t="n"/>
      <c r="Z448" s="35" t="n"/>
      <c r="AA448" s="35" t="n"/>
      <c r="AB448" s="35" t="n"/>
      <c r="AC448" s="35" t="n"/>
      <c r="AD448" s="35" t="n"/>
      <c r="AE448" s="35" t="n"/>
      <c r="AF448" s="35" t="n"/>
      <c r="AG448" s="36">
        <f>IF(A448="","",IF(V448&lt;&gt;"",V448-B448,TODAY()-B448))</f>
        <v/>
      </c>
      <c r="AH448" s="36">
        <f>IF(OR(A448="",I448=""),"",MAX(0,IF(V448&lt;&gt;"",V448-I448,TODAY()-I448)))</f>
        <v/>
      </c>
      <c r="AI448" s="37">
        <f>IF(A448="","",IF(OR(K448="Closed",V448&lt;&gt;""),"Closed",IF(AH448&gt;=AgeCrit,"Critical",IF(AH448&gt;=AgeFu,"For Follow-up",IF(AH448&gt;=AgeMonitor,"Monitor","Within Standard")))))</f>
        <v/>
      </c>
      <c r="AJ448" s="38">
        <f>IF(A448="","",IFERROR(INDEX(StgPct,MATCH(H448,StgList,0)),0))</f>
        <v/>
      </c>
      <c r="AK448" s="38">
        <f>IF(A448="","",IFERROR(COUNTIF(Y448:AF448,"Y")/(COUNTIF(Y448:AF448,"Y")+COUNTIF(Y448:AF448,"N")),0))</f>
        <v/>
      </c>
      <c r="AL448" s="36">
        <f>IF(OR(A448="",X448=""),"",MAX(0,IF(V448&lt;&gt;"",V448,TODAY())-X448))</f>
        <v/>
      </c>
      <c r="AM448" s="32" t="n"/>
      <c r="AN448" s="33">
        <f>IF(A448="","",LOWER(AI448)&amp;"|"&amp;AH448&amp;"|"&amp;AJ448&amp;"|"&amp;AK448)</f>
        <v/>
      </c>
      <c r="AO448" s="33">
        <f>IF(OR(A448="",T448=""),"",T448-TODAY())</f>
        <v/>
      </c>
      <c r="AP448" s="33">
        <f>IF(OR(A448="",V448&lt;&gt;""),"",(TODAY()-B448)+ROW()/1000000)</f>
        <v/>
      </c>
    </row>
    <row r="449" ht="27" customHeight="1">
      <c r="A449" s="30" t="n"/>
      <c r="B449" s="31" t="n"/>
      <c r="C449" s="32" t="n"/>
      <c r="D449" s="32" t="n"/>
      <c r="E449" s="32" t="n"/>
      <c r="F449" s="32" t="n"/>
      <c r="G449" s="33">
        <f>IF(A449="","",IFERROR(INDEX(OffCat,MATCH(F449,OffList,0)),"Unlisted"))</f>
        <v/>
      </c>
      <c r="H449" s="30" t="n"/>
      <c r="I449" s="31" t="n"/>
      <c r="J449" s="34" t="n"/>
      <c r="K449" s="34" t="n"/>
      <c r="L449" s="34" t="n"/>
      <c r="M449" s="30" t="n"/>
      <c r="N449" s="30" t="n"/>
      <c r="O449" s="30" t="n"/>
      <c r="P449" s="30" t="n"/>
      <c r="Q449" s="31" t="n"/>
      <c r="R449" s="31" t="n"/>
      <c r="S449" s="31" t="n"/>
      <c r="T449" s="31" t="n"/>
      <c r="U449" s="31" t="n"/>
      <c r="V449" s="31" t="n"/>
      <c r="W449" s="30" t="n"/>
      <c r="X449" s="31" t="n"/>
      <c r="Y449" s="35" t="n"/>
      <c r="Z449" s="35" t="n"/>
      <c r="AA449" s="35" t="n"/>
      <c r="AB449" s="35" t="n"/>
      <c r="AC449" s="35" t="n"/>
      <c r="AD449" s="35" t="n"/>
      <c r="AE449" s="35" t="n"/>
      <c r="AF449" s="35" t="n"/>
      <c r="AG449" s="36">
        <f>IF(A449="","",IF(V449&lt;&gt;"",V449-B449,TODAY()-B449))</f>
        <v/>
      </c>
      <c r="AH449" s="36">
        <f>IF(OR(A449="",I449=""),"",MAX(0,IF(V449&lt;&gt;"",V449-I449,TODAY()-I449)))</f>
        <v/>
      </c>
      <c r="AI449" s="37">
        <f>IF(A449="","",IF(OR(K449="Closed",V449&lt;&gt;""),"Closed",IF(AH449&gt;=AgeCrit,"Critical",IF(AH449&gt;=AgeFu,"For Follow-up",IF(AH449&gt;=AgeMonitor,"Monitor","Within Standard")))))</f>
        <v/>
      </c>
      <c r="AJ449" s="38">
        <f>IF(A449="","",IFERROR(INDEX(StgPct,MATCH(H449,StgList,0)),0))</f>
        <v/>
      </c>
      <c r="AK449" s="38">
        <f>IF(A449="","",IFERROR(COUNTIF(Y449:AF449,"Y")/(COUNTIF(Y449:AF449,"Y")+COUNTIF(Y449:AF449,"N")),0))</f>
        <v/>
      </c>
      <c r="AL449" s="36">
        <f>IF(OR(A449="",X449=""),"",MAX(0,IF(V449&lt;&gt;"",V449,TODAY())-X449))</f>
        <v/>
      </c>
      <c r="AM449" s="32" t="n"/>
      <c r="AN449" s="33">
        <f>IF(A449="","",LOWER(AI449)&amp;"|"&amp;AH449&amp;"|"&amp;AJ449&amp;"|"&amp;AK449)</f>
        <v/>
      </c>
      <c r="AO449" s="33">
        <f>IF(OR(A449="",T449=""),"",T449-TODAY())</f>
        <v/>
      </c>
      <c r="AP449" s="33">
        <f>IF(OR(A449="",V449&lt;&gt;""),"",(TODAY()-B449)+ROW()/1000000)</f>
        <v/>
      </c>
    </row>
    <row r="450" ht="27" customHeight="1">
      <c r="A450" s="30" t="n"/>
      <c r="B450" s="31" t="n"/>
      <c r="C450" s="32" t="n"/>
      <c r="D450" s="32" t="n"/>
      <c r="E450" s="32" t="n"/>
      <c r="F450" s="32" t="n"/>
      <c r="G450" s="33">
        <f>IF(A450="","",IFERROR(INDEX(OffCat,MATCH(F450,OffList,0)),"Unlisted"))</f>
        <v/>
      </c>
      <c r="H450" s="30" t="n"/>
      <c r="I450" s="31" t="n"/>
      <c r="J450" s="34" t="n"/>
      <c r="K450" s="34" t="n"/>
      <c r="L450" s="34" t="n"/>
      <c r="M450" s="30" t="n"/>
      <c r="N450" s="30" t="n"/>
      <c r="O450" s="30" t="n"/>
      <c r="P450" s="30" t="n"/>
      <c r="Q450" s="31" t="n"/>
      <c r="R450" s="31" t="n"/>
      <c r="S450" s="31" t="n"/>
      <c r="T450" s="31" t="n"/>
      <c r="U450" s="31" t="n"/>
      <c r="V450" s="31" t="n"/>
      <c r="W450" s="30" t="n"/>
      <c r="X450" s="31" t="n"/>
      <c r="Y450" s="35" t="n"/>
      <c r="Z450" s="35" t="n"/>
      <c r="AA450" s="35" t="n"/>
      <c r="AB450" s="35" t="n"/>
      <c r="AC450" s="35" t="n"/>
      <c r="AD450" s="35" t="n"/>
      <c r="AE450" s="35" t="n"/>
      <c r="AF450" s="35" t="n"/>
      <c r="AG450" s="36">
        <f>IF(A450="","",IF(V450&lt;&gt;"",V450-B450,TODAY()-B450))</f>
        <v/>
      </c>
      <c r="AH450" s="36">
        <f>IF(OR(A450="",I450=""),"",MAX(0,IF(V450&lt;&gt;"",V450-I450,TODAY()-I450)))</f>
        <v/>
      </c>
      <c r="AI450" s="37">
        <f>IF(A450="","",IF(OR(K450="Closed",V450&lt;&gt;""),"Closed",IF(AH450&gt;=AgeCrit,"Critical",IF(AH450&gt;=AgeFu,"For Follow-up",IF(AH450&gt;=AgeMonitor,"Monitor","Within Standard")))))</f>
        <v/>
      </c>
      <c r="AJ450" s="38">
        <f>IF(A450="","",IFERROR(INDEX(StgPct,MATCH(H450,StgList,0)),0))</f>
        <v/>
      </c>
      <c r="AK450" s="38">
        <f>IF(A450="","",IFERROR(COUNTIF(Y450:AF450,"Y")/(COUNTIF(Y450:AF450,"Y")+COUNTIF(Y450:AF450,"N")),0))</f>
        <v/>
      </c>
      <c r="AL450" s="36">
        <f>IF(OR(A450="",X450=""),"",MAX(0,IF(V450&lt;&gt;"",V450,TODAY())-X450))</f>
        <v/>
      </c>
      <c r="AM450" s="32" t="n"/>
      <c r="AN450" s="33">
        <f>IF(A450="","",LOWER(AI450)&amp;"|"&amp;AH450&amp;"|"&amp;AJ450&amp;"|"&amp;AK450)</f>
        <v/>
      </c>
      <c r="AO450" s="33">
        <f>IF(OR(A450="",T450=""),"",T450-TODAY())</f>
        <v/>
      </c>
      <c r="AP450" s="33">
        <f>IF(OR(A450="",V450&lt;&gt;""),"",(TODAY()-B450)+ROW()/1000000)</f>
        <v/>
      </c>
    </row>
    <row r="451" ht="27" customHeight="1">
      <c r="A451" s="30" t="n"/>
      <c r="B451" s="31" t="n"/>
      <c r="C451" s="32" t="n"/>
      <c r="D451" s="32" t="n"/>
      <c r="E451" s="32" t="n"/>
      <c r="F451" s="32" t="n"/>
      <c r="G451" s="33">
        <f>IF(A451="","",IFERROR(INDEX(OffCat,MATCH(F451,OffList,0)),"Unlisted"))</f>
        <v/>
      </c>
      <c r="H451" s="30" t="n"/>
      <c r="I451" s="31" t="n"/>
      <c r="J451" s="34" t="n"/>
      <c r="K451" s="34" t="n"/>
      <c r="L451" s="34" t="n"/>
      <c r="M451" s="30" t="n"/>
      <c r="N451" s="30" t="n"/>
      <c r="O451" s="30" t="n"/>
      <c r="P451" s="30" t="n"/>
      <c r="Q451" s="31" t="n"/>
      <c r="R451" s="31" t="n"/>
      <c r="S451" s="31" t="n"/>
      <c r="T451" s="31" t="n"/>
      <c r="U451" s="31" t="n"/>
      <c r="V451" s="31" t="n"/>
      <c r="W451" s="30" t="n"/>
      <c r="X451" s="31" t="n"/>
      <c r="Y451" s="35" t="n"/>
      <c r="Z451" s="35" t="n"/>
      <c r="AA451" s="35" t="n"/>
      <c r="AB451" s="35" t="n"/>
      <c r="AC451" s="35" t="n"/>
      <c r="AD451" s="35" t="n"/>
      <c r="AE451" s="35" t="n"/>
      <c r="AF451" s="35" t="n"/>
      <c r="AG451" s="36">
        <f>IF(A451="","",IF(V451&lt;&gt;"",V451-B451,TODAY()-B451))</f>
        <v/>
      </c>
      <c r="AH451" s="36">
        <f>IF(OR(A451="",I451=""),"",MAX(0,IF(V451&lt;&gt;"",V451-I451,TODAY()-I451)))</f>
        <v/>
      </c>
      <c r="AI451" s="37">
        <f>IF(A451="","",IF(OR(K451="Closed",V451&lt;&gt;""),"Closed",IF(AH451&gt;=AgeCrit,"Critical",IF(AH451&gt;=AgeFu,"For Follow-up",IF(AH451&gt;=AgeMonitor,"Monitor","Within Standard")))))</f>
        <v/>
      </c>
      <c r="AJ451" s="38">
        <f>IF(A451="","",IFERROR(INDEX(StgPct,MATCH(H451,StgList,0)),0))</f>
        <v/>
      </c>
      <c r="AK451" s="38">
        <f>IF(A451="","",IFERROR(COUNTIF(Y451:AF451,"Y")/(COUNTIF(Y451:AF451,"Y")+COUNTIF(Y451:AF451,"N")),0))</f>
        <v/>
      </c>
      <c r="AL451" s="36">
        <f>IF(OR(A451="",X451=""),"",MAX(0,IF(V451&lt;&gt;"",V451,TODAY())-X451))</f>
        <v/>
      </c>
      <c r="AM451" s="32" t="n"/>
      <c r="AN451" s="33">
        <f>IF(A451="","",LOWER(AI451)&amp;"|"&amp;AH451&amp;"|"&amp;AJ451&amp;"|"&amp;AK451)</f>
        <v/>
      </c>
      <c r="AO451" s="33">
        <f>IF(OR(A451="",T451=""),"",T451-TODAY())</f>
        <v/>
      </c>
      <c r="AP451" s="33">
        <f>IF(OR(A451="",V451&lt;&gt;""),"",(TODAY()-B451)+ROW()/1000000)</f>
        <v/>
      </c>
    </row>
    <row r="452" ht="27" customHeight="1">
      <c r="A452" s="30" t="n"/>
      <c r="B452" s="31" t="n"/>
      <c r="C452" s="32" t="n"/>
      <c r="D452" s="32" t="n"/>
      <c r="E452" s="32" t="n"/>
      <c r="F452" s="32" t="n"/>
      <c r="G452" s="33">
        <f>IF(A452="","",IFERROR(INDEX(OffCat,MATCH(F452,OffList,0)),"Unlisted"))</f>
        <v/>
      </c>
      <c r="H452" s="30" t="n"/>
      <c r="I452" s="31" t="n"/>
      <c r="J452" s="34" t="n"/>
      <c r="K452" s="34" t="n"/>
      <c r="L452" s="34" t="n"/>
      <c r="M452" s="30" t="n"/>
      <c r="N452" s="30" t="n"/>
      <c r="O452" s="30" t="n"/>
      <c r="P452" s="30" t="n"/>
      <c r="Q452" s="31" t="n"/>
      <c r="R452" s="31" t="n"/>
      <c r="S452" s="31" t="n"/>
      <c r="T452" s="31" t="n"/>
      <c r="U452" s="31" t="n"/>
      <c r="V452" s="31" t="n"/>
      <c r="W452" s="30" t="n"/>
      <c r="X452" s="31" t="n"/>
      <c r="Y452" s="35" t="n"/>
      <c r="Z452" s="35" t="n"/>
      <c r="AA452" s="35" t="n"/>
      <c r="AB452" s="35" t="n"/>
      <c r="AC452" s="35" t="n"/>
      <c r="AD452" s="35" t="n"/>
      <c r="AE452" s="35" t="n"/>
      <c r="AF452" s="35" t="n"/>
      <c r="AG452" s="36">
        <f>IF(A452="","",IF(V452&lt;&gt;"",V452-B452,TODAY()-B452))</f>
        <v/>
      </c>
      <c r="AH452" s="36">
        <f>IF(OR(A452="",I452=""),"",MAX(0,IF(V452&lt;&gt;"",V452-I452,TODAY()-I452)))</f>
        <v/>
      </c>
      <c r="AI452" s="37">
        <f>IF(A452="","",IF(OR(K452="Closed",V452&lt;&gt;""),"Closed",IF(AH452&gt;=AgeCrit,"Critical",IF(AH452&gt;=AgeFu,"For Follow-up",IF(AH452&gt;=AgeMonitor,"Monitor","Within Standard")))))</f>
        <v/>
      </c>
      <c r="AJ452" s="38">
        <f>IF(A452="","",IFERROR(INDEX(StgPct,MATCH(H452,StgList,0)),0))</f>
        <v/>
      </c>
      <c r="AK452" s="38">
        <f>IF(A452="","",IFERROR(COUNTIF(Y452:AF452,"Y")/(COUNTIF(Y452:AF452,"Y")+COUNTIF(Y452:AF452,"N")),0))</f>
        <v/>
      </c>
      <c r="AL452" s="36">
        <f>IF(OR(A452="",X452=""),"",MAX(0,IF(V452&lt;&gt;"",V452,TODAY())-X452))</f>
        <v/>
      </c>
      <c r="AM452" s="32" t="n"/>
      <c r="AN452" s="33">
        <f>IF(A452="","",LOWER(AI452)&amp;"|"&amp;AH452&amp;"|"&amp;AJ452&amp;"|"&amp;AK452)</f>
        <v/>
      </c>
      <c r="AO452" s="33">
        <f>IF(OR(A452="",T452=""),"",T452-TODAY())</f>
        <v/>
      </c>
      <c r="AP452" s="33">
        <f>IF(OR(A452="",V452&lt;&gt;""),"",(TODAY()-B452)+ROW()/1000000)</f>
        <v/>
      </c>
    </row>
    <row r="453" ht="27" customHeight="1">
      <c r="A453" s="30" t="n"/>
      <c r="B453" s="31" t="n"/>
      <c r="C453" s="32" t="n"/>
      <c r="D453" s="32" t="n"/>
      <c r="E453" s="32" t="n"/>
      <c r="F453" s="32" t="n"/>
      <c r="G453" s="33">
        <f>IF(A453="","",IFERROR(INDEX(OffCat,MATCH(F453,OffList,0)),"Unlisted"))</f>
        <v/>
      </c>
      <c r="H453" s="30" t="n"/>
      <c r="I453" s="31" t="n"/>
      <c r="J453" s="34" t="n"/>
      <c r="K453" s="34" t="n"/>
      <c r="L453" s="34" t="n"/>
      <c r="M453" s="30" t="n"/>
      <c r="N453" s="30" t="n"/>
      <c r="O453" s="30" t="n"/>
      <c r="P453" s="30" t="n"/>
      <c r="Q453" s="31" t="n"/>
      <c r="R453" s="31" t="n"/>
      <c r="S453" s="31" t="n"/>
      <c r="T453" s="31" t="n"/>
      <c r="U453" s="31" t="n"/>
      <c r="V453" s="31" t="n"/>
      <c r="W453" s="30" t="n"/>
      <c r="X453" s="31" t="n"/>
      <c r="Y453" s="35" t="n"/>
      <c r="Z453" s="35" t="n"/>
      <c r="AA453" s="35" t="n"/>
      <c r="AB453" s="35" t="n"/>
      <c r="AC453" s="35" t="n"/>
      <c r="AD453" s="35" t="n"/>
      <c r="AE453" s="35" t="n"/>
      <c r="AF453" s="35" t="n"/>
      <c r="AG453" s="36">
        <f>IF(A453="","",IF(V453&lt;&gt;"",V453-B453,TODAY()-B453))</f>
        <v/>
      </c>
      <c r="AH453" s="36">
        <f>IF(OR(A453="",I453=""),"",MAX(0,IF(V453&lt;&gt;"",V453-I453,TODAY()-I453)))</f>
        <v/>
      </c>
      <c r="AI453" s="37">
        <f>IF(A453="","",IF(OR(K453="Closed",V453&lt;&gt;""),"Closed",IF(AH453&gt;=AgeCrit,"Critical",IF(AH453&gt;=AgeFu,"For Follow-up",IF(AH453&gt;=AgeMonitor,"Monitor","Within Standard")))))</f>
        <v/>
      </c>
      <c r="AJ453" s="38">
        <f>IF(A453="","",IFERROR(INDEX(StgPct,MATCH(H453,StgList,0)),0))</f>
        <v/>
      </c>
      <c r="AK453" s="38">
        <f>IF(A453="","",IFERROR(COUNTIF(Y453:AF453,"Y")/(COUNTIF(Y453:AF453,"Y")+COUNTIF(Y453:AF453,"N")),0))</f>
        <v/>
      </c>
      <c r="AL453" s="36">
        <f>IF(OR(A453="",X453=""),"",MAX(0,IF(V453&lt;&gt;"",V453,TODAY())-X453))</f>
        <v/>
      </c>
      <c r="AM453" s="32" t="n"/>
      <c r="AN453" s="33">
        <f>IF(A453="","",LOWER(AI453)&amp;"|"&amp;AH453&amp;"|"&amp;AJ453&amp;"|"&amp;AK453)</f>
        <v/>
      </c>
      <c r="AO453" s="33">
        <f>IF(OR(A453="",T453=""),"",T453-TODAY())</f>
        <v/>
      </c>
      <c r="AP453" s="33">
        <f>IF(OR(A453="",V453&lt;&gt;""),"",(TODAY()-B453)+ROW()/1000000)</f>
        <v/>
      </c>
    </row>
    <row r="454" ht="27" customHeight="1">
      <c r="A454" s="30" t="n"/>
      <c r="B454" s="31" t="n"/>
      <c r="C454" s="32" t="n"/>
      <c r="D454" s="32" t="n"/>
      <c r="E454" s="32" t="n"/>
      <c r="F454" s="32" t="n"/>
      <c r="G454" s="33">
        <f>IF(A454="","",IFERROR(INDEX(OffCat,MATCH(F454,OffList,0)),"Unlisted"))</f>
        <v/>
      </c>
      <c r="H454" s="30" t="n"/>
      <c r="I454" s="31" t="n"/>
      <c r="J454" s="34" t="n"/>
      <c r="K454" s="34" t="n"/>
      <c r="L454" s="34" t="n"/>
      <c r="M454" s="30" t="n"/>
      <c r="N454" s="30" t="n"/>
      <c r="O454" s="30" t="n"/>
      <c r="P454" s="30" t="n"/>
      <c r="Q454" s="31" t="n"/>
      <c r="R454" s="31" t="n"/>
      <c r="S454" s="31" t="n"/>
      <c r="T454" s="31" t="n"/>
      <c r="U454" s="31" t="n"/>
      <c r="V454" s="31" t="n"/>
      <c r="W454" s="30" t="n"/>
      <c r="X454" s="31" t="n"/>
      <c r="Y454" s="35" t="n"/>
      <c r="Z454" s="35" t="n"/>
      <c r="AA454" s="35" t="n"/>
      <c r="AB454" s="35" t="n"/>
      <c r="AC454" s="35" t="n"/>
      <c r="AD454" s="35" t="n"/>
      <c r="AE454" s="35" t="n"/>
      <c r="AF454" s="35" t="n"/>
      <c r="AG454" s="36">
        <f>IF(A454="","",IF(V454&lt;&gt;"",V454-B454,TODAY()-B454))</f>
        <v/>
      </c>
      <c r="AH454" s="36">
        <f>IF(OR(A454="",I454=""),"",MAX(0,IF(V454&lt;&gt;"",V454-I454,TODAY()-I454)))</f>
        <v/>
      </c>
      <c r="AI454" s="37">
        <f>IF(A454="","",IF(OR(K454="Closed",V454&lt;&gt;""),"Closed",IF(AH454&gt;=AgeCrit,"Critical",IF(AH454&gt;=AgeFu,"For Follow-up",IF(AH454&gt;=AgeMonitor,"Monitor","Within Standard")))))</f>
        <v/>
      </c>
      <c r="AJ454" s="38">
        <f>IF(A454="","",IFERROR(INDEX(StgPct,MATCH(H454,StgList,0)),0))</f>
        <v/>
      </c>
      <c r="AK454" s="38">
        <f>IF(A454="","",IFERROR(COUNTIF(Y454:AF454,"Y")/(COUNTIF(Y454:AF454,"Y")+COUNTIF(Y454:AF454,"N")),0))</f>
        <v/>
      </c>
      <c r="AL454" s="36">
        <f>IF(OR(A454="",X454=""),"",MAX(0,IF(V454&lt;&gt;"",V454,TODAY())-X454))</f>
        <v/>
      </c>
      <c r="AM454" s="32" t="n"/>
      <c r="AN454" s="33">
        <f>IF(A454="","",LOWER(AI454)&amp;"|"&amp;AH454&amp;"|"&amp;AJ454&amp;"|"&amp;AK454)</f>
        <v/>
      </c>
      <c r="AO454" s="33">
        <f>IF(OR(A454="",T454=""),"",T454-TODAY())</f>
        <v/>
      </c>
      <c r="AP454" s="33">
        <f>IF(OR(A454="",V454&lt;&gt;""),"",(TODAY()-B454)+ROW()/1000000)</f>
        <v/>
      </c>
    </row>
    <row r="455" ht="27" customHeight="1">
      <c r="A455" s="30" t="n"/>
      <c r="B455" s="31" t="n"/>
      <c r="C455" s="32" t="n"/>
      <c r="D455" s="32" t="n"/>
      <c r="E455" s="32" t="n"/>
      <c r="F455" s="32" t="n"/>
      <c r="G455" s="33">
        <f>IF(A455="","",IFERROR(INDEX(OffCat,MATCH(F455,OffList,0)),"Unlisted"))</f>
        <v/>
      </c>
      <c r="H455" s="30" t="n"/>
      <c r="I455" s="31" t="n"/>
      <c r="J455" s="34" t="n"/>
      <c r="K455" s="34" t="n"/>
      <c r="L455" s="34" t="n"/>
      <c r="M455" s="30" t="n"/>
      <c r="N455" s="30" t="n"/>
      <c r="O455" s="30" t="n"/>
      <c r="P455" s="30" t="n"/>
      <c r="Q455" s="31" t="n"/>
      <c r="R455" s="31" t="n"/>
      <c r="S455" s="31" t="n"/>
      <c r="T455" s="31" t="n"/>
      <c r="U455" s="31" t="n"/>
      <c r="V455" s="31" t="n"/>
      <c r="W455" s="30" t="n"/>
      <c r="X455" s="31" t="n"/>
      <c r="Y455" s="35" t="n"/>
      <c r="Z455" s="35" t="n"/>
      <c r="AA455" s="35" t="n"/>
      <c r="AB455" s="35" t="n"/>
      <c r="AC455" s="35" t="n"/>
      <c r="AD455" s="35" t="n"/>
      <c r="AE455" s="35" t="n"/>
      <c r="AF455" s="35" t="n"/>
      <c r="AG455" s="36">
        <f>IF(A455="","",IF(V455&lt;&gt;"",V455-B455,TODAY()-B455))</f>
        <v/>
      </c>
      <c r="AH455" s="36">
        <f>IF(OR(A455="",I455=""),"",MAX(0,IF(V455&lt;&gt;"",V455-I455,TODAY()-I455)))</f>
        <v/>
      </c>
      <c r="AI455" s="37">
        <f>IF(A455="","",IF(OR(K455="Closed",V455&lt;&gt;""),"Closed",IF(AH455&gt;=AgeCrit,"Critical",IF(AH455&gt;=AgeFu,"For Follow-up",IF(AH455&gt;=AgeMonitor,"Monitor","Within Standard")))))</f>
        <v/>
      </c>
      <c r="AJ455" s="38">
        <f>IF(A455="","",IFERROR(INDEX(StgPct,MATCH(H455,StgList,0)),0))</f>
        <v/>
      </c>
      <c r="AK455" s="38">
        <f>IF(A455="","",IFERROR(COUNTIF(Y455:AF455,"Y")/(COUNTIF(Y455:AF455,"Y")+COUNTIF(Y455:AF455,"N")),0))</f>
        <v/>
      </c>
      <c r="AL455" s="36">
        <f>IF(OR(A455="",X455=""),"",MAX(0,IF(V455&lt;&gt;"",V455,TODAY())-X455))</f>
        <v/>
      </c>
      <c r="AM455" s="32" t="n"/>
      <c r="AN455" s="33">
        <f>IF(A455="","",LOWER(AI455)&amp;"|"&amp;AH455&amp;"|"&amp;AJ455&amp;"|"&amp;AK455)</f>
        <v/>
      </c>
      <c r="AO455" s="33">
        <f>IF(OR(A455="",T455=""),"",T455-TODAY())</f>
        <v/>
      </c>
      <c r="AP455" s="33">
        <f>IF(OR(A455="",V455&lt;&gt;""),"",(TODAY()-B455)+ROW()/1000000)</f>
        <v/>
      </c>
    </row>
    <row r="456" ht="27" customHeight="1">
      <c r="A456" s="30" t="n"/>
      <c r="B456" s="31" t="n"/>
      <c r="C456" s="32" t="n"/>
      <c r="D456" s="32" t="n"/>
      <c r="E456" s="32" t="n"/>
      <c r="F456" s="32" t="n"/>
      <c r="G456" s="33">
        <f>IF(A456="","",IFERROR(INDEX(OffCat,MATCH(F456,OffList,0)),"Unlisted"))</f>
        <v/>
      </c>
      <c r="H456" s="30" t="n"/>
      <c r="I456" s="31" t="n"/>
      <c r="J456" s="34" t="n"/>
      <c r="K456" s="34" t="n"/>
      <c r="L456" s="34" t="n"/>
      <c r="M456" s="30" t="n"/>
      <c r="N456" s="30" t="n"/>
      <c r="O456" s="30" t="n"/>
      <c r="P456" s="30" t="n"/>
      <c r="Q456" s="31" t="n"/>
      <c r="R456" s="31" t="n"/>
      <c r="S456" s="31" t="n"/>
      <c r="T456" s="31" t="n"/>
      <c r="U456" s="31" t="n"/>
      <c r="V456" s="31" t="n"/>
      <c r="W456" s="30" t="n"/>
      <c r="X456" s="31" t="n"/>
      <c r="Y456" s="35" t="n"/>
      <c r="Z456" s="35" t="n"/>
      <c r="AA456" s="35" t="n"/>
      <c r="AB456" s="35" t="n"/>
      <c r="AC456" s="35" t="n"/>
      <c r="AD456" s="35" t="n"/>
      <c r="AE456" s="35" t="n"/>
      <c r="AF456" s="35" t="n"/>
      <c r="AG456" s="36">
        <f>IF(A456="","",IF(V456&lt;&gt;"",V456-B456,TODAY()-B456))</f>
        <v/>
      </c>
      <c r="AH456" s="36">
        <f>IF(OR(A456="",I456=""),"",MAX(0,IF(V456&lt;&gt;"",V456-I456,TODAY()-I456)))</f>
        <v/>
      </c>
      <c r="AI456" s="37">
        <f>IF(A456="","",IF(OR(K456="Closed",V456&lt;&gt;""),"Closed",IF(AH456&gt;=AgeCrit,"Critical",IF(AH456&gt;=AgeFu,"For Follow-up",IF(AH456&gt;=AgeMonitor,"Monitor","Within Standard")))))</f>
        <v/>
      </c>
      <c r="AJ456" s="38">
        <f>IF(A456="","",IFERROR(INDEX(StgPct,MATCH(H456,StgList,0)),0))</f>
        <v/>
      </c>
      <c r="AK456" s="38">
        <f>IF(A456="","",IFERROR(COUNTIF(Y456:AF456,"Y")/(COUNTIF(Y456:AF456,"Y")+COUNTIF(Y456:AF456,"N")),0))</f>
        <v/>
      </c>
      <c r="AL456" s="36">
        <f>IF(OR(A456="",X456=""),"",MAX(0,IF(V456&lt;&gt;"",V456,TODAY())-X456))</f>
        <v/>
      </c>
      <c r="AM456" s="32" t="n"/>
      <c r="AN456" s="33">
        <f>IF(A456="","",LOWER(AI456)&amp;"|"&amp;AH456&amp;"|"&amp;AJ456&amp;"|"&amp;AK456)</f>
        <v/>
      </c>
      <c r="AO456" s="33">
        <f>IF(OR(A456="",T456=""),"",T456-TODAY())</f>
        <v/>
      </c>
      <c r="AP456" s="33">
        <f>IF(OR(A456="",V456&lt;&gt;""),"",(TODAY()-B456)+ROW()/1000000)</f>
        <v/>
      </c>
    </row>
    <row r="457" ht="27" customHeight="1">
      <c r="A457" s="30" t="n"/>
      <c r="B457" s="31" t="n"/>
      <c r="C457" s="32" t="n"/>
      <c r="D457" s="32" t="n"/>
      <c r="E457" s="32" t="n"/>
      <c r="F457" s="32" t="n"/>
      <c r="G457" s="33">
        <f>IF(A457="","",IFERROR(INDEX(OffCat,MATCH(F457,OffList,0)),"Unlisted"))</f>
        <v/>
      </c>
      <c r="H457" s="30" t="n"/>
      <c r="I457" s="31" t="n"/>
      <c r="J457" s="34" t="n"/>
      <c r="K457" s="34" t="n"/>
      <c r="L457" s="34" t="n"/>
      <c r="M457" s="30" t="n"/>
      <c r="N457" s="30" t="n"/>
      <c r="O457" s="30" t="n"/>
      <c r="P457" s="30" t="n"/>
      <c r="Q457" s="31" t="n"/>
      <c r="R457" s="31" t="n"/>
      <c r="S457" s="31" t="n"/>
      <c r="T457" s="31" t="n"/>
      <c r="U457" s="31" t="n"/>
      <c r="V457" s="31" t="n"/>
      <c r="W457" s="30" t="n"/>
      <c r="X457" s="31" t="n"/>
      <c r="Y457" s="35" t="n"/>
      <c r="Z457" s="35" t="n"/>
      <c r="AA457" s="35" t="n"/>
      <c r="AB457" s="35" t="n"/>
      <c r="AC457" s="35" t="n"/>
      <c r="AD457" s="35" t="n"/>
      <c r="AE457" s="35" t="n"/>
      <c r="AF457" s="35" t="n"/>
      <c r="AG457" s="36">
        <f>IF(A457="","",IF(V457&lt;&gt;"",V457-B457,TODAY()-B457))</f>
        <v/>
      </c>
      <c r="AH457" s="36">
        <f>IF(OR(A457="",I457=""),"",MAX(0,IF(V457&lt;&gt;"",V457-I457,TODAY()-I457)))</f>
        <v/>
      </c>
      <c r="AI457" s="37">
        <f>IF(A457="","",IF(OR(K457="Closed",V457&lt;&gt;""),"Closed",IF(AH457&gt;=AgeCrit,"Critical",IF(AH457&gt;=AgeFu,"For Follow-up",IF(AH457&gt;=AgeMonitor,"Monitor","Within Standard")))))</f>
        <v/>
      </c>
      <c r="AJ457" s="38">
        <f>IF(A457="","",IFERROR(INDEX(StgPct,MATCH(H457,StgList,0)),0))</f>
        <v/>
      </c>
      <c r="AK457" s="38">
        <f>IF(A457="","",IFERROR(COUNTIF(Y457:AF457,"Y")/(COUNTIF(Y457:AF457,"Y")+COUNTIF(Y457:AF457,"N")),0))</f>
        <v/>
      </c>
      <c r="AL457" s="36">
        <f>IF(OR(A457="",X457=""),"",MAX(0,IF(V457&lt;&gt;"",V457,TODAY())-X457))</f>
        <v/>
      </c>
      <c r="AM457" s="32" t="n"/>
      <c r="AN457" s="33">
        <f>IF(A457="","",LOWER(AI457)&amp;"|"&amp;AH457&amp;"|"&amp;AJ457&amp;"|"&amp;AK457)</f>
        <v/>
      </c>
      <c r="AO457" s="33">
        <f>IF(OR(A457="",T457=""),"",T457-TODAY())</f>
        <v/>
      </c>
      <c r="AP457" s="33">
        <f>IF(OR(A457="",V457&lt;&gt;""),"",(TODAY()-B457)+ROW()/1000000)</f>
        <v/>
      </c>
    </row>
    <row r="458" ht="27" customHeight="1">
      <c r="A458" s="30" t="n"/>
      <c r="B458" s="31" t="n"/>
      <c r="C458" s="32" t="n"/>
      <c r="D458" s="32" t="n"/>
      <c r="E458" s="32" t="n"/>
      <c r="F458" s="32" t="n"/>
      <c r="G458" s="33">
        <f>IF(A458="","",IFERROR(INDEX(OffCat,MATCH(F458,OffList,0)),"Unlisted"))</f>
        <v/>
      </c>
      <c r="H458" s="30" t="n"/>
      <c r="I458" s="31" t="n"/>
      <c r="J458" s="34" t="n"/>
      <c r="K458" s="34" t="n"/>
      <c r="L458" s="34" t="n"/>
      <c r="M458" s="30" t="n"/>
      <c r="N458" s="30" t="n"/>
      <c r="O458" s="30" t="n"/>
      <c r="P458" s="30" t="n"/>
      <c r="Q458" s="31" t="n"/>
      <c r="R458" s="31" t="n"/>
      <c r="S458" s="31" t="n"/>
      <c r="T458" s="31" t="n"/>
      <c r="U458" s="31" t="n"/>
      <c r="V458" s="31" t="n"/>
      <c r="W458" s="30" t="n"/>
      <c r="X458" s="31" t="n"/>
      <c r="Y458" s="35" t="n"/>
      <c r="Z458" s="35" t="n"/>
      <c r="AA458" s="35" t="n"/>
      <c r="AB458" s="35" t="n"/>
      <c r="AC458" s="35" t="n"/>
      <c r="AD458" s="35" t="n"/>
      <c r="AE458" s="35" t="n"/>
      <c r="AF458" s="35" t="n"/>
      <c r="AG458" s="36">
        <f>IF(A458="","",IF(V458&lt;&gt;"",V458-B458,TODAY()-B458))</f>
        <v/>
      </c>
      <c r="AH458" s="36">
        <f>IF(OR(A458="",I458=""),"",MAX(0,IF(V458&lt;&gt;"",V458-I458,TODAY()-I458)))</f>
        <v/>
      </c>
      <c r="AI458" s="37">
        <f>IF(A458="","",IF(OR(K458="Closed",V458&lt;&gt;""),"Closed",IF(AH458&gt;=AgeCrit,"Critical",IF(AH458&gt;=AgeFu,"For Follow-up",IF(AH458&gt;=AgeMonitor,"Monitor","Within Standard")))))</f>
        <v/>
      </c>
      <c r="AJ458" s="38">
        <f>IF(A458="","",IFERROR(INDEX(StgPct,MATCH(H458,StgList,0)),0))</f>
        <v/>
      </c>
      <c r="AK458" s="38">
        <f>IF(A458="","",IFERROR(COUNTIF(Y458:AF458,"Y")/(COUNTIF(Y458:AF458,"Y")+COUNTIF(Y458:AF458,"N")),0))</f>
        <v/>
      </c>
      <c r="AL458" s="36">
        <f>IF(OR(A458="",X458=""),"",MAX(0,IF(V458&lt;&gt;"",V458,TODAY())-X458))</f>
        <v/>
      </c>
      <c r="AM458" s="32" t="n"/>
      <c r="AN458" s="33">
        <f>IF(A458="","",LOWER(AI458)&amp;"|"&amp;AH458&amp;"|"&amp;AJ458&amp;"|"&amp;AK458)</f>
        <v/>
      </c>
      <c r="AO458" s="33">
        <f>IF(OR(A458="",T458=""),"",T458-TODAY())</f>
        <v/>
      </c>
      <c r="AP458" s="33">
        <f>IF(OR(A458="",V458&lt;&gt;""),"",(TODAY()-B458)+ROW()/1000000)</f>
        <v/>
      </c>
    </row>
    <row r="459" ht="27" customHeight="1">
      <c r="A459" s="30" t="n"/>
      <c r="B459" s="31" t="n"/>
      <c r="C459" s="32" t="n"/>
      <c r="D459" s="32" t="n"/>
      <c r="E459" s="32" t="n"/>
      <c r="F459" s="32" t="n"/>
      <c r="G459" s="33">
        <f>IF(A459="","",IFERROR(INDEX(OffCat,MATCH(F459,OffList,0)),"Unlisted"))</f>
        <v/>
      </c>
      <c r="H459" s="30" t="n"/>
      <c r="I459" s="31" t="n"/>
      <c r="J459" s="34" t="n"/>
      <c r="K459" s="34" t="n"/>
      <c r="L459" s="34" t="n"/>
      <c r="M459" s="30" t="n"/>
      <c r="N459" s="30" t="n"/>
      <c r="O459" s="30" t="n"/>
      <c r="P459" s="30" t="n"/>
      <c r="Q459" s="31" t="n"/>
      <c r="R459" s="31" t="n"/>
      <c r="S459" s="31" t="n"/>
      <c r="T459" s="31" t="n"/>
      <c r="U459" s="31" t="n"/>
      <c r="V459" s="31" t="n"/>
      <c r="W459" s="30" t="n"/>
      <c r="X459" s="31" t="n"/>
      <c r="Y459" s="35" t="n"/>
      <c r="Z459" s="35" t="n"/>
      <c r="AA459" s="35" t="n"/>
      <c r="AB459" s="35" t="n"/>
      <c r="AC459" s="35" t="n"/>
      <c r="AD459" s="35" t="n"/>
      <c r="AE459" s="35" t="n"/>
      <c r="AF459" s="35" t="n"/>
      <c r="AG459" s="36">
        <f>IF(A459="","",IF(V459&lt;&gt;"",V459-B459,TODAY()-B459))</f>
        <v/>
      </c>
      <c r="AH459" s="36">
        <f>IF(OR(A459="",I459=""),"",MAX(0,IF(V459&lt;&gt;"",V459-I459,TODAY()-I459)))</f>
        <v/>
      </c>
      <c r="AI459" s="37">
        <f>IF(A459="","",IF(OR(K459="Closed",V459&lt;&gt;""),"Closed",IF(AH459&gt;=AgeCrit,"Critical",IF(AH459&gt;=AgeFu,"For Follow-up",IF(AH459&gt;=AgeMonitor,"Monitor","Within Standard")))))</f>
        <v/>
      </c>
      <c r="AJ459" s="38">
        <f>IF(A459="","",IFERROR(INDEX(StgPct,MATCH(H459,StgList,0)),0))</f>
        <v/>
      </c>
      <c r="AK459" s="38">
        <f>IF(A459="","",IFERROR(COUNTIF(Y459:AF459,"Y")/(COUNTIF(Y459:AF459,"Y")+COUNTIF(Y459:AF459,"N")),0))</f>
        <v/>
      </c>
      <c r="AL459" s="36">
        <f>IF(OR(A459="",X459=""),"",MAX(0,IF(V459&lt;&gt;"",V459,TODAY())-X459))</f>
        <v/>
      </c>
      <c r="AM459" s="32" t="n"/>
      <c r="AN459" s="33">
        <f>IF(A459="","",LOWER(AI459)&amp;"|"&amp;AH459&amp;"|"&amp;AJ459&amp;"|"&amp;AK459)</f>
        <v/>
      </c>
      <c r="AO459" s="33">
        <f>IF(OR(A459="",T459=""),"",T459-TODAY())</f>
        <v/>
      </c>
      <c r="AP459" s="33">
        <f>IF(OR(A459="",V459&lt;&gt;""),"",(TODAY()-B459)+ROW()/1000000)</f>
        <v/>
      </c>
    </row>
    <row r="460" ht="27" customHeight="1">
      <c r="A460" s="30" t="n"/>
      <c r="B460" s="31" t="n"/>
      <c r="C460" s="32" t="n"/>
      <c r="D460" s="32" t="n"/>
      <c r="E460" s="32" t="n"/>
      <c r="F460" s="32" t="n"/>
      <c r="G460" s="33">
        <f>IF(A460="","",IFERROR(INDEX(OffCat,MATCH(F460,OffList,0)),"Unlisted"))</f>
        <v/>
      </c>
      <c r="H460" s="30" t="n"/>
      <c r="I460" s="31" t="n"/>
      <c r="J460" s="34" t="n"/>
      <c r="K460" s="34" t="n"/>
      <c r="L460" s="34" t="n"/>
      <c r="M460" s="30" t="n"/>
      <c r="N460" s="30" t="n"/>
      <c r="O460" s="30" t="n"/>
      <c r="P460" s="30" t="n"/>
      <c r="Q460" s="31" t="n"/>
      <c r="R460" s="31" t="n"/>
      <c r="S460" s="31" t="n"/>
      <c r="T460" s="31" t="n"/>
      <c r="U460" s="31" t="n"/>
      <c r="V460" s="31" t="n"/>
      <c r="W460" s="30" t="n"/>
      <c r="X460" s="31" t="n"/>
      <c r="Y460" s="35" t="n"/>
      <c r="Z460" s="35" t="n"/>
      <c r="AA460" s="35" t="n"/>
      <c r="AB460" s="35" t="n"/>
      <c r="AC460" s="35" t="n"/>
      <c r="AD460" s="35" t="n"/>
      <c r="AE460" s="35" t="n"/>
      <c r="AF460" s="35" t="n"/>
      <c r="AG460" s="36">
        <f>IF(A460="","",IF(V460&lt;&gt;"",V460-B460,TODAY()-B460))</f>
        <v/>
      </c>
      <c r="AH460" s="36">
        <f>IF(OR(A460="",I460=""),"",MAX(0,IF(V460&lt;&gt;"",V460-I460,TODAY()-I460)))</f>
        <v/>
      </c>
      <c r="AI460" s="37">
        <f>IF(A460="","",IF(OR(K460="Closed",V460&lt;&gt;""),"Closed",IF(AH460&gt;=AgeCrit,"Critical",IF(AH460&gt;=AgeFu,"For Follow-up",IF(AH460&gt;=AgeMonitor,"Monitor","Within Standard")))))</f>
        <v/>
      </c>
      <c r="AJ460" s="38">
        <f>IF(A460="","",IFERROR(INDEX(StgPct,MATCH(H460,StgList,0)),0))</f>
        <v/>
      </c>
      <c r="AK460" s="38">
        <f>IF(A460="","",IFERROR(COUNTIF(Y460:AF460,"Y")/(COUNTIF(Y460:AF460,"Y")+COUNTIF(Y460:AF460,"N")),0))</f>
        <v/>
      </c>
      <c r="AL460" s="36">
        <f>IF(OR(A460="",X460=""),"",MAX(0,IF(V460&lt;&gt;"",V460,TODAY())-X460))</f>
        <v/>
      </c>
      <c r="AM460" s="32" t="n"/>
      <c r="AN460" s="33">
        <f>IF(A460="","",LOWER(AI460)&amp;"|"&amp;AH460&amp;"|"&amp;AJ460&amp;"|"&amp;AK460)</f>
        <v/>
      </c>
      <c r="AO460" s="33">
        <f>IF(OR(A460="",T460=""),"",T460-TODAY())</f>
        <v/>
      </c>
      <c r="AP460" s="33">
        <f>IF(OR(A460="",V460&lt;&gt;""),"",(TODAY()-B460)+ROW()/1000000)</f>
        <v/>
      </c>
    </row>
    <row r="461" ht="27" customHeight="1">
      <c r="A461" s="30" t="n"/>
      <c r="B461" s="31" t="n"/>
      <c r="C461" s="32" t="n"/>
      <c r="D461" s="32" t="n"/>
      <c r="E461" s="32" t="n"/>
      <c r="F461" s="32" t="n"/>
      <c r="G461" s="33">
        <f>IF(A461="","",IFERROR(INDEX(OffCat,MATCH(F461,OffList,0)),"Unlisted"))</f>
        <v/>
      </c>
      <c r="H461" s="30" t="n"/>
      <c r="I461" s="31" t="n"/>
      <c r="J461" s="34" t="n"/>
      <c r="K461" s="34" t="n"/>
      <c r="L461" s="34" t="n"/>
      <c r="M461" s="30" t="n"/>
      <c r="N461" s="30" t="n"/>
      <c r="O461" s="30" t="n"/>
      <c r="P461" s="30" t="n"/>
      <c r="Q461" s="31" t="n"/>
      <c r="R461" s="31" t="n"/>
      <c r="S461" s="31" t="n"/>
      <c r="T461" s="31" t="n"/>
      <c r="U461" s="31" t="n"/>
      <c r="V461" s="31" t="n"/>
      <c r="W461" s="30" t="n"/>
      <c r="X461" s="31" t="n"/>
      <c r="Y461" s="35" t="n"/>
      <c r="Z461" s="35" t="n"/>
      <c r="AA461" s="35" t="n"/>
      <c r="AB461" s="35" t="n"/>
      <c r="AC461" s="35" t="n"/>
      <c r="AD461" s="35" t="n"/>
      <c r="AE461" s="35" t="n"/>
      <c r="AF461" s="35" t="n"/>
      <c r="AG461" s="36">
        <f>IF(A461="","",IF(V461&lt;&gt;"",V461-B461,TODAY()-B461))</f>
        <v/>
      </c>
      <c r="AH461" s="36">
        <f>IF(OR(A461="",I461=""),"",MAX(0,IF(V461&lt;&gt;"",V461-I461,TODAY()-I461)))</f>
        <v/>
      </c>
      <c r="AI461" s="37">
        <f>IF(A461="","",IF(OR(K461="Closed",V461&lt;&gt;""),"Closed",IF(AH461&gt;=AgeCrit,"Critical",IF(AH461&gt;=AgeFu,"For Follow-up",IF(AH461&gt;=AgeMonitor,"Monitor","Within Standard")))))</f>
        <v/>
      </c>
      <c r="AJ461" s="38">
        <f>IF(A461="","",IFERROR(INDEX(StgPct,MATCH(H461,StgList,0)),0))</f>
        <v/>
      </c>
      <c r="AK461" s="38">
        <f>IF(A461="","",IFERROR(COUNTIF(Y461:AF461,"Y")/(COUNTIF(Y461:AF461,"Y")+COUNTIF(Y461:AF461,"N")),0))</f>
        <v/>
      </c>
      <c r="AL461" s="36">
        <f>IF(OR(A461="",X461=""),"",MAX(0,IF(V461&lt;&gt;"",V461,TODAY())-X461))</f>
        <v/>
      </c>
      <c r="AM461" s="32" t="n"/>
      <c r="AN461" s="33">
        <f>IF(A461="","",LOWER(AI461)&amp;"|"&amp;AH461&amp;"|"&amp;AJ461&amp;"|"&amp;AK461)</f>
        <v/>
      </c>
      <c r="AO461" s="33">
        <f>IF(OR(A461="",T461=""),"",T461-TODAY())</f>
        <v/>
      </c>
      <c r="AP461" s="33">
        <f>IF(OR(A461="",V461&lt;&gt;""),"",(TODAY()-B461)+ROW()/1000000)</f>
        <v/>
      </c>
    </row>
    <row r="462" ht="27" customHeight="1">
      <c r="A462" s="30" t="n"/>
      <c r="B462" s="31" t="n"/>
      <c r="C462" s="32" t="n"/>
      <c r="D462" s="32" t="n"/>
      <c r="E462" s="32" t="n"/>
      <c r="F462" s="32" t="n"/>
      <c r="G462" s="33">
        <f>IF(A462="","",IFERROR(INDEX(OffCat,MATCH(F462,OffList,0)),"Unlisted"))</f>
        <v/>
      </c>
      <c r="H462" s="30" t="n"/>
      <c r="I462" s="31" t="n"/>
      <c r="J462" s="34" t="n"/>
      <c r="K462" s="34" t="n"/>
      <c r="L462" s="34" t="n"/>
      <c r="M462" s="30" t="n"/>
      <c r="N462" s="30" t="n"/>
      <c r="O462" s="30" t="n"/>
      <c r="P462" s="30" t="n"/>
      <c r="Q462" s="31" t="n"/>
      <c r="R462" s="31" t="n"/>
      <c r="S462" s="31" t="n"/>
      <c r="T462" s="31" t="n"/>
      <c r="U462" s="31" t="n"/>
      <c r="V462" s="31" t="n"/>
      <c r="W462" s="30" t="n"/>
      <c r="X462" s="31" t="n"/>
      <c r="Y462" s="35" t="n"/>
      <c r="Z462" s="35" t="n"/>
      <c r="AA462" s="35" t="n"/>
      <c r="AB462" s="35" t="n"/>
      <c r="AC462" s="35" t="n"/>
      <c r="AD462" s="35" t="n"/>
      <c r="AE462" s="35" t="n"/>
      <c r="AF462" s="35" t="n"/>
      <c r="AG462" s="36">
        <f>IF(A462="","",IF(V462&lt;&gt;"",V462-B462,TODAY()-B462))</f>
        <v/>
      </c>
      <c r="AH462" s="36">
        <f>IF(OR(A462="",I462=""),"",MAX(0,IF(V462&lt;&gt;"",V462-I462,TODAY()-I462)))</f>
        <v/>
      </c>
      <c r="AI462" s="37">
        <f>IF(A462="","",IF(OR(K462="Closed",V462&lt;&gt;""),"Closed",IF(AH462&gt;=AgeCrit,"Critical",IF(AH462&gt;=AgeFu,"For Follow-up",IF(AH462&gt;=AgeMonitor,"Monitor","Within Standard")))))</f>
        <v/>
      </c>
      <c r="AJ462" s="38">
        <f>IF(A462="","",IFERROR(INDEX(StgPct,MATCH(H462,StgList,0)),0))</f>
        <v/>
      </c>
      <c r="AK462" s="38">
        <f>IF(A462="","",IFERROR(COUNTIF(Y462:AF462,"Y")/(COUNTIF(Y462:AF462,"Y")+COUNTIF(Y462:AF462,"N")),0))</f>
        <v/>
      </c>
      <c r="AL462" s="36">
        <f>IF(OR(A462="",X462=""),"",MAX(0,IF(V462&lt;&gt;"",V462,TODAY())-X462))</f>
        <v/>
      </c>
      <c r="AM462" s="32" t="n"/>
      <c r="AN462" s="33">
        <f>IF(A462="","",LOWER(AI462)&amp;"|"&amp;AH462&amp;"|"&amp;AJ462&amp;"|"&amp;AK462)</f>
        <v/>
      </c>
      <c r="AO462" s="33">
        <f>IF(OR(A462="",T462=""),"",T462-TODAY())</f>
        <v/>
      </c>
      <c r="AP462" s="33">
        <f>IF(OR(A462="",V462&lt;&gt;""),"",(TODAY()-B462)+ROW()/1000000)</f>
        <v/>
      </c>
    </row>
    <row r="463" ht="27" customHeight="1">
      <c r="A463" s="30" t="n"/>
      <c r="B463" s="31" t="n"/>
      <c r="C463" s="32" t="n"/>
      <c r="D463" s="32" t="n"/>
      <c r="E463" s="32" t="n"/>
      <c r="F463" s="32" t="n"/>
      <c r="G463" s="33">
        <f>IF(A463="","",IFERROR(INDEX(OffCat,MATCH(F463,OffList,0)),"Unlisted"))</f>
        <v/>
      </c>
      <c r="H463" s="30" t="n"/>
      <c r="I463" s="31" t="n"/>
      <c r="J463" s="34" t="n"/>
      <c r="K463" s="34" t="n"/>
      <c r="L463" s="34" t="n"/>
      <c r="M463" s="30" t="n"/>
      <c r="N463" s="30" t="n"/>
      <c r="O463" s="30" t="n"/>
      <c r="P463" s="30" t="n"/>
      <c r="Q463" s="31" t="n"/>
      <c r="R463" s="31" t="n"/>
      <c r="S463" s="31" t="n"/>
      <c r="T463" s="31" t="n"/>
      <c r="U463" s="31" t="n"/>
      <c r="V463" s="31" t="n"/>
      <c r="W463" s="30" t="n"/>
      <c r="X463" s="31" t="n"/>
      <c r="Y463" s="35" t="n"/>
      <c r="Z463" s="35" t="n"/>
      <c r="AA463" s="35" t="n"/>
      <c r="AB463" s="35" t="n"/>
      <c r="AC463" s="35" t="n"/>
      <c r="AD463" s="35" t="n"/>
      <c r="AE463" s="35" t="n"/>
      <c r="AF463" s="35" t="n"/>
      <c r="AG463" s="36">
        <f>IF(A463="","",IF(V463&lt;&gt;"",V463-B463,TODAY()-B463))</f>
        <v/>
      </c>
      <c r="AH463" s="36">
        <f>IF(OR(A463="",I463=""),"",MAX(0,IF(V463&lt;&gt;"",V463-I463,TODAY()-I463)))</f>
        <v/>
      </c>
      <c r="AI463" s="37">
        <f>IF(A463="","",IF(OR(K463="Closed",V463&lt;&gt;""),"Closed",IF(AH463&gt;=AgeCrit,"Critical",IF(AH463&gt;=AgeFu,"For Follow-up",IF(AH463&gt;=AgeMonitor,"Monitor","Within Standard")))))</f>
        <v/>
      </c>
      <c r="AJ463" s="38">
        <f>IF(A463="","",IFERROR(INDEX(StgPct,MATCH(H463,StgList,0)),0))</f>
        <v/>
      </c>
      <c r="AK463" s="38">
        <f>IF(A463="","",IFERROR(COUNTIF(Y463:AF463,"Y")/(COUNTIF(Y463:AF463,"Y")+COUNTIF(Y463:AF463,"N")),0))</f>
        <v/>
      </c>
      <c r="AL463" s="36">
        <f>IF(OR(A463="",X463=""),"",MAX(0,IF(V463&lt;&gt;"",V463,TODAY())-X463))</f>
        <v/>
      </c>
      <c r="AM463" s="32" t="n"/>
      <c r="AN463" s="33">
        <f>IF(A463="","",LOWER(AI463)&amp;"|"&amp;AH463&amp;"|"&amp;AJ463&amp;"|"&amp;AK463)</f>
        <v/>
      </c>
      <c r="AO463" s="33">
        <f>IF(OR(A463="",T463=""),"",T463-TODAY())</f>
        <v/>
      </c>
      <c r="AP463" s="33">
        <f>IF(OR(A463="",V463&lt;&gt;""),"",(TODAY()-B463)+ROW()/1000000)</f>
        <v/>
      </c>
    </row>
    <row r="464" ht="27" customHeight="1">
      <c r="A464" s="30" t="n"/>
      <c r="B464" s="31" t="n"/>
      <c r="C464" s="32" t="n"/>
      <c r="D464" s="32" t="n"/>
      <c r="E464" s="32" t="n"/>
      <c r="F464" s="32" t="n"/>
      <c r="G464" s="33">
        <f>IF(A464="","",IFERROR(INDEX(OffCat,MATCH(F464,OffList,0)),"Unlisted"))</f>
        <v/>
      </c>
      <c r="H464" s="30" t="n"/>
      <c r="I464" s="31" t="n"/>
      <c r="J464" s="34" t="n"/>
      <c r="K464" s="34" t="n"/>
      <c r="L464" s="34" t="n"/>
      <c r="M464" s="30" t="n"/>
      <c r="N464" s="30" t="n"/>
      <c r="O464" s="30" t="n"/>
      <c r="P464" s="30" t="n"/>
      <c r="Q464" s="31" t="n"/>
      <c r="R464" s="31" t="n"/>
      <c r="S464" s="31" t="n"/>
      <c r="T464" s="31" t="n"/>
      <c r="U464" s="31" t="n"/>
      <c r="V464" s="31" t="n"/>
      <c r="W464" s="30" t="n"/>
      <c r="X464" s="31" t="n"/>
      <c r="Y464" s="35" t="n"/>
      <c r="Z464" s="35" t="n"/>
      <c r="AA464" s="35" t="n"/>
      <c r="AB464" s="35" t="n"/>
      <c r="AC464" s="35" t="n"/>
      <c r="AD464" s="35" t="n"/>
      <c r="AE464" s="35" t="n"/>
      <c r="AF464" s="35" t="n"/>
      <c r="AG464" s="36">
        <f>IF(A464="","",IF(V464&lt;&gt;"",V464-B464,TODAY()-B464))</f>
        <v/>
      </c>
      <c r="AH464" s="36">
        <f>IF(OR(A464="",I464=""),"",MAX(0,IF(V464&lt;&gt;"",V464-I464,TODAY()-I464)))</f>
        <v/>
      </c>
      <c r="AI464" s="37">
        <f>IF(A464="","",IF(OR(K464="Closed",V464&lt;&gt;""),"Closed",IF(AH464&gt;=AgeCrit,"Critical",IF(AH464&gt;=AgeFu,"For Follow-up",IF(AH464&gt;=AgeMonitor,"Monitor","Within Standard")))))</f>
        <v/>
      </c>
      <c r="AJ464" s="38">
        <f>IF(A464="","",IFERROR(INDEX(StgPct,MATCH(H464,StgList,0)),0))</f>
        <v/>
      </c>
      <c r="AK464" s="38">
        <f>IF(A464="","",IFERROR(COUNTIF(Y464:AF464,"Y")/(COUNTIF(Y464:AF464,"Y")+COUNTIF(Y464:AF464,"N")),0))</f>
        <v/>
      </c>
      <c r="AL464" s="36">
        <f>IF(OR(A464="",X464=""),"",MAX(0,IF(V464&lt;&gt;"",V464,TODAY())-X464))</f>
        <v/>
      </c>
      <c r="AM464" s="32" t="n"/>
      <c r="AN464" s="33">
        <f>IF(A464="","",LOWER(AI464)&amp;"|"&amp;AH464&amp;"|"&amp;AJ464&amp;"|"&amp;AK464)</f>
        <v/>
      </c>
      <c r="AO464" s="33">
        <f>IF(OR(A464="",T464=""),"",T464-TODAY())</f>
        <v/>
      </c>
      <c r="AP464" s="33">
        <f>IF(OR(A464="",V464&lt;&gt;""),"",(TODAY()-B464)+ROW()/1000000)</f>
        <v/>
      </c>
    </row>
    <row r="465" ht="27" customHeight="1">
      <c r="A465" s="30" t="n"/>
      <c r="B465" s="31" t="n"/>
      <c r="C465" s="32" t="n"/>
      <c r="D465" s="32" t="n"/>
      <c r="E465" s="32" t="n"/>
      <c r="F465" s="32" t="n"/>
      <c r="G465" s="33">
        <f>IF(A465="","",IFERROR(INDEX(OffCat,MATCH(F465,OffList,0)),"Unlisted"))</f>
        <v/>
      </c>
      <c r="H465" s="30" t="n"/>
      <c r="I465" s="31" t="n"/>
      <c r="J465" s="34" t="n"/>
      <c r="K465" s="34" t="n"/>
      <c r="L465" s="34" t="n"/>
      <c r="M465" s="30" t="n"/>
      <c r="N465" s="30" t="n"/>
      <c r="O465" s="30" t="n"/>
      <c r="P465" s="30" t="n"/>
      <c r="Q465" s="31" t="n"/>
      <c r="R465" s="31" t="n"/>
      <c r="S465" s="31" t="n"/>
      <c r="T465" s="31" t="n"/>
      <c r="U465" s="31" t="n"/>
      <c r="V465" s="31" t="n"/>
      <c r="W465" s="30" t="n"/>
      <c r="X465" s="31" t="n"/>
      <c r="Y465" s="35" t="n"/>
      <c r="Z465" s="35" t="n"/>
      <c r="AA465" s="35" t="n"/>
      <c r="AB465" s="35" t="n"/>
      <c r="AC465" s="35" t="n"/>
      <c r="AD465" s="35" t="n"/>
      <c r="AE465" s="35" t="n"/>
      <c r="AF465" s="35" t="n"/>
      <c r="AG465" s="36">
        <f>IF(A465="","",IF(V465&lt;&gt;"",V465-B465,TODAY()-B465))</f>
        <v/>
      </c>
      <c r="AH465" s="36">
        <f>IF(OR(A465="",I465=""),"",MAX(0,IF(V465&lt;&gt;"",V465-I465,TODAY()-I465)))</f>
        <v/>
      </c>
      <c r="AI465" s="37">
        <f>IF(A465="","",IF(OR(K465="Closed",V465&lt;&gt;""),"Closed",IF(AH465&gt;=AgeCrit,"Critical",IF(AH465&gt;=AgeFu,"For Follow-up",IF(AH465&gt;=AgeMonitor,"Monitor","Within Standard")))))</f>
        <v/>
      </c>
      <c r="AJ465" s="38">
        <f>IF(A465="","",IFERROR(INDEX(StgPct,MATCH(H465,StgList,0)),0))</f>
        <v/>
      </c>
      <c r="AK465" s="38">
        <f>IF(A465="","",IFERROR(COUNTIF(Y465:AF465,"Y")/(COUNTIF(Y465:AF465,"Y")+COUNTIF(Y465:AF465,"N")),0))</f>
        <v/>
      </c>
      <c r="AL465" s="36">
        <f>IF(OR(A465="",X465=""),"",MAX(0,IF(V465&lt;&gt;"",V465,TODAY())-X465))</f>
        <v/>
      </c>
      <c r="AM465" s="32" t="n"/>
      <c r="AN465" s="33">
        <f>IF(A465="","",LOWER(AI465)&amp;"|"&amp;AH465&amp;"|"&amp;AJ465&amp;"|"&amp;AK465)</f>
        <v/>
      </c>
      <c r="AO465" s="33">
        <f>IF(OR(A465="",T465=""),"",T465-TODAY())</f>
        <v/>
      </c>
      <c r="AP465" s="33">
        <f>IF(OR(A465="",V465&lt;&gt;""),"",(TODAY()-B465)+ROW()/1000000)</f>
        <v/>
      </c>
    </row>
    <row r="466" ht="27" customHeight="1">
      <c r="A466" s="30" t="n"/>
      <c r="B466" s="31" t="n"/>
      <c r="C466" s="32" t="n"/>
      <c r="D466" s="32" t="n"/>
      <c r="E466" s="32" t="n"/>
      <c r="F466" s="32" t="n"/>
      <c r="G466" s="33">
        <f>IF(A466="","",IFERROR(INDEX(OffCat,MATCH(F466,OffList,0)),"Unlisted"))</f>
        <v/>
      </c>
      <c r="H466" s="30" t="n"/>
      <c r="I466" s="31" t="n"/>
      <c r="J466" s="34" t="n"/>
      <c r="K466" s="34" t="n"/>
      <c r="L466" s="34" t="n"/>
      <c r="M466" s="30" t="n"/>
      <c r="N466" s="30" t="n"/>
      <c r="O466" s="30" t="n"/>
      <c r="P466" s="30" t="n"/>
      <c r="Q466" s="31" t="n"/>
      <c r="R466" s="31" t="n"/>
      <c r="S466" s="31" t="n"/>
      <c r="T466" s="31" t="n"/>
      <c r="U466" s="31" t="n"/>
      <c r="V466" s="31" t="n"/>
      <c r="W466" s="30" t="n"/>
      <c r="X466" s="31" t="n"/>
      <c r="Y466" s="35" t="n"/>
      <c r="Z466" s="35" t="n"/>
      <c r="AA466" s="35" t="n"/>
      <c r="AB466" s="35" t="n"/>
      <c r="AC466" s="35" t="n"/>
      <c r="AD466" s="35" t="n"/>
      <c r="AE466" s="35" t="n"/>
      <c r="AF466" s="35" t="n"/>
      <c r="AG466" s="36">
        <f>IF(A466="","",IF(V466&lt;&gt;"",V466-B466,TODAY()-B466))</f>
        <v/>
      </c>
      <c r="AH466" s="36">
        <f>IF(OR(A466="",I466=""),"",MAX(0,IF(V466&lt;&gt;"",V466-I466,TODAY()-I466)))</f>
        <v/>
      </c>
      <c r="AI466" s="37">
        <f>IF(A466="","",IF(OR(K466="Closed",V466&lt;&gt;""),"Closed",IF(AH466&gt;=AgeCrit,"Critical",IF(AH466&gt;=AgeFu,"For Follow-up",IF(AH466&gt;=AgeMonitor,"Monitor","Within Standard")))))</f>
        <v/>
      </c>
      <c r="AJ466" s="38">
        <f>IF(A466="","",IFERROR(INDEX(StgPct,MATCH(H466,StgList,0)),0))</f>
        <v/>
      </c>
      <c r="AK466" s="38">
        <f>IF(A466="","",IFERROR(COUNTIF(Y466:AF466,"Y")/(COUNTIF(Y466:AF466,"Y")+COUNTIF(Y466:AF466,"N")),0))</f>
        <v/>
      </c>
      <c r="AL466" s="36">
        <f>IF(OR(A466="",X466=""),"",MAX(0,IF(V466&lt;&gt;"",V466,TODAY())-X466))</f>
        <v/>
      </c>
      <c r="AM466" s="32" t="n"/>
      <c r="AN466" s="33">
        <f>IF(A466="","",LOWER(AI466)&amp;"|"&amp;AH466&amp;"|"&amp;AJ466&amp;"|"&amp;AK466)</f>
        <v/>
      </c>
      <c r="AO466" s="33">
        <f>IF(OR(A466="",T466=""),"",T466-TODAY())</f>
        <v/>
      </c>
      <c r="AP466" s="33">
        <f>IF(OR(A466="",V466&lt;&gt;""),"",(TODAY()-B466)+ROW()/1000000)</f>
        <v/>
      </c>
    </row>
    <row r="467" ht="27" customHeight="1">
      <c r="A467" s="30" t="n"/>
      <c r="B467" s="31" t="n"/>
      <c r="C467" s="32" t="n"/>
      <c r="D467" s="32" t="n"/>
      <c r="E467" s="32" t="n"/>
      <c r="F467" s="32" t="n"/>
      <c r="G467" s="33">
        <f>IF(A467="","",IFERROR(INDEX(OffCat,MATCH(F467,OffList,0)),"Unlisted"))</f>
        <v/>
      </c>
      <c r="H467" s="30" t="n"/>
      <c r="I467" s="31" t="n"/>
      <c r="J467" s="34" t="n"/>
      <c r="K467" s="34" t="n"/>
      <c r="L467" s="34" t="n"/>
      <c r="M467" s="30" t="n"/>
      <c r="N467" s="30" t="n"/>
      <c r="O467" s="30" t="n"/>
      <c r="P467" s="30" t="n"/>
      <c r="Q467" s="31" t="n"/>
      <c r="R467" s="31" t="n"/>
      <c r="S467" s="31" t="n"/>
      <c r="T467" s="31" t="n"/>
      <c r="U467" s="31" t="n"/>
      <c r="V467" s="31" t="n"/>
      <c r="W467" s="30" t="n"/>
      <c r="X467" s="31" t="n"/>
      <c r="Y467" s="35" t="n"/>
      <c r="Z467" s="35" t="n"/>
      <c r="AA467" s="35" t="n"/>
      <c r="AB467" s="35" t="n"/>
      <c r="AC467" s="35" t="n"/>
      <c r="AD467" s="35" t="n"/>
      <c r="AE467" s="35" t="n"/>
      <c r="AF467" s="35" t="n"/>
      <c r="AG467" s="36">
        <f>IF(A467="","",IF(V467&lt;&gt;"",V467-B467,TODAY()-B467))</f>
        <v/>
      </c>
      <c r="AH467" s="36">
        <f>IF(OR(A467="",I467=""),"",MAX(0,IF(V467&lt;&gt;"",V467-I467,TODAY()-I467)))</f>
        <v/>
      </c>
      <c r="AI467" s="37">
        <f>IF(A467="","",IF(OR(K467="Closed",V467&lt;&gt;""),"Closed",IF(AH467&gt;=AgeCrit,"Critical",IF(AH467&gt;=AgeFu,"For Follow-up",IF(AH467&gt;=AgeMonitor,"Monitor","Within Standard")))))</f>
        <v/>
      </c>
      <c r="AJ467" s="38">
        <f>IF(A467="","",IFERROR(INDEX(StgPct,MATCH(H467,StgList,0)),0))</f>
        <v/>
      </c>
      <c r="AK467" s="38">
        <f>IF(A467="","",IFERROR(COUNTIF(Y467:AF467,"Y")/(COUNTIF(Y467:AF467,"Y")+COUNTIF(Y467:AF467,"N")),0))</f>
        <v/>
      </c>
      <c r="AL467" s="36">
        <f>IF(OR(A467="",X467=""),"",MAX(0,IF(V467&lt;&gt;"",V467,TODAY())-X467))</f>
        <v/>
      </c>
      <c r="AM467" s="32" t="n"/>
      <c r="AN467" s="33">
        <f>IF(A467="","",LOWER(AI467)&amp;"|"&amp;AH467&amp;"|"&amp;AJ467&amp;"|"&amp;AK467)</f>
        <v/>
      </c>
      <c r="AO467" s="33">
        <f>IF(OR(A467="",T467=""),"",T467-TODAY())</f>
        <v/>
      </c>
      <c r="AP467" s="33">
        <f>IF(OR(A467="",V467&lt;&gt;""),"",(TODAY()-B467)+ROW()/1000000)</f>
        <v/>
      </c>
    </row>
    <row r="468" ht="27" customHeight="1">
      <c r="A468" s="30" t="n"/>
      <c r="B468" s="31" t="n"/>
      <c r="C468" s="32" t="n"/>
      <c r="D468" s="32" t="n"/>
      <c r="E468" s="32" t="n"/>
      <c r="F468" s="32" t="n"/>
      <c r="G468" s="33">
        <f>IF(A468="","",IFERROR(INDEX(OffCat,MATCH(F468,OffList,0)),"Unlisted"))</f>
        <v/>
      </c>
      <c r="H468" s="30" t="n"/>
      <c r="I468" s="31" t="n"/>
      <c r="J468" s="34" t="n"/>
      <c r="K468" s="34" t="n"/>
      <c r="L468" s="34" t="n"/>
      <c r="M468" s="30" t="n"/>
      <c r="N468" s="30" t="n"/>
      <c r="O468" s="30" t="n"/>
      <c r="P468" s="30" t="n"/>
      <c r="Q468" s="31" t="n"/>
      <c r="R468" s="31" t="n"/>
      <c r="S468" s="31" t="n"/>
      <c r="T468" s="31" t="n"/>
      <c r="U468" s="31" t="n"/>
      <c r="V468" s="31" t="n"/>
      <c r="W468" s="30" t="n"/>
      <c r="X468" s="31" t="n"/>
      <c r="Y468" s="35" t="n"/>
      <c r="Z468" s="35" t="n"/>
      <c r="AA468" s="35" t="n"/>
      <c r="AB468" s="35" t="n"/>
      <c r="AC468" s="35" t="n"/>
      <c r="AD468" s="35" t="n"/>
      <c r="AE468" s="35" t="n"/>
      <c r="AF468" s="35" t="n"/>
      <c r="AG468" s="36">
        <f>IF(A468="","",IF(V468&lt;&gt;"",V468-B468,TODAY()-B468))</f>
        <v/>
      </c>
      <c r="AH468" s="36">
        <f>IF(OR(A468="",I468=""),"",MAX(0,IF(V468&lt;&gt;"",V468-I468,TODAY()-I468)))</f>
        <v/>
      </c>
      <c r="AI468" s="37">
        <f>IF(A468="","",IF(OR(K468="Closed",V468&lt;&gt;""),"Closed",IF(AH468&gt;=AgeCrit,"Critical",IF(AH468&gt;=AgeFu,"For Follow-up",IF(AH468&gt;=AgeMonitor,"Monitor","Within Standard")))))</f>
        <v/>
      </c>
      <c r="AJ468" s="38">
        <f>IF(A468="","",IFERROR(INDEX(StgPct,MATCH(H468,StgList,0)),0))</f>
        <v/>
      </c>
      <c r="AK468" s="38">
        <f>IF(A468="","",IFERROR(COUNTIF(Y468:AF468,"Y")/(COUNTIF(Y468:AF468,"Y")+COUNTIF(Y468:AF468,"N")),0))</f>
        <v/>
      </c>
      <c r="AL468" s="36">
        <f>IF(OR(A468="",X468=""),"",MAX(0,IF(V468&lt;&gt;"",V468,TODAY())-X468))</f>
        <v/>
      </c>
      <c r="AM468" s="32" t="n"/>
      <c r="AN468" s="33">
        <f>IF(A468="","",LOWER(AI468)&amp;"|"&amp;AH468&amp;"|"&amp;AJ468&amp;"|"&amp;AK468)</f>
        <v/>
      </c>
      <c r="AO468" s="33">
        <f>IF(OR(A468="",T468=""),"",T468-TODAY())</f>
        <v/>
      </c>
      <c r="AP468" s="33">
        <f>IF(OR(A468="",V468&lt;&gt;""),"",(TODAY()-B468)+ROW()/1000000)</f>
        <v/>
      </c>
    </row>
    <row r="469" ht="27" customHeight="1">
      <c r="A469" s="30" t="n"/>
      <c r="B469" s="31" t="n"/>
      <c r="C469" s="32" t="n"/>
      <c r="D469" s="32" t="n"/>
      <c r="E469" s="32" t="n"/>
      <c r="F469" s="32" t="n"/>
      <c r="G469" s="33">
        <f>IF(A469="","",IFERROR(INDEX(OffCat,MATCH(F469,OffList,0)),"Unlisted"))</f>
        <v/>
      </c>
      <c r="H469" s="30" t="n"/>
      <c r="I469" s="31" t="n"/>
      <c r="J469" s="34" t="n"/>
      <c r="K469" s="34" t="n"/>
      <c r="L469" s="34" t="n"/>
      <c r="M469" s="30" t="n"/>
      <c r="N469" s="30" t="n"/>
      <c r="O469" s="30" t="n"/>
      <c r="P469" s="30" t="n"/>
      <c r="Q469" s="31" t="n"/>
      <c r="R469" s="31" t="n"/>
      <c r="S469" s="31" t="n"/>
      <c r="T469" s="31" t="n"/>
      <c r="U469" s="31" t="n"/>
      <c r="V469" s="31" t="n"/>
      <c r="W469" s="30" t="n"/>
      <c r="X469" s="31" t="n"/>
      <c r="Y469" s="35" t="n"/>
      <c r="Z469" s="35" t="n"/>
      <c r="AA469" s="35" t="n"/>
      <c r="AB469" s="35" t="n"/>
      <c r="AC469" s="35" t="n"/>
      <c r="AD469" s="35" t="n"/>
      <c r="AE469" s="35" t="n"/>
      <c r="AF469" s="35" t="n"/>
      <c r="AG469" s="36">
        <f>IF(A469="","",IF(V469&lt;&gt;"",V469-B469,TODAY()-B469))</f>
        <v/>
      </c>
      <c r="AH469" s="36">
        <f>IF(OR(A469="",I469=""),"",MAX(0,IF(V469&lt;&gt;"",V469-I469,TODAY()-I469)))</f>
        <v/>
      </c>
      <c r="AI469" s="37">
        <f>IF(A469="","",IF(OR(K469="Closed",V469&lt;&gt;""),"Closed",IF(AH469&gt;=AgeCrit,"Critical",IF(AH469&gt;=AgeFu,"For Follow-up",IF(AH469&gt;=AgeMonitor,"Monitor","Within Standard")))))</f>
        <v/>
      </c>
      <c r="AJ469" s="38">
        <f>IF(A469="","",IFERROR(INDEX(StgPct,MATCH(H469,StgList,0)),0))</f>
        <v/>
      </c>
      <c r="AK469" s="38">
        <f>IF(A469="","",IFERROR(COUNTIF(Y469:AF469,"Y")/(COUNTIF(Y469:AF469,"Y")+COUNTIF(Y469:AF469,"N")),0))</f>
        <v/>
      </c>
      <c r="AL469" s="36">
        <f>IF(OR(A469="",X469=""),"",MAX(0,IF(V469&lt;&gt;"",V469,TODAY())-X469))</f>
        <v/>
      </c>
      <c r="AM469" s="32" t="n"/>
      <c r="AN469" s="33">
        <f>IF(A469="","",LOWER(AI469)&amp;"|"&amp;AH469&amp;"|"&amp;AJ469&amp;"|"&amp;AK469)</f>
        <v/>
      </c>
      <c r="AO469" s="33">
        <f>IF(OR(A469="",T469=""),"",T469-TODAY())</f>
        <v/>
      </c>
      <c r="AP469" s="33">
        <f>IF(OR(A469="",V469&lt;&gt;""),"",(TODAY()-B469)+ROW()/1000000)</f>
        <v/>
      </c>
    </row>
    <row r="470" ht="27" customHeight="1">
      <c r="A470" s="30" t="n"/>
      <c r="B470" s="31" t="n"/>
      <c r="C470" s="32" t="n"/>
      <c r="D470" s="32" t="n"/>
      <c r="E470" s="32" t="n"/>
      <c r="F470" s="32" t="n"/>
      <c r="G470" s="33">
        <f>IF(A470="","",IFERROR(INDEX(OffCat,MATCH(F470,OffList,0)),"Unlisted"))</f>
        <v/>
      </c>
      <c r="H470" s="30" t="n"/>
      <c r="I470" s="31" t="n"/>
      <c r="J470" s="34" t="n"/>
      <c r="K470" s="34" t="n"/>
      <c r="L470" s="34" t="n"/>
      <c r="M470" s="30" t="n"/>
      <c r="N470" s="30" t="n"/>
      <c r="O470" s="30" t="n"/>
      <c r="P470" s="30" t="n"/>
      <c r="Q470" s="31" t="n"/>
      <c r="R470" s="31" t="n"/>
      <c r="S470" s="31" t="n"/>
      <c r="T470" s="31" t="n"/>
      <c r="U470" s="31" t="n"/>
      <c r="V470" s="31" t="n"/>
      <c r="W470" s="30" t="n"/>
      <c r="X470" s="31" t="n"/>
      <c r="Y470" s="35" t="n"/>
      <c r="Z470" s="35" t="n"/>
      <c r="AA470" s="35" t="n"/>
      <c r="AB470" s="35" t="n"/>
      <c r="AC470" s="35" t="n"/>
      <c r="AD470" s="35" t="n"/>
      <c r="AE470" s="35" t="n"/>
      <c r="AF470" s="35" t="n"/>
      <c r="AG470" s="36">
        <f>IF(A470="","",IF(V470&lt;&gt;"",V470-B470,TODAY()-B470))</f>
        <v/>
      </c>
      <c r="AH470" s="36">
        <f>IF(OR(A470="",I470=""),"",MAX(0,IF(V470&lt;&gt;"",V470-I470,TODAY()-I470)))</f>
        <v/>
      </c>
      <c r="AI470" s="37">
        <f>IF(A470="","",IF(OR(K470="Closed",V470&lt;&gt;""),"Closed",IF(AH470&gt;=AgeCrit,"Critical",IF(AH470&gt;=AgeFu,"For Follow-up",IF(AH470&gt;=AgeMonitor,"Monitor","Within Standard")))))</f>
        <v/>
      </c>
      <c r="AJ470" s="38">
        <f>IF(A470="","",IFERROR(INDEX(StgPct,MATCH(H470,StgList,0)),0))</f>
        <v/>
      </c>
      <c r="AK470" s="38">
        <f>IF(A470="","",IFERROR(COUNTIF(Y470:AF470,"Y")/(COUNTIF(Y470:AF470,"Y")+COUNTIF(Y470:AF470,"N")),0))</f>
        <v/>
      </c>
      <c r="AL470" s="36">
        <f>IF(OR(A470="",X470=""),"",MAX(0,IF(V470&lt;&gt;"",V470,TODAY())-X470))</f>
        <v/>
      </c>
      <c r="AM470" s="32" t="n"/>
      <c r="AN470" s="33">
        <f>IF(A470="","",LOWER(AI470)&amp;"|"&amp;AH470&amp;"|"&amp;AJ470&amp;"|"&amp;AK470)</f>
        <v/>
      </c>
      <c r="AO470" s="33">
        <f>IF(OR(A470="",T470=""),"",T470-TODAY())</f>
        <v/>
      </c>
      <c r="AP470" s="33">
        <f>IF(OR(A470="",V470&lt;&gt;""),"",(TODAY()-B470)+ROW()/1000000)</f>
        <v/>
      </c>
    </row>
    <row r="471" ht="27" customHeight="1">
      <c r="A471" s="30" t="n"/>
      <c r="B471" s="31" t="n"/>
      <c r="C471" s="32" t="n"/>
      <c r="D471" s="32" t="n"/>
      <c r="E471" s="32" t="n"/>
      <c r="F471" s="32" t="n"/>
      <c r="G471" s="33">
        <f>IF(A471="","",IFERROR(INDEX(OffCat,MATCH(F471,OffList,0)),"Unlisted"))</f>
        <v/>
      </c>
      <c r="H471" s="30" t="n"/>
      <c r="I471" s="31" t="n"/>
      <c r="J471" s="34" t="n"/>
      <c r="K471" s="34" t="n"/>
      <c r="L471" s="34" t="n"/>
      <c r="M471" s="30" t="n"/>
      <c r="N471" s="30" t="n"/>
      <c r="O471" s="30" t="n"/>
      <c r="P471" s="30" t="n"/>
      <c r="Q471" s="31" t="n"/>
      <c r="R471" s="31" t="n"/>
      <c r="S471" s="31" t="n"/>
      <c r="T471" s="31" t="n"/>
      <c r="U471" s="31" t="n"/>
      <c r="V471" s="31" t="n"/>
      <c r="W471" s="30" t="n"/>
      <c r="X471" s="31" t="n"/>
      <c r="Y471" s="35" t="n"/>
      <c r="Z471" s="35" t="n"/>
      <c r="AA471" s="35" t="n"/>
      <c r="AB471" s="35" t="n"/>
      <c r="AC471" s="35" t="n"/>
      <c r="AD471" s="35" t="n"/>
      <c r="AE471" s="35" t="n"/>
      <c r="AF471" s="35" t="n"/>
      <c r="AG471" s="36">
        <f>IF(A471="","",IF(V471&lt;&gt;"",V471-B471,TODAY()-B471))</f>
        <v/>
      </c>
      <c r="AH471" s="36">
        <f>IF(OR(A471="",I471=""),"",MAX(0,IF(V471&lt;&gt;"",V471-I471,TODAY()-I471)))</f>
        <v/>
      </c>
      <c r="AI471" s="37">
        <f>IF(A471="","",IF(OR(K471="Closed",V471&lt;&gt;""),"Closed",IF(AH471&gt;=AgeCrit,"Critical",IF(AH471&gt;=AgeFu,"For Follow-up",IF(AH471&gt;=AgeMonitor,"Monitor","Within Standard")))))</f>
        <v/>
      </c>
      <c r="AJ471" s="38">
        <f>IF(A471="","",IFERROR(INDEX(StgPct,MATCH(H471,StgList,0)),0))</f>
        <v/>
      </c>
      <c r="AK471" s="38">
        <f>IF(A471="","",IFERROR(COUNTIF(Y471:AF471,"Y")/(COUNTIF(Y471:AF471,"Y")+COUNTIF(Y471:AF471,"N")),0))</f>
        <v/>
      </c>
      <c r="AL471" s="36">
        <f>IF(OR(A471="",X471=""),"",MAX(0,IF(V471&lt;&gt;"",V471,TODAY())-X471))</f>
        <v/>
      </c>
      <c r="AM471" s="32" t="n"/>
      <c r="AN471" s="33">
        <f>IF(A471="","",LOWER(AI471)&amp;"|"&amp;AH471&amp;"|"&amp;AJ471&amp;"|"&amp;AK471)</f>
        <v/>
      </c>
      <c r="AO471" s="33">
        <f>IF(OR(A471="",T471=""),"",T471-TODAY())</f>
        <v/>
      </c>
      <c r="AP471" s="33">
        <f>IF(OR(A471="",V471&lt;&gt;""),"",(TODAY()-B471)+ROW()/1000000)</f>
        <v/>
      </c>
    </row>
    <row r="472" ht="27" customHeight="1">
      <c r="A472" s="30" t="n"/>
      <c r="B472" s="31" t="n"/>
      <c r="C472" s="32" t="n"/>
      <c r="D472" s="32" t="n"/>
      <c r="E472" s="32" t="n"/>
      <c r="F472" s="32" t="n"/>
      <c r="G472" s="33">
        <f>IF(A472="","",IFERROR(INDEX(OffCat,MATCH(F472,OffList,0)),"Unlisted"))</f>
        <v/>
      </c>
      <c r="H472" s="30" t="n"/>
      <c r="I472" s="31" t="n"/>
      <c r="J472" s="34" t="n"/>
      <c r="K472" s="34" t="n"/>
      <c r="L472" s="34" t="n"/>
      <c r="M472" s="30" t="n"/>
      <c r="N472" s="30" t="n"/>
      <c r="O472" s="30" t="n"/>
      <c r="P472" s="30" t="n"/>
      <c r="Q472" s="31" t="n"/>
      <c r="R472" s="31" t="n"/>
      <c r="S472" s="31" t="n"/>
      <c r="T472" s="31" t="n"/>
      <c r="U472" s="31" t="n"/>
      <c r="V472" s="31" t="n"/>
      <c r="W472" s="30" t="n"/>
      <c r="X472" s="31" t="n"/>
      <c r="Y472" s="35" t="n"/>
      <c r="Z472" s="35" t="n"/>
      <c r="AA472" s="35" t="n"/>
      <c r="AB472" s="35" t="n"/>
      <c r="AC472" s="35" t="n"/>
      <c r="AD472" s="35" t="n"/>
      <c r="AE472" s="35" t="n"/>
      <c r="AF472" s="35" t="n"/>
      <c r="AG472" s="36">
        <f>IF(A472="","",IF(V472&lt;&gt;"",V472-B472,TODAY()-B472))</f>
        <v/>
      </c>
      <c r="AH472" s="36">
        <f>IF(OR(A472="",I472=""),"",MAX(0,IF(V472&lt;&gt;"",V472-I472,TODAY()-I472)))</f>
        <v/>
      </c>
      <c r="AI472" s="37">
        <f>IF(A472="","",IF(OR(K472="Closed",V472&lt;&gt;""),"Closed",IF(AH472&gt;=AgeCrit,"Critical",IF(AH472&gt;=AgeFu,"For Follow-up",IF(AH472&gt;=AgeMonitor,"Monitor","Within Standard")))))</f>
        <v/>
      </c>
      <c r="AJ472" s="38">
        <f>IF(A472="","",IFERROR(INDEX(StgPct,MATCH(H472,StgList,0)),0))</f>
        <v/>
      </c>
      <c r="AK472" s="38">
        <f>IF(A472="","",IFERROR(COUNTIF(Y472:AF472,"Y")/(COUNTIF(Y472:AF472,"Y")+COUNTIF(Y472:AF472,"N")),0))</f>
        <v/>
      </c>
      <c r="AL472" s="36">
        <f>IF(OR(A472="",X472=""),"",MAX(0,IF(V472&lt;&gt;"",V472,TODAY())-X472))</f>
        <v/>
      </c>
      <c r="AM472" s="32" t="n"/>
      <c r="AN472" s="33">
        <f>IF(A472="","",LOWER(AI472)&amp;"|"&amp;AH472&amp;"|"&amp;AJ472&amp;"|"&amp;AK472)</f>
        <v/>
      </c>
      <c r="AO472" s="33">
        <f>IF(OR(A472="",T472=""),"",T472-TODAY())</f>
        <v/>
      </c>
      <c r="AP472" s="33">
        <f>IF(OR(A472="",V472&lt;&gt;""),"",(TODAY()-B472)+ROW()/1000000)</f>
        <v/>
      </c>
    </row>
    <row r="473" ht="27" customHeight="1">
      <c r="A473" s="30" t="n"/>
      <c r="B473" s="31" t="n"/>
      <c r="C473" s="32" t="n"/>
      <c r="D473" s="32" t="n"/>
      <c r="E473" s="32" t="n"/>
      <c r="F473" s="32" t="n"/>
      <c r="G473" s="33">
        <f>IF(A473="","",IFERROR(INDEX(OffCat,MATCH(F473,OffList,0)),"Unlisted"))</f>
        <v/>
      </c>
      <c r="H473" s="30" t="n"/>
      <c r="I473" s="31" t="n"/>
      <c r="J473" s="34" t="n"/>
      <c r="K473" s="34" t="n"/>
      <c r="L473" s="34" t="n"/>
      <c r="M473" s="30" t="n"/>
      <c r="N473" s="30" t="n"/>
      <c r="O473" s="30" t="n"/>
      <c r="P473" s="30" t="n"/>
      <c r="Q473" s="31" t="n"/>
      <c r="R473" s="31" t="n"/>
      <c r="S473" s="31" t="n"/>
      <c r="T473" s="31" t="n"/>
      <c r="U473" s="31" t="n"/>
      <c r="V473" s="31" t="n"/>
      <c r="W473" s="30" t="n"/>
      <c r="X473" s="31" t="n"/>
      <c r="Y473" s="35" t="n"/>
      <c r="Z473" s="35" t="n"/>
      <c r="AA473" s="35" t="n"/>
      <c r="AB473" s="35" t="n"/>
      <c r="AC473" s="35" t="n"/>
      <c r="AD473" s="35" t="n"/>
      <c r="AE473" s="35" t="n"/>
      <c r="AF473" s="35" t="n"/>
      <c r="AG473" s="36">
        <f>IF(A473="","",IF(V473&lt;&gt;"",V473-B473,TODAY()-B473))</f>
        <v/>
      </c>
      <c r="AH473" s="36">
        <f>IF(OR(A473="",I473=""),"",MAX(0,IF(V473&lt;&gt;"",V473-I473,TODAY()-I473)))</f>
        <v/>
      </c>
      <c r="AI473" s="37">
        <f>IF(A473="","",IF(OR(K473="Closed",V473&lt;&gt;""),"Closed",IF(AH473&gt;=AgeCrit,"Critical",IF(AH473&gt;=AgeFu,"For Follow-up",IF(AH473&gt;=AgeMonitor,"Monitor","Within Standard")))))</f>
        <v/>
      </c>
      <c r="AJ473" s="38">
        <f>IF(A473="","",IFERROR(INDEX(StgPct,MATCH(H473,StgList,0)),0))</f>
        <v/>
      </c>
      <c r="AK473" s="38">
        <f>IF(A473="","",IFERROR(COUNTIF(Y473:AF473,"Y")/(COUNTIF(Y473:AF473,"Y")+COUNTIF(Y473:AF473,"N")),0))</f>
        <v/>
      </c>
      <c r="AL473" s="36">
        <f>IF(OR(A473="",X473=""),"",MAX(0,IF(V473&lt;&gt;"",V473,TODAY())-X473))</f>
        <v/>
      </c>
      <c r="AM473" s="32" t="n"/>
      <c r="AN473" s="33">
        <f>IF(A473="","",LOWER(AI473)&amp;"|"&amp;AH473&amp;"|"&amp;AJ473&amp;"|"&amp;AK473)</f>
        <v/>
      </c>
      <c r="AO473" s="33">
        <f>IF(OR(A473="",T473=""),"",T473-TODAY())</f>
        <v/>
      </c>
      <c r="AP473" s="33">
        <f>IF(OR(A473="",V473&lt;&gt;""),"",(TODAY()-B473)+ROW()/1000000)</f>
        <v/>
      </c>
    </row>
    <row r="474" ht="27" customHeight="1">
      <c r="A474" s="30" t="n"/>
      <c r="B474" s="31" t="n"/>
      <c r="C474" s="32" t="n"/>
      <c r="D474" s="32" t="n"/>
      <c r="E474" s="32" t="n"/>
      <c r="F474" s="32" t="n"/>
      <c r="G474" s="33">
        <f>IF(A474="","",IFERROR(INDEX(OffCat,MATCH(F474,OffList,0)),"Unlisted"))</f>
        <v/>
      </c>
      <c r="H474" s="30" t="n"/>
      <c r="I474" s="31" t="n"/>
      <c r="J474" s="34" t="n"/>
      <c r="K474" s="34" t="n"/>
      <c r="L474" s="34" t="n"/>
      <c r="M474" s="30" t="n"/>
      <c r="N474" s="30" t="n"/>
      <c r="O474" s="30" t="n"/>
      <c r="P474" s="30" t="n"/>
      <c r="Q474" s="31" t="n"/>
      <c r="R474" s="31" t="n"/>
      <c r="S474" s="31" t="n"/>
      <c r="T474" s="31" t="n"/>
      <c r="U474" s="31" t="n"/>
      <c r="V474" s="31" t="n"/>
      <c r="W474" s="30" t="n"/>
      <c r="X474" s="31" t="n"/>
      <c r="Y474" s="35" t="n"/>
      <c r="Z474" s="35" t="n"/>
      <c r="AA474" s="35" t="n"/>
      <c r="AB474" s="35" t="n"/>
      <c r="AC474" s="35" t="n"/>
      <c r="AD474" s="35" t="n"/>
      <c r="AE474" s="35" t="n"/>
      <c r="AF474" s="35" t="n"/>
      <c r="AG474" s="36">
        <f>IF(A474="","",IF(V474&lt;&gt;"",V474-B474,TODAY()-B474))</f>
        <v/>
      </c>
      <c r="AH474" s="36">
        <f>IF(OR(A474="",I474=""),"",MAX(0,IF(V474&lt;&gt;"",V474-I474,TODAY()-I474)))</f>
        <v/>
      </c>
      <c r="AI474" s="37">
        <f>IF(A474="","",IF(OR(K474="Closed",V474&lt;&gt;""),"Closed",IF(AH474&gt;=AgeCrit,"Critical",IF(AH474&gt;=AgeFu,"For Follow-up",IF(AH474&gt;=AgeMonitor,"Monitor","Within Standard")))))</f>
        <v/>
      </c>
      <c r="AJ474" s="38">
        <f>IF(A474="","",IFERROR(INDEX(StgPct,MATCH(H474,StgList,0)),0))</f>
        <v/>
      </c>
      <c r="AK474" s="38">
        <f>IF(A474="","",IFERROR(COUNTIF(Y474:AF474,"Y")/(COUNTIF(Y474:AF474,"Y")+COUNTIF(Y474:AF474,"N")),0))</f>
        <v/>
      </c>
      <c r="AL474" s="36">
        <f>IF(OR(A474="",X474=""),"",MAX(0,IF(V474&lt;&gt;"",V474,TODAY())-X474))</f>
        <v/>
      </c>
      <c r="AM474" s="32" t="n"/>
      <c r="AN474" s="33">
        <f>IF(A474="","",LOWER(AI474)&amp;"|"&amp;AH474&amp;"|"&amp;AJ474&amp;"|"&amp;AK474)</f>
        <v/>
      </c>
      <c r="AO474" s="33">
        <f>IF(OR(A474="",T474=""),"",T474-TODAY())</f>
        <v/>
      </c>
      <c r="AP474" s="33">
        <f>IF(OR(A474="",V474&lt;&gt;""),"",(TODAY()-B474)+ROW()/1000000)</f>
        <v/>
      </c>
    </row>
    <row r="475" ht="27" customHeight="1">
      <c r="A475" s="30" t="n"/>
      <c r="B475" s="31" t="n"/>
      <c r="C475" s="32" t="n"/>
      <c r="D475" s="32" t="n"/>
      <c r="E475" s="32" t="n"/>
      <c r="F475" s="32" t="n"/>
      <c r="G475" s="33">
        <f>IF(A475="","",IFERROR(INDEX(OffCat,MATCH(F475,OffList,0)),"Unlisted"))</f>
        <v/>
      </c>
      <c r="H475" s="30" t="n"/>
      <c r="I475" s="31" t="n"/>
      <c r="J475" s="34" t="n"/>
      <c r="K475" s="34" t="n"/>
      <c r="L475" s="34" t="n"/>
      <c r="M475" s="30" t="n"/>
      <c r="N475" s="30" t="n"/>
      <c r="O475" s="30" t="n"/>
      <c r="P475" s="30" t="n"/>
      <c r="Q475" s="31" t="n"/>
      <c r="R475" s="31" t="n"/>
      <c r="S475" s="31" t="n"/>
      <c r="T475" s="31" t="n"/>
      <c r="U475" s="31" t="n"/>
      <c r="V475" s="31" t="n"/>
      <c r="W475" s="30" t="n"/>
      <c r="X475" s="31" t="n"/>
      <c r="Y475" s="35" t="n"/>
      <c r="Z475" s="35" t="n"/>
      <c r="AA475" s="35" t="n"/>
      <c r="AB475" s="35" t="n"/>
      <c r="AC475" s="35" t="n"/>
      <c r="AD475" s="35" t="n"/>
      <c r="AE475" s="35" t="n"/>
      <c r="AF475" s="35" t="n"/>
      <c r="AG475" s="36">
        <f>IF(A475="","",IF(V475&lt;&gt;"",V475-B475,TODAY()-B475))</f>
        <v/>
      </c>
      <c r="AH475" s="36">
        <f>IF(OR(A475="",I475=""),"",MAX(0,IF(V475&lt;&gt;"",V475-I475,TODAY()-I475)))</f>
        <v/>
      </c>
      <c r="AI475" s="37">
        <f>IF(A475="","",IF(OR(K475="Closed",V475&lt;&gt;""),"Closed",IF(AH475&gt;=AgeCrit,"Critical",IF(AH475&gt;=AgeFu,"For Follow-up",IF(AH475&gt;=AgeMonitor,"Monitor","Within Standard")))))</f>
        <v/>
      </c>
      <c r="AJ475" s="38">
        <f>IF(A475="","",IFERROR(INDEX(StgPct,MATCH(H475,StgList,0)),0))</f>
        <v/>
      </c>
      <c r="AK475" s="38">
        <f>IF(A475="","",IFERROR(COUNTIF(Y475:AF475,"Y")/(COUNTIF(Y475:AF475,"Y")+COUNTIF(Y475:AF475,"N")),0))</f>
        <v/>
      </c>
      <c r="AL475" s="36">
        <f>IF(OR(A475="",X475=""),"",MAX(0,IF(V475&lt;&gt;"",V475,TODAY())-X475))</f>
        <v/>
      </c>
      <c r="AM475" s="32" t="n"/>
      <c r="AN475" s="33">
        <f>IF(A475="","",LOWER(AI475)&amp;"|"&amp;AH475&amp;"|"&amp;AJ475&amp;"|"&amp;AK475)</f>
        <v/>
      </c>
      <c r="AO475" s="33">
        <f>IF(OR(A475="",T475=""),"",T475-TODAY())</f>
        <v/>
      </c>
      <c r="AP475" s="33">
        <f>IF(OR(A475="",V475&lt;&gt;""),"",(TODAY()-B475)+ROW()/1000000)</f>
        <v/>
      </c>
    </row>
    <row r="476" ht="27" customHeight="1">
      <c r="A476" s="30" t="n"/>
      <c r="B476" s="31" t="n"/>
      <c r="C476" s="32" t="n"/>
      <c r="D476" s="32" t="n"/>
      <c r="E476" s="32" t="n"/>
      <c r="F476" s="32" t="n"/>
      <c r="G476" s="33">
        <f>IF(A476="","",IFERROR(INDEX(OffCat,MATCH(F476,OffList,0)),"Unlisted"))</f>
        <v/>
      </c>
      <c r="H476" s="30" t="n"/>
      <c r="I476" s="31" t="n"/>
      <c r="J476" s="34" t="n"/>
      <c r="K476" s="34" t="n"/>
      <c r="L476" s="34" t="n"/>
      <c r="M476" s="30" t="n"/>
      <c r="N476" s="30" t="n"/>
      <c r="O476" s="30" t="n"/>
      <c r="P476" s="30" t="n"/>
      <c r="Q476" s="31" t="n"/>
      <c r="R476" s="31" t="n"/>
      <c r="S476" s="31" t="n"/>
      <c r="T476" s="31" t="n"/>
      <c r="U476" s="31" t="n"/>
      <c r="V476" s="31" t="n"/>
      <c r="W476" s="30" t="n"/>
      <c r="X476" s="31" t="n"/>
      <c r="Y476" s="35" t="n"/>
      <c r="Z476" s="35" t="n"/>
      <c r="AA476" s="35" t="n"/>
      <c r="AB476" s="35" t="n"/>
      <c r="AC476" s="35" t="n"/>
      <c r="AD476" s="35" t="n"/>
      <c r="AE476" s="35" t="n"/>
      <c r="AF476" s="35" t="n"/>
      <c r="AG476" s="36">
        <f>IF(A476="","",IF(V476&lt;&gt;"",V476-B476,TODAY()-B476))</f>
        <v/>
      </c>
      <c r="AH476" s="36">
        <f>IF(OR(A476="",I476=""),"",MAX(0,IF(V476&lt;&gt;"",V476-I476,TODAY()-I476)))</f>
        <v/>
      </c>
      <c r="AI476" s="37">
        <f>IF(A476="","",IF(OR(K476="Closed",V476&lt;&gt;""),"Closed",IF(AH476&gt;=AgeCrit,"Critical",IF(AH476&gt;=AgeFu,"For Follow-up",IF(AH476&gt;=AgeMonitor,"Monitor","Within Standard")))))</f>
        <v/>
      </c>
      <c r="AJ476" s="38">
        <f>IF(A476="","",IFERROR(INDEX(StgPct,MATCH(H476,StgList,0)),0))</f>
        <v/>
      </c>
      <c r="AK476" s="38">
        <f>IF(A476="","",IFERROR(COUNTIF(Y476:AF476,"Y")/(COUNTIF(Y476:AF476,"Y")+COUNTIF(Y476:AF476,"N")),0))</f>
        <v/>
      </c>
      <c r="AL476" s="36">
        <f>IF(OR(A476="",X476=""),"",MAX(0,IF(V476&lt;&gt;"",V476,TODAY())-X476))</f>
        <v/>
      </c>
      <c r="AM476" s="32" t="n"/>
      <c r="AN476" s="33">
        <f>IF(A476="","",LOWER(AI476)&amp;"|"&amp;AH476&amp;"|"&amp;AJ476&amp;"|"&amp;AK476)</f>
        <v/>
      </c>
      <c r="AO476" s="33">
        <f>IF(OR(A476="",T476=""),"",T476-TODAY())</f>
        <v/>
      </c>
      <c r="AP476" s="33">
        <f>IF(OR(A476="",V476&lt;&gt;""),"",(TODAY()-B476)+ROW()/1000000)</f>
        <v/>
      </c>
    </row>
    <row r="477" ht="27" customHeight="1">
      <c r="A477" s="30" t="n"/>
      <c r="B477" s="31" t="n"/>
      <c r="C477" s="32" t="n"/>
      <c r="D477" s="32" t="n"/>
      <c r="E477" s="32" t="n"/>
      <c r="F477" s="32" t="n"/>
      <c r="G477" s="33">
        <f>IF(A477="","",IFERROR(INDEX(OffCat,MATCH(F477,OffList,0)),"Unlisted"))</f>
        <v/>
      </c>
      <c r="H477" s="30" t="n"/>
      <c r="I477" s="31" t="n"/>
      <c r="J477" s="34" t="n"/>
      <c r="K477" s="34" t="n"/>
      <c r="L477" s="34" t="n"/>
      <c r="M477" s="30" t="n"/>
      <c r="N477" s="30" t="n"/>
      <c r="O477" s="30" t="n"/>
      <c r="P477" s="30" t="n"/>
      <c r="Q477" s="31" t="n"/>
      <c r="R477" s="31" t="n"/>
      <c r="S477" s="31" t="n"/>
      <c r="T477" s="31" t="n"/>
      <c r="U477" s="31" t="n"/>
      <c r="V477" s="31" t="n"/>
      <c r="W477" s="30" t="n"/>
      <c r="X477" s="31" t="n"/>
      <c r="Y477" s="35" t="n"/>
      <c r="Z477" s="35" t="n"/>
      <c r="AA477" s="35" t="n"/>
      <c r="AB477" s="35" t="n"/>
      <c r="AC477" s="35" t="n"/>
      <c r="AD477" s="35" t="n"/>
      <c r="AE477" s="35" t="n"/>
      <c r="AF477" s="35" t="n"/>
      <c r="AG477" s="36">
        <f>IF(A477="","",IF(V477&lt;&gt;"",V477-B477,TODAY()-B477))</f>
        <v/>
      </c>
      <c r="AH477" s="36">
        <f>IF(OR(A477="",I477=""),"",MAX(0,IF(V477&lt;&gt;"",V477-I477,TODAY()-I477)))</f>
        <v/>
      </c>
      <c r="AI477" s="37">
        <f>IF(A477="","",IF(OR(K477="Closed",V477&lt;&gt;""),"Closed",IF(AH477&gt;=AgeCrit,"Critical",IF(AH477&gt;=AgeFu,"For Follow-up",IF(AH477&gt;=AgeMonitor,"Monitor","Within Standard")))))</f>
        <v/>
      </c>
      <c r="AJ477" s="38">
        <f>IF(A477="","",IFERROR(INDEX(StgPct,MATCH(H477,StgList,0)),0))</f>
        <v/>
      </c>
      <c r="AK477" s="38">
        <f>IF(A477="","",IFERROR(COUNTIF(Y477:AF477,"Y")/(COUNTIF(Y477:AF477,"Y")+COUNTIF(Y477:AF477,"N")),0))</f>
        <v/>
      </c>
      <c r="AL477" s="36">
        <f>IF(OR(A477="",X477=""),"",MAX(0,IF(V477&lt;&gt;"",V477,TODAY())-X477))</f>
        <v/>
      </c>
      <c r="AM477" s="32" t="n"/>
      <c r="AN477" s="33">
        <f>IF(A477="","",LOWER(AI477)&amp;"|"&amp;AH477&amp;"|"&amp;AJ477&amp;"|"&amp;AK477)</f>
        <v/>
      </c>
      <c r="AO477" s="33">
        <f>IF(OR(A477="",T477=""),"",T477-TODAY())</f>
        <v/>
      </c>
      <c r="AP477" s="33">
        <f>IF(OR(A477="",V477&lt;&gt;""),"",(TODAY()-B477)+ROW()/1000000)</f>
        <v/>
      </c>
    </row>
    <row r="478" ht="27" customHeight="1">
      <c r="A478" s="30" t="n"/>
      <c r="B478" s="31" t="n"/>
      <c r="C478" s="32" t="n"/>
      <c r="D478" s="32" t="n"/>
      <c r="E478" s="32" t="n"/>
      <c r="F478" s="32" t="n"/>
      <c r="G478" s="33">
        <f>IF(A478="","",IFERROR(INDEX(OffCat,MATCH(F478,OffList,0)),"Unlisted"))</f>
        <v/>
      </c>
      <c r="H478" s="30" t="n"/>
      <c r="I478" s="31" t="n"/>
      <c r="J478" s="34" t="n"/>
      <c r="K478" s="34" t="n"/>
      <c r="L478" s="34" t="n"/>
      <c r="M478" s="30" t="n"/>
      <c r="N478" s="30" t="n"/>
      <c r="O478" s="30" t="n"/>
      <c r="P478" s="30" t="n"/>
      <c r="Q478" s="31" t="n"/>
      <c r="R478" s="31" t="n"/>
      <c r="S478" s="31" t="n"/>
      <c r="T478" s="31" t="n"/>
      <c r="U478" s="31" t="n"/>
      <c r="V478" s="31" t="n"/>
      <c r="W478" s="30" t="n"/>
      <c r="X478" s="31" t="n"/>
      <c r="Y478" s="35" t="n"/>
      <c r="Z478" s="35" t="n"/>
      <c r="AA478" s="35" t="n"/>
      <c r="AB478" s="35" t="n"/>
      <c r="AC478" s="35" t="n"/>
      <c r="AD478" s="35" t="n"/>
      <c r="AE478" s="35" t="n"/>
      <c r="AF478" s="35" t="n"/>
      <c r="AG478" s="36">
        <f>IF(A478="","",IF(V478&lt;&gt;"",V478-B478,TODAY()-B478))</f>
        <v/>
      </c>
      <c r="AH478" s="36">
        <f>IF(OR(A478="",I478=""),"",MAX(0,IF(V478&lt;&gt;"",V478-I478,TODAY()-I478)))</f>
        <v/>
      </c>
      <c r="AI478" s="37">
        <f>IF(A478="","",IF(OR(K478="Closed",V478&lt;&gt;""),"Closed",IF(AH478&gt;=AgeCrit,"Critical",IF(AH478&gt;=AgeFu,"For Follow-up",IF(AH478&gt;=AgeMonitor,"Monitor","Within Standard")))))</f>
        <v/>
      </c>
      <c r="AJ478" s="38">
        <f>IF(A478="","",IFERROR(INDEX(StgPct,MATCH(H478,StgList,0)),0))</f>
        <v/>
      </c>
      <c r="AK478" s="38">
        <f>IF(A478="","",IFERROR(COUNTIF(Y478:AF478,"Y")/(COUNTIF(Y478:AF478,"Y")+COUNTIF(Y478:AF478,"N")),0))</f>
        <v/>
      </c>
      <c r="AL478" s="36">
        <f>IF(OR(A478="",X478=""),"",MAX(0,IF(V478&lt;&gt;"",V478,TODAY())-X478))</f>
        <v/>
      </c>
      <c r="AM478" s="32" t="n"/>
      <c r="AN478" s="33">
        <f>IF(A478="","",LOWER(AI478)&amp;"|"&amp;AH478&amp;"|"&amp;AJ478&amp;"|"&amp;AK478)</f>
        <v/>
      </c>
      <c r="AO478" s="33">
        <f>IF(OR(A478="",T478=""),"",T478-TODAY())</f>
        <v/>
      </c>
      <c r="AP478" s="33">
        <f>IF(OR(A478="",V478&lt;&gt;""),"",(TODAY()-B478)+ROW()/1000000)</f>
        <v/>
      </c>
    </row>
    <row r="479" ht="27" customHeight="1">
      <c r="A479" s="30" t="n"/>
      <c r="B479" s="31" t="n"/>
      <c r="C479" s="32" t="n"/>
      <c r="D479" s="32" t="n"/>
      <c r="E479" s="32" t="n"/>
      <c r="F479" s="32" t="n"/>
      <c r="G479" s="33">
        <f>IF(A479="","",IFERROR(INDEX(OffCat,MATCH(F479,OffList,0)),"Unlisted"))</f>
        <v/>
      </c>
      <c r="H479" s="30" t="n"/>
      <c r="I479" s="31" t="n"/>
      <c r="J479" s="34" t="n"/>
      <c r="K479" s="34" t="n"/>
      <c r="L479" s="34" t="n"/>
      <c r="M479" s="30" t="n"/>
      <c r="N479" s="30" t="n"/>
      <c r="O479" s="30" t="n"/>
      <c r="P479" s="30" t="n"/>
      <c r="Q479" s="31" t="n"/>
      <c r="R479" s="31" t="n"/>
      <c r="S479" s="31" t="n"/>
      <c r="T479" s="31" t="n"/>
      <c r="U479" s="31" t="n"/>
      <c r="V479" s="31" t="n"/>
      <c r="W479" s="30" t="n"/>
      <c r="X479" s="31" t="n"/>
      <c r="Y479" s="35" t="n"/>
      <c r="Z479" s="35" t="n"/>
      <c r="AA479" s="35" t="n"/>
      <c r="AB479" s="35" t="n"/>
      <c r="AC479" s="35" t="n"/>
      <c r="AD479" s="35" t="n"/>
      <c r="AE479" s="35" t="n"/>
      <c r="AF479" s="35" t="n"/>
      <c r="AG479" s="36">
        <f>IF(A479="","",IF(V479&lt;&gt;"",V479-B479,TODAY()-B479))</f>
        <v/>
      </c>
      <c r="AH479" s="36">
        <f>IF(OR(A479="",I479=""),"",MAX(0,IF(V479&lt;&gt;"",V479-I479,TODAY()-I479)))</f>
        <v/>
      </c>
      <c r="AI479" s="37">
        <f>IF(A479="","",IF(OR(K479="Closed",V479&lt;&gt;""),"Closed",IF(AH479&gt;=AgeCrit,"Critical",IF(AH479&gt;=AgeFu,"For Follow-up",IF(AH479&gt;=AgeMonitor,"Monitor","Within Standard")))))</f>
        <v/>
      </c>
      <c r="AJ479" s="38">
        <f>IF(A479="","",IFERROR(INDEX(StgPct,MATCH(H479,StgList,0)),0))</f>
        <v/>
      </c>
      <c r="AK479" s="38">
        <f>IF(A479="","",IFERROR(COUNTIF(Y479:AF479,"Y")/(COUNTIF(Y479:AF479,"Y")+COUNTIF(Y479:AF479,"N")),0))</f>
        <v/>
      </c>
      <c r="AL479" s="36">
        <f>IF(OR(A479="",X479=""),"",MAX(0,IF(V479&lt;&gt;"",V479,TODAY())-X479))</f>
        <v/>
      </c>
      <c r="AM479" s="32" t="n"/>
      <c r="AN479" s="33">
        <f>IF(A479="","",LOWER(AI479)&amp;"|"&amp;AH479&amp;"|"&amp;AJ479&amp;"|"&amp;AK479)</f>
        <v/>
      </c>
      <c r="AO479" s="33">
        <f>IF(OR(A479="",T479=""),"",T479-TODAY())</f>
        <v/>
      </c>
      <c r="AP479" s="33">
        <f>IF(OR(A479="",V479&lt;&gt;""),"",(TODAY()-B479)+ROW()/1000000)</f>
        <v/>
      </c>
    </row>
    <row r="480" ht="27" customHeight="1">
      <c r="A480" s="30" t="n"/>
      <c r="B480" s="31" t="n"/>
      <c r="C480" s="32" t="n"/>
      <c r="D480" s="32" t="n"/>
      <c r="E480" s="32" t="n"/>
      <c r="F480" s="32" t="n"/>
      <c r="G480" s="33">
        <f>IF(A480="","",IFERROR(INDEX(OffCat,MATCH(F480,OffList,0)),"Unlisted"))</f>
        <v/>
      </c>
      <c r="H480" s="30" t="n"/>
      <c r="I480" s="31" t="n"/>
      <c r="J480" s="34" t="n"/>
      <c r="K480" s="34" t="n"/>
      <c r="L480" s="34" t="n"/>
      <c r="M480" s="30" t="n"/>
      <c r="N480" s="30" t="n"/>
      <c r="O480" s="30" t="n"/>
      <c r="P480" s="30" t="n"/>
      <c r="Q480" s="31" t="n"/>
      <c r="R480" s="31" t="n"/>
      <c r="S480" s="31" t="n"/>
      <c r="T480" s="31" t="n"/>
      <c r="U480" s="31" t="n"/>
      <c r="V480" s="31" t="n"/>
      <c r="W480" s="30" t="n"/>
      <c r="X480" s="31" t="n"/>
      <c r="Y480" s="35" t="n"/>
      <c r="Z480" s="35" t="n"/>
      <c r="AA480" s="35" t="n"/>
      <c r="AB480" s="35" t="n"/>
      <c r="AC480" s="35" t="n"/>
      <c r="AD480" s="35" t="n"/>
      <c r="AE480" s="35" t="n"/>
      <c r="AF480" s="35" t="n"/>
      <c r="AG480" s="36">
        <f>IF(A480="","",IF(V480&lt;&gt;"",V480-B480,TODAY()-B480))</f>
        <v/>
      </c>
      <c r="AH480" s="36">
        <f>IF(OR(A480="",I480=""),"",MAX(0,IF(V480&lt;&gt;"",V480-I480,TODAY()-I480)))</f>
        <v/>
      </c>
      <c r="AI480" s="37">
        <f>IF(A480="","",IF(OR(K480="Closed",V480&lt;&gt;""),"Closed",IF(AH480&gt;=AgeCrit,"Critical",IF(AH480&gt;=AgeFu,"For Follow-up",IF(AH480&gt;=AgeMonitor,"Monitor","Within Standard")))))</f>
        <v/>
      </c>
      <c r="AJ480" s="38">
        <f>IF(A480="","",IFERROR(INDEX(StgPct,MATCH(H480,StgList,0)),0))</f>
        <v/>
      </c>
      <c r="AK480" s="38">
        <f>IF(A480="","",IFERROR(COUNTIF(Y480:AF480,"Y")/(COUNTIF(Y480:AF480,"Y")+COUNTIF(Y480:AF480,"N")),0))</f>
        <v/>
      </c>
      <c r="AL480" s="36">
        <f>IF(OR(A480="",X480=""),"",MAX(0,IF(V480&lt;&gt;"",V480,TODAY())-X480))</f>
        <v/>
      </c>
      <c r="AM480" s="32" t="n"/>
      <c r="AN480" s="33">
        <f>IF(A480="","",LOWER(AI480)&amp;"|"&amp;AH480&amp;"|"&amp;AJ480&amp;"|"&amp;AK480)</f>
        <v/>
      </c>
      <c r="AO480" s="33">
        <f>IF(OR(A480="",T480=""),"",T480-TODAY())</f>
        <v/>
      </c>
      <c r="AP480" s="33">
        <f>IF(OR(A480="",V480&lt;&gt;""),"",(TODAY()-B480)+ROW()/1000000)</f>
        <v/>
      </c>
    </row>
    <row r="481" ht="27" customHeight="1">
      <c r="A481" s="30" t="n"/>
      <c r="B481" s="31" t="n"/>
      <c r="C481" s="32" t="n"/>
      <c r="D481" s="32" t="n"/>
      <c r="E481" s="32" t="n"/>
      <c r="F481" s="32" t="n"/>
      <c r="G481" s="33">
        <f>IF(A481="","",IFERROR(INDEX(OffCat,MATCH(F481,OffList,0)),"Unlisted"))</f>
        <v/>
      </c>
      <c r="H481" s="30" t="n"/>
      <c r="I481" s="31" t="n"/>
      <c r="J481" s="34" t="n"/>
      <c r="K481" s="34" t="n"/>
      <c r="L481" s="34" t="n"/>
      <c r="M481" s="30" t="n"/>
      <c r="N481" s="30" t="n"/>
      <c r="O481" s="30" t="n"/>
      <c r="P481" s="30" t="n"/>
      <c r="Q481" s="31" t="n"/>
      <c r="R481" s="31" t="n"/>
      <c r="S481" s="31" t="n"/>
      <c r="T481" s="31" t="n"/>
      <c r="U481" s="31" t="n"/>
      <c r="V481" s="31" t="n"/>
      <c r="W481" s="30" t="n"/>
      <c r="X481" s="31" t="n"/>
      <c r="Y481" s="35" t="n"/>
      <c r="Z481" s="35" t="n"/>
      <c r="AA481" s="35" t="n"/>
      <c r="AB481" s="35" t="n"/>
      <c r="AC481" s="35" t="n"/>
      <c r="AD481" s="35" t="n"/>
      <c r="AE481" s="35" t="n"/>
      <c r="AF481" s="35" t="n"/>
      <c r="AG481" s="36">
        <f>IF(A481="","",IF(V481&lt;&gt;"",V481-B481,TODAY()-B481))</f>
        <v/>
      </c>
      <c r="AH481" s="36">
        <f>IF(OR(A481="",I481=""),"",MAX(0,IF(V481&lt;&gt;"",V481-I481,TODAY()-I481)))</f>
        <v/>
      </c>
      <c r="AI481" s="37">
        <f>IF(A481="","",IF(OR(K481="Closed",V481&lt;&gt;""),"Closed",IF(AH481&gt;=AgeCrit,"Critical",IF(AH481&gt;=AgeFu,"For Follow-up",IF(AH481&gt;=AgeMonitor,"Monitor","Within Standard")))))</f>
        <v/>
      </c>
      <c r="AJ481" s="38">
        <f>IF(A481="","",IFERROR(INDEX(StgPct,MATCH(H481,StgList,0)),0))</f>
        <v/>
      </c>
      <c r="AK481" s="38">
        <f>IF(A481="","",IFERROR(COUNTIF(Y481:AF481,"Y")/(COUNTIF(Y481:AF481,"Y")+COUNTIF(Y481:AF481,"N")),0))</f>
        <v/>
      </c>
      <c r="AL481" s="36">
        <f>IF(OR(A481="",X481=""),"",MAX(0,IF(V481&lt;&gt;"",V481,TODAY())-X481))</f>
        <v/>
      </c>
      <c r="AM481" s="32" t="n"/>
      <c r="AN481" s="33">
        <f>IF(A481="","",LOWER(AI481)&amp;"|"&amp;AH481&amp;"|"&amp;AJ481&amp;"|"&amp;AK481)</f>
        <v/>
      </c>
      <c r="AO481" s="33">
        <f>IF(OR(A481="",T481=""),"",T481-TODAY())</f>
        <v/>
      </c>
      <c r="AP481" s="33">
        <f>IF(OR(A481="",V481&lt;&gt;""),"",(TODAY()-B481)+ROW()/1000000)</f>
        <v/>
      </c>
    </row>
    <row r="482" ht="27" customHeight="1">
      <c r="A482" s="30" t="n"/>
      <c r="B482" s="31" t="n"/>
      <c r="C482" s="32" t="n"/>
      <c r="D482" s="32" t="n"/>
      <c r="E482" s="32" t="n"/>
      <c r="F482" s="32" t="n"/>
      <c r="G482" s="33">
        <f>IF(A482="","",IFERROR(INDEX(OffCat,MATCH(F482,OffList,0)),"Unlisted"))</f>
        <v/>
      </c>
      <c r="H482" s="30" t="n"/>
      <c r="I482" s="31" t="n"/>
      <c r="J482" s="34" t="n"/>
      <c r="K482" s="34" t="n"/>
      <c r="L482" s="34" t="n"/>
      <c r="M482" s="30" t="n"/>
      <c r="N482" s="30" t="n"/>
      <c r="O482" s="30" t="n"/>
      <c r="P482" s="30" t="n"/>
      <c r="Q482" s="31" t="n"/>
      <c r="R482" s="31" t="n"/>
      <c r="S482" s="31" t="n"/>
      <c r="T482" s="31" t="n"/>
      <c r="U482" s="31" t="n"/>
      <c r="V482" s="31" t="n"/>
      <c r="W482" s="30" t="n"/>
      <c r="X482" s="31" t="n"/>
      <c r="Y482" s="35" t="n"/>
      <c r="Z482" s="35" t="n"/>
      <c r="AA482" s="35" t="n"/>
      <c r="AB482" s="35" t="n"/>
      <c r="AC482" s="35" t="n"/>
      <c r="AD482" s="35" t="n"/>
      <c r="AE482" s="35" t="n"/>
      <c r="AF482" s="35" t="n"/>
      <c r="AG482" s="36">
        <f>IF(A482="","",IF(V482&lt;&gt;"",V482-B482,TODAY()-B482))</f>
        <v/>
      </c>
      <c r="AH482" s="36">
        <f>IF(OR(A482="",I482=""),"",MAX(0,IF(V482&lt;&gt;"",V482-I482,TODAY()-I482)))</f>
        <v/>
      </c>
      <c r="AI482" s="37">
        <f>IF(A482="","",IF(OR(K482="Closed",V482&lt;&gt;""),"Closed",IF(AH482&gt;=AgeCrit,"Critical",IF(AH482&gt;=AgeFu,"For Follow-up",IF(AH482&gt;=AgeMonitor,"Monitor","Within Standard")))))</f>
        <v/>
      </c>
      <c r="AJ482" s="38">
        <f>IF(A482="","",IFERROR(INDEX(StgPct,MATCH(H482,StgList,0)),0))</f>
        <v/>
      </c>
      <c r="AK482" s="38">
        <f>IF(A482="","",IFERROR(COUNTIF(Y482:AF482,"Y")/(COUNTIF(Y482:AF482,"Y")+COUNTIF(Y482:AF482,"N")),0))</f>
        <v/>
      </c>
      <c r="AL482" s="36">
        <f>IF(OR(A482="",X482=""),"",MAX(0,IF(V482&lt;&gt;"",V482,TODAY())-X482))</f>
        <v/>
      </c>
      <c r="AM482" s="32" t="n"/>
      <c r="AN482" s="33">
        <f>IF(A482="","",LOWER(AI482)&amp;"|"&amp;AH482&amp;"|"&amp;AJ482&amp;"|"&amp;AK482)</f>
        <v/>
      </c>
      <c r="AO482" s="33">
        <f>IF(OR(A482="",T482=""),"",T482-TODAY())</f>
        <v/>
      </c>
      <c r="AP482" s="33">
        <f>IF(OR(A482="",V482&lt;&gt;""),"",(TODAY()-B482)+ROW()/1000000)</f>
        <v/>
      </c>
    </row>
    <row r="483" ht="27" customHeight="1">
      <c r="A483" s="30" t="n"/>
      <c r="B483" s="31" t="n"/>
      <c r="C483" s="32" t="n"/>
      <c r="D483" s="32" t="n"/>
      <c r="E483" s="32" t="n"/>
      <c r="F483" s="32" t="n"/>
      <c r="G483" s="33">
        <f>IF(A483="","",IFERROR(INDEX(OffCat,MATCH(F483,OffList,0)),"Unlisted"))</f>
        <v/>
      </c>
      <c r="H483" s="30" t="n"/>
      <c r="I483" s="31" t="n"/>
      <c r="J483" s="34" t="n"/>
      <c r="K483" s="34" t="n"/>
      <c r="L483" s="34" t="n"/>
      <c r="M483" s="30" t="n"/>
      <c r="N483" s="30" t="n"/>
      <c r="O483" s="30" t="n"/>
      <c r="P483" s="30" t="n"/>
      <c r="Q483" s="31" t="n"/>
      <c r="R483" s="31" t="n"/>
      <c r="S483" s="31" t="n"/>
      <c r="T483" s="31" t="n"/>
      <c r="U483" s="31" t="n"/>
      <c r="V483" s="31" t="n"/>
      <c r="W483" s="30" t="n"/>
      <c r="X483" s="31" t="n"/>
      <c r="Y483" s="35" t="n"/>
      <c r="Z483" s="35" t="n"/>
      <c r="AA483" s="35" t="n"/>
      <c r="AB483" s="35" t="n"/>
      <c r="AC483" s="35" t="n"/>
      <c r="AD483" s="35" t="n"/>
      <c r="AE483" s="35" t="n"/>
      <c r="AF483" s="35" t="n"/>
      <c r="AG483" s="36">
        <f>IF(A483="","",IF(V483&lt;&gt;"",V483-B483,TODAY()-B483))</f>
        <v/>
      </c>
      <c r="AH483" s="36">
        <f>IF(OR(A483="",I483=""),"",MAX(0,IF(V483&lt;&gt;"",V483-I483,TODAY()-I483)))</f>
        <v/>
      </c>
      <c r="AI483" s="37">
        <f>IF(A483="","",IF(OR(K483="Closed",V483&lt;&gt;""),"Closed",IF(AH483&gt;=AgeCrit,"Critical",IF(AH483&gt;=AgeFu,"For Follow-up",IF(AH483&gt;=AgeMonitor,"Monitor","Within Standard")))))</f>
        <v/>
      </c>
      <c r="AJ483" s="38">
        <f>IF(A483="","",IFERROR(INDEX(StgPct,MATCH(H483,StgList,0)),0))</f>
        <v/>
      </c>
      <c r="AK483" s="38">
        <f>IF(A483="","",IFERROR(COUNTIF(Y483:AF483,"Y")/(COUNTIF(Y483:AF483,"Y")+COUNTIF(Y483:AF483,"N")),0))</f>
        <v/>
      </c>
      <c r="AL483" s="36">
        <f>IF(OR(A483="",X483=""),"",MAX(0,IF(V483&lt;&gt;"",V483,TODAY())-X483))</f>
        <v/>
      </c>
      <c r="AM483" s="32" t="n"/>
      <c r="AN483" s="33">
        <f>IF(A483="","",LOWER(AI483)&amp;"|"&amp;AH483&amp;"|"&amp;AJ483&amp;"|"&amp;AK483)</f>
        <v/>
      </c>
      <c r="AO483" s="33">
        <f>IF(OR(A483="",T483=""),"",T483-TODAY())</f>
        <v/>
      </c>
      <c r="AP483" s="33">
        <f>IF(OR(A483="",V483&lt;&gt;""),"",(TODAY()-B483)+ROW()/1000000)</f>
        <v/>
      </c>
    </row>
    <row r="484" ht="27" customHeight="1">
      <c r="A484" s="30" t="n"/>
      <c r="B484" s="31" t="n"/>
      <c r="C484" s="32" t="n"/>
      <c r="D484" s="32" t="n"/>
      <c r="E484" s="32" t="n"/>
      <c r="F484" s="32" t="n"/>
      <c r="G484" s="33">
        <f>IF(A484="","",IFERROR(INDEX(OffCat,MATCH(F484,OffList,0)),"Unlisted"))</f>
        <v/>
      </c>
      <c r="H484" s="30" t="n"/>
      <c r="I484" s="31" t="n"/>
      <c r="J484" s="34" t="n"/>
      <c r="K484" s="34" t="n"/>
      <c r="L484" s="34" t="n"/>
      <c r="M484" s="30" t="n"/>
      <c r="N484" s="30" t="n"/>
      <c r="O484" s="30" t="n"/>
      <c r="P484" s="30" t="n"/>
      <c r="Q484" s="31" t="n"/>
      <c r="R484" s="31" t="n"/>
      <c r="S484" s="31" t="n"/>
      <c r="T484" s="31" t="n"/>
      <c r="U484" s="31" t="n"/>
      <c r="V484" s="31" t="n"/>
      <c r="W484" s="30" t="n"/>
      <c r="X484" s="31" t="n"/>
      <c r="Y484" s="35" t="n"/>
      <c r="Z484" s="35" t="n"/>
      <c r="AA484" s="35" t="n"/>
      <c r="AB484" s="35" t="n"/>
      <c r="AC484" s="35" t="n"/>
      <c r="AD484" s="35" t="n"/>
      <c r="AE484" s="35" t="n"/>
      <c r="AF484" s="35" t="n"/>
      <c r="AG484" s="36">
        <f>IF(A484="","",IF(V484&lt;&gt;"",V484-B484,TODAY()-B484))</f>
        <v/>
      </c>
      <c r="AH484" s="36">
        <f>IF(OR(A484="",I484=""),"",MAX(0,IF(V484&lt;&gt;"",V484-I484,TODAY()-I484)))</f>
        <v/>
      </c>
      <c r="AI484" s="37">
        <f>IF(A484="","",IF(OR(K484="Closed",V484&lt;&gt;""),"Closed",IF(AH484&gt;=AgeCrit,"Critical",IF(AH484&gt;=AgeFu,"For Follow-up",IF(AH484&gt;=AgeMonitor,"Monitor","Within Standard")))))</f>
        <v/>
      </c>
      <c r="AJ484" s="38">
        <f>IF(A484="","",IFERROR(INDEX(StgPct,MATCH(H484,StgList,0)),0))</f>
        <v/>
      </c>
      <c r="AK484" s="38">
        <f>IF(A484="","",IFERROR(COUNTIF(Y484:AF484,"Y")/(COUNTIF(Y484:AF484,"Y")+COUNTIF(Y484:AF484,"N")),0))</f>
        <v/>
      </c>
      <c r="AL484" s="36">
        <f>IF(OR(A484="",X484=""),"",MAX(0,IF(V484&lt;&gt;"",V484,TODAY())-X484))</f>
        <v/>
      </c>
      <c r="AM484" s="32" t="n"/>
      <c r="AN484" s="33">
        <f>IF(A484="","",LOWER(AI484)&amp;"|"&amp;AH484&amp;"|"&amp;AJ484&amp;"|"&amp;AK484)</f>
        <v/>
      </c>
      <c r="AO484" s="33">
        <f>IF(OR(A484="",T484=""),"",T484-TODAY())</f>
        <v/>
      </c>
      <c r="AP484" s="33">
        <f>IF(OR(A484="",V484&lt;&gt;""),"",(TODAY()-B484)+ROW()/1000000)</f>
        <v/>
      </c>
    </row>
    <row r="485" ht="27" customHeight="1">
      <c r="A485" s="30" t="n"/>
      <c r="B485" s="31" t="n"/>
      <c r="C485" s="32" t="n"/>
      <c r="D485" s="32" t="n"/>
      <c r="E485" s="32" t="n"/>
      <c r="F485" s="32" t="n"/>
      <c r="G485" s="33">
        <f>IF(A485="","",IFERROR(INDEX(OffCat,MATCH(F485,OffList,0)),"Unlisted"))</f>
        <v/>
      </c>
      <c r="H485" s="30" t="n"/>
      <c r="I485" s="31" t="n"/>
      <c r="J485" s="34" t="n"/>
      <c r="K485" s="34" t="n"/>
      <c r="L485" s="34" t="n"/>
      <c r="M485" s="30" t="n"/>
      <c r="N485" s="30" t="n"/>
      <c r="O485" s="30" t="n"/>
      <c r="P485" s="30" t="n"/>
      <c r="Q485" s="31" t="n"/>
      <c r="R485" s="31" t="n"/>
      <c r="S485" s="31" t="n"/>
      <c r="T485" s="31" t="n"/>
      <c r="U485" s="31" t="n"/>
      <c r="V485" s="31" t="n"/>
      <c r="W485" s="30" t="n"/>
      <c r="X485" s="31" t="n"/>
      <c r="Y485" s="35" t="n"/>
      <c r="Z485" s="35" t="n"/>
      <c r="AA485" s="35" t="n"/>
      <c r="AB485" s="35" t="n"/>
      <c r="AC485" s="35" t="n"/>
      <c r="AD485" s="35" t="n"/>
      <c r="AE485" s="35" t="n"/>
      <c r="AF485" s="35" t="n"/>
      <c r="AG485" s="36">
        <f>IF(A485="","",IF(V485&lt;&gt;"",V485-B485,TODAY()-B485))</f>
        <v/>
      </c>
      <c r="AH485" s="36">
        <f>IF(OR(A485="",I485=""),"",MAX(0,IF(V485&lt;&gt;"",V485-I485,TODAY()-I485)))</f>
        <v/>
      </c>
      <c r="AI485" s="37">
        <f>IF(A485="","",IF(OR(K485="Closed",V485&lt;&gt;""),"Closed",IF(AH485&gt;=AgeCrit,"Critical",IF(AH485&gt;=AgeFu,"For Follow-up",IF(AH485&gt;=AgeMonitor,"Monitor","Within Standard")))))</f>
        <v/>
      </c>
      <c r="AJ485" s="38">
        <f>IF(A485="","",IFERROR(INDEX(StgPct,MATCH(H485,StgList,0)),0))</f>
        <v/>
      </c>
      <c r="AK485" s="38">
        <f>IF(A485="","",IFERROR(COUNTIF(Y485:AF485,"Y")/(COUNTIF(Y485:AF485,"Y")+COUNTIF(Y485:AF485,"N")),0))</f>
        <v/>
      </c>
      <c r="AL485" s="36">
        <f>IF(OR(A485="",X485=""),"",MAX(0,IF(V485&lt;&gt;"",V485,TODAY())-X485))</f>
        <v/>
      </c>
      <c r="AM485" s="32" t="n"/>
      <c r="AN485" s="33">
        <f>IF(A485="","",LOWER(AI485)&amp;"|"&amp;AH485&amp;"|"&amp;AJ485&amp;"|"&amp;AK485)</f>
        <v/>
      </c>
      <c r="AO485" s="33">
        <f>IF(OR(A485="",T485=""),"",T485-TODAY())</f>
        <v/>
      </c>
      <c r="AP485" s="33">
        <f>IF(OR(A485="",V485&lt;&gt;""),"",(TODAY()-B485)+ROW()/1000000)</f>
        <v/>
      </c>
    </row>
    <row r="486" ht="27" customHeight="1">
      <c r="A486" s="30" t="n"/>
      <c r="B486" s="31" t="n"/>
      <c r="C486" s="32" t="n"/>
      <c r="D486" s="32" t="n"/>
      <c r="E486" s="32" t="n"/>
      <c r="F486" s="32" t="n"/>
      <c r="G486" s="33">
        <f>IF(A486="","",IFERROR(INDEX(OffCat,MATCH(F486,OffList,0)),"Unlisted"))</f>
        <v/>
      </c>
      <c r="H486" s="30" t="n"/>
      <c r="I486" s="31" t="n"/>
      <c r="J486" s="34" t="n"/>
      <c r="K486" s="34" t="n"/>
      <c r="L486" s="34" t="n"/>
      <c r="M486" s="30" t="n"/>
      <c r="N486" s="30" t="n"/>
      <c r="O486" s="30" t="n"/>
      <c r="P486" s="30" t="n"/>
      <c r="Q486" s="31" t="n"/>
      <c r="R486" s="31" t="n"/>
      <c r="S486" s="31" t="n"/>
      <c r="T486" s="31" t="n"/>
      <c r="U486" s="31" t="n"/>
      <c r="V486" s="31" t="n"/>
      <c r="W486" s="30" t="n"/>
      <c r="X486" s="31" t="n"/>
      <c r="Y486" s="35" t="n"/>
      <c r="Z486" s="35" t="n"/>
      <c r="AA486" s="35" t="n"/>
      <c r="AB486" s="35" t="n"/>
      <c r="AC486" s="35" t="n"/>
      <c r="AD486" s="35" t="n"/>
      <c r="AE486" s="35" t="n"/>
      <c r="AF486" s="35" t="n"/>
      <c r="AG486" s="36">
        <f>IF(A486="","",IF(V486&lt;&gt;"",V486-B486,TODAY()-B486))</f>
        <v/>
      </c>
      <c r="AH486" s="36">
        <f>IF(OR(A486="",I486=""),"",MAX(0,IF(V486&lt;&gt;"",V486-I486,TODAY()-I486)))</f>
        <v/>
      </c>
      <c r="AI486" s="37">
        <f>IF(A486="","",IF(OR(K486="Closed",V486&lt;&gt;""),"Closed",IF(AH486&gt;=AgeCrit,"Critical",IF(AH486&gt;=AgeFu,"For Follow-up",IF(AH486&gt;=AgeMonitor,"Monitor","Within Standard")))))</f>
        <v/>
      </c>
      <c r="AJ486" s="38">
        <f>IF(A486="","",IFERROR(INDEX(StgPct,MATCH(H486,StgList,0)),0))</f>
        <v/>
      </c>
      <c r="AK486" s="38">
        <f>IF(A486="","",IFERROR(COUNTIF(Y486:AF486,"Y")/(COUNTIF(Y486:AF486,"Y")+COUNTIF(Y486:AF486,"N")),0))</f>
        <v/>
      </c>
      <c r="AL486" s="36">
        <f>IF(OR(A486="",X486=""),"",MAX(0,IF(V486&lt;&gt;"",V486,TODAY())-X486))</f>
        <v/>
      </c>
      <c r="AM486" s="32" t="n"/>
      <c r="AN486" s="33">
        <f>IF(A486="","",LOWER(AI486)&amp;"|"&amp;AH486&amp;"|"&amp;AJ486&amp;"|"&amp;AK486)</f>
        <v/>
      </c>
      <c r="AO486" s="33">
        <f>IF(OR(A486="",T486=""),"",T486-TODAY())</f>
        <v/>
      </c>
      <c r="AP486" s="33">
        <f>IF(OR(A486="",V486&lt;&gt;""),"",(TODAY()-B486)+ROW()/1000000)</f>
        <v/>
      </c>
    </row>
    <row r="487" ht="27" customHeight="1">
      <c r="A487" s="30" t="n"/>
      <c r="B487" s="31" t="n"/>
      <c r="C487" s="32" t="n"/>
      <c r="D487" s="32" t="n"/>
      <c r="E487" s="32" t="n"/>
      <c r="F487" s="32" t="n"/>
      <c r="G487" s="33">
        <f>IF(A487="","",IFERROR(INDEX(OffCat,MATCH(F487,OffList,0)),"Unlisted"))</f>
        <v/>
      </c>
      <c r="H487" s="30" t="n"/>
      <c r="I487" s="31" t="n"/>
      <c r="J487" s="34" t="n"/>
      <c r="K487" s="34" t="n"/>
      <c r="L487" s="34" t="n"/>
      <c r="M487" s="30" t="n"/>
      <c r="N487" s="30" t="n"/>
      <c r="O487" s="30" t="n"/>
      <c r="P487" s="30" t="n"/>
      <c r="Q487" s="31" t="n"/>
      <c r="R487" s="31" t="n"/>
      <c r="S487" s="31" t="n"/>
      <c r="T487" s="31" t="n"/>
      <c r="U487" s="31" t="n"/>
      <c r="V487" s="31" t="n"/>
      <c r="W487" s="30" t="n"/>
      <c r="X487" s="31" t="n"/>
      <c r="Y487" s="35" t="n"/>
      <c r="Z487" s="35" t="n"/>
      <c r="AA487" s="35" t="n"/>
      <c r="AB487" s="35" t="n"/>
      <c r="AC487" s="35" t="n"/>
      <c r="AD487" s="35" t="n"/>
      <c r="AE487" s="35" t="n"/>
      <c r="AF487" s="35" t="n"/>
      <c r="AG487" s="36">
        <f>IF(A487="","",IF(V487&lt;&gt;"",V487-B487,TODAY()-B487))</f>
        <v/>
      </c>
      <c r="AH487" s="36">
        <f>IF(OR(A487="",I487=""),"",MAX(0,IF(V487&lt;&gt;"",V487-I487,TODAY()-I487)))</f>
        <v/>
      </c>
      <c r="AI487" s="37">
        <f>IF(A487="","",IF(OR(K487="Closed",V487&lt;&gt;""),"Closed",IF(AH487&gt;=AgeCrit,"Critical",IF(AH487&gt;=AgeFu,"For Follow-up",IF(AH487&gt;=AgeMonitor,"Monitor","Within Standard")))))</f>
        <v/>
      </c>
      <c r="AJ487" s="38">
        <f>IF(A487="","",IFERROR(INDEX(StgPct,MATCH(H487,StgList,0)),0))</f>
        <v/>
      </c>
      <c r="AK487" s="38">
        <f>IF(A487="","",IFERROR(COUNTIF(Y487:AF487,"Y")/(COUNTIF(Y487:AF487,"Y")+COUNTIF(Y487:AF487,"N")),0))</f>
        <v/>
      </c>
      <c r="AL487" s="36">
        <f>IF(OR(A487="",X487=""),"",MAX(0,IF(V487&lt;&gt;"",V487,TODAY())-X487))</f>
        <v/>
      </c>
      <c r="AM487" s="32" t="n"/>
      <c r="AN487" s="33">
        <f>IF(A487="","",LOWER(AI487)&amp;"|"&amp;AH487&amp;"|"&amp;AJ487&amp;"|"&amp;AK487)</f>
        <v/>
      </c>
      <c r="AO487" s="33">
        <f>IF(OR(A487="",T487=""),"",T487-TODAY())</f>
        <v/>
      </c>
      <c r="AP487" s="33">
        <f>IF(OR(A487="",V487&lt;&gt;""),"",(TODAY()-B487)+ROW()/1000000)</f>
        <v/>
      </c>
    </row>
    <row r="488" ht="27" customHeight="1">
      <c r="A488" s="30" t="n"/>
      <c r="B488" s="31" t="n"/>
      <c r="C488" s="32" t="n"/>
      <c r="D488" s="32" t="n"/>
      <c r="E488" s="32" t="n"/>
      <c r="F488" s="32" t="n"/>
      <c r="G488" s="33">
        <f>IF(A488="","",IFERROR(INDEX(OffCat,MATCH(F488,OffList,0)),"Unlisted"))</f>
        <v/>
      </c>
      <c r="H488" s="30" t="n"/>
      <c r="I488" s="31" t="n"/>
      <c r="J488" s="34" t="n"/>
      <c r="K488" s="34" t="n"/>
      <c r="L488" s="34" t="n"/>
      <c r="M488" s="30" t="n"/>
      <c r="N488" s="30" t="n"/>
      <c r="O488" s="30" t="n"/>
      <c r="P488" s="30" t="n"/>
      <c r="Q488" s="31" t="n"/>
      <c r="R488" s="31" t="n"/>
      <c r="S488" s="31" t="n"/>
      <c r="T488" s="31" t="n"/>
      <c r="U488" s="31" t="n"/>
      <c r="V488" s="31" t="n"/>
      <c r="W488" s="30" t="n"/>
      <c r="X488" s="31" t="n"/>
      <c r="Y488" s="35" t="n"/>
      <c r="Z488" s="35" t="n"/>
      <c r="AA488" s="35" t="n"/>
      <c r="AB488" s="35" t="n"/>
      <c r="AC488" s="35" t="n"/>
      <c r="AD488" s="35" t="n"/>
      <c r="AE488" s="35" t="n"/>
      <c r="AF488" s="35" t="n"/>
      <c r="AG488" s="36">
        <f>IF(A488="","",IF(V488&lt;&gt;"",V488-B488,TODAY()-B488))</f>
        <v/>
      </c>
      <c r="AH488" s="36">
        <f>IF(OR(A488="",I488=""),"",MAX(0,IF(V488&lt;&gt;"",V488-I488,TODAY()-I488)))</f>
        <v/>
      </c>
      <c r="AI488" s="37">
        <f>IF(A488="","",IF(OR(K488="Closed",V488&lt;&gt;""),"Closed",IF(AH488&gt;=AgeCrit,"Critical",IF(AH488&gt;=AgeFu,"For Follow-up",IF(AH488&gt;=AgeMonitor,"Monitor","Within Standard")))))</f>
        <v/>
      </c>
      <c r="AJ488" s="38">
        <f>IF(A488="","",IFERROR(INDEX(StgPct,MATCH(H488,StgList,0)),0))</f>
        <v/>
      </c>
      <c r="AK488" s="38">
        <f>IF(A488="","",IFERROR(COUNTIF(Y488:AF488,"Y")/(COUNTIF(Y488:AF488,"Y")+COUNTIF(Y488:AF488,"N")),0))</f>
        <v/>
      </c>
      <c r="AL488" s="36">
        <f>IF(OR(A488="",X488=""),"",MAX(0,IF(V488&lt;&gt;"",V488,TODAY())-X488))</f>
        <v/>
      </c>
      <c r="AM488" s="32" t="n"/>
      <c r="AN488" s="33">
        <f>IF(A488="","",LOWER(AI488)&amp;"|"&amp;AH488&amp;"|"&amp;AJ488&amp;"|"&amp;AK488)</f>
        <v/>
      </c>
      <c r="AO488" s="33">
        <f>IF(OR(A488="",T488=""),"",T488-TODAY())</f>
        <v/>
      </c>
      <c r="AP488" s="33">
        <f>IF(OR(A488="",V488&lt;&gt;""),"",(TODAY()-B488)+ROW()/1000000)</f>
        <v/>
      </c>
    </row>
    <row r="489" ht="27" customHeight="1">
      <c r="A489" s="30" t="n"/>
      <c r="B489" s="31" t="n"/>
      <c r="C489" s="32" t="n"/>
      <c r="D489" s="32" t="n"/>
      <c r="E489" s="32" t="n"/>
      <c r="F489" s="32" t="n"/>
      <c r="G489" s="33">
        <f>IF(A489="","",IFERROR(INDEX(OffCat,MATCH(F489,OffList,0)),"Unlisted"))</f>
        <v/>
      </c>
      <c r="H489" s="30" t="n"/>
      <c r="I489" s="31" t="n"/>
      <c r="J489" s="34" t="n"/>
      <c r="K489" s="34" t="n"/>
      <c r="L489" s="34" t="n"/>
      <c r="M489" s="30" t="n"/>
      <c r="N489" s="30" t="n"/>
      <c r="O489" s="30" t="n"/>
      <c r="P489" s="30" t="n"/>
      <c r="Q489" s="31" t="n"/>
      <c r="R489" s="31" t="n"/>
      <c r="S489" s="31" t="n"/>
      <c r="T489" s="31" t="n"/>
      <c r="U489" s="31" t="n"/>
      <c r="V489" s="31" t="n"/>
      <c r="W489" s="30" t="n"/>
      <c r="X489" s="31" t="n"/>
      <c r="Y489" s="35" t="n"/>
      <c r="Z489" s="35" t="n"/>
      <c r="AA489" s="35" t="n"/>
      <c r="AB489" s="35" t="n"/>
      <c r="AC489" s="35" t="n"/>
      <c r="AD489" s="35" t="n"/>
      <c r="AE489" s="35" t="n"/>
      <c r="AF489" s="35" t="n"/>
      <c r="AG489" s="36">
        <f>IF(A489="","",IF(V489&lt;&gt;"",V489-B489,TODAY()-B489))</f>
        <v/>
      </c>
      <c r="AH489" s="36">
        <f>IF(OR(A489="",I489=""),"",MAX(0,IF(V489&lt;&gt;"",V489-I489,TODAY()-I489)))</f>
        <v/>
      </c>
      <c r="AI489" s="37">
        <f>IF(A489="","",IF(OR(K489="Closed",V489&lt;&gt;""),"Closed",IF(AH489&gt;=AgeCrit,"Critical",IF(AH489&gt;=AgeFu,"For Follow-up",IF(AH489&gt;=AgeMonitor,"Monitor","Within Standard")))))</f>
        <v/>
      </c>
      <c r="AJ489" s="38">
        <f>IF(A489="","",IFERROR(INDEX(StgPct,MATCH(H489,StgList,0)),0))</f>
        <v/>
      </c>
      <c r="AK489" s="38">
        <f>IF(A489="","",IFERROR(COUNTIF(Y489:AF489,"Y")/(COUNTIF(Y489:AF489,"Y")+COUNTIF(Y489:AF489,"N")),0))</f>
        <v/>
      </c>
      <c r="AL489" s="36">
        <f>IF(OR(A489="",X489=""),"",MAX(0,IF(V489&lt;&gt;"",V489,TODAY())-X489))</f>
        <v/>
      </c>
      <c r="AM489" s="32" t="n"/>
      <c r="AN489" s="33">
        <f>IF(A489="","",LOWER(AI489)&amp;"|"&amp;AH489&amp;"|"&amp;AJ489&amp;"|"&amp;AK489)</f>
        <v/>
      </c>
      <c r="AO489" s="33">
        <f>IF(OR(A489="",T489=""),"",T489-TODAY())</f>
        <v/>
      </c>
      <c r="AP489" s="33">
        <f>IF(OR(A489="",V489&lt;&gt;""),"",(TODAY()-B489)+ROW()/1000000)</f>
        <v/>
      </c>
    </row>
    <row r="490" ht="27" customHeight="1">
      <c r="A490" s="30" t="n"/>
      <c r="B490" s="31" t="n"/>
      <c r="C490" s="32" t="n"/>
      <c r="D490" s="32" t="n"/>
      <c r="E490" s="32" t="n"/>
      <c r="F490" s="32" t="n"/>
      <c r="G490" s="33">
        <f>IF(A490="","",IFERROR(INDEX(OffCat,MATCH(F490,OffList,0)),"Unlisted"))</f>
        <v/>
      </c>
      <c r="H490" s="30" t="n"/>
      <c r="I490" s="31" t="n"/>
      <c r="J490" s="34" t="n"/>
      <c r="K490" s="34" t="n"/>
      <c r="L490" s="34" t="n"/>
      <c r="M490" s="30" t="n"/>
      <c r="N490" s="30" t="n"/>
      <c r="O490" s="30" t="n"/>
      <c r="P490" s="30" t="n"/>
      <c r="Q490" s="31" t="n"/>
      <c r="R490" s="31" t="n"/>
      <c r="S490" s="31" t="n"/>
      <c r="T490" s="31" t="n"/>
      <c r="U490" s="31" t="n"/>
      <c r="V490" s="31" t="n"/>
      <c r="W490" s="30" t="n"/>
      <c r="X490" s="31" t="n"/>
      <c r="Y490" s="35" t="n"/>
      <c r="Z490" s="35" t="n"/>
      <c r="AA490" s="35" t="n"/>
      <c r="AB490" s="35" t="n"/>
      <c r="AC490" s="35" t="n"/>
      <c r="AD490" s="35" t="n"/>
      <c r="AE490" s="35" t="n"/>
      <c r="AF490" s="35" t="n"/>
      <c r="AG490" s="36">
        <f>IF(A490="","",IF(V490&lt;&gt;"",V490-B490,TODAY()-B490))</f>
        <v/>
      </c>
      <c r="AH490" s="36">
        <f>IF(OR(A490="",I490=""),"",MAX(0,IF(V490&lt;&gt;"",V490-I490,TODAY()-I490)))</f>
        <v/>
      </c>
      <c r="AI490" s="37">
        <f>IF(A490="","",IF(OR(K490="Closed",V490&lt;&gt;""),"Closed",IF(AH490&gt;=AgeCrit,"Critical",IF(AH490&gt;=AgeFu,"For Follow-up",IF(AH490&gt;=AgeMonitor,"Monitor","Within Standard")))))</f>
        <v/>
      </c>
      <c r="AJ490" s="38">
        <f>IF(A490="","",IFERROR(INDEX(StgPct,MATCH(H490,StgList,0)),0))</f>
        <v/>
      </c>
      <c r="AK490" s="38">
        <f>IF(A490="","",IFERROR(COUNTIF(Y490:AF490,"Y")/(COUNTIF(Y490:AF490,"Y")+COUNTIF(Y490:AF490,"N")),0))</f>
        <v/>
      </c>
      <c r="AL490" s="36">
        <f>IF(OR(A490="",X490=""),"",MAX(0,IF(V490&lt;&gt;"",V490,TODAY())-X490))</f>
        <v/>
      </c>
      <c r="AM490" s="32" t="n"/>
      <c r="AN490" s="33">
        <f>IF(A490="","",LOWER(AI490)&amp;"|"&amp;AH490&amp;"|"&amp;AJ490&amp;"|"&amp;AK490)</f>
        <v/>
      </c>
      <c r="AO490" s="33">
        <f>IF(OR(A490="",T490=""),"",T490-TODAY())</f>
        <v/>
      </c>
      <c r="AP490" s="33">
        <f>IF(OR(A490="",V490&lt;&gt;""),"",(TODAY()-B490)+ROW()/1000000)</f>
        <v/>
      </c>
    </row>
    <row r="491" ht="27" customHeight="1">
      <c r="A491" s="30" t="n"/>
      <c r="B491" s="31" t="n"/>
      <c r="C491" s="32" t="n"/>
      <c r="D491" s="32" t="n"/>
      <c r="E491" s="32" t="n"/>
      <c r="F491" s="32" t="n"/>
      <c r="G491" s="33">
        <f>IF(A491="","",IFERROR(INDEX(OffCat,MATCH(F491,OffList,0)),"Unlisted"))</f>
        <v/>
      </c>
      <c r="H491" s="30" t="n"/>
      <c r="I491" s="31" t="n"/>
      <c r="J491" s="34" t="n"/>
      <c r="K491" s="34" t="n"/>
      <c r="L491" s="34" t="n"/>
      <c r="M491" s="30" t="n"/>
      <c r="N491" s="30" t="n"/>
      <c r="O491" s="30" t="n"/>
      <c r="P491" s="30" t="n"/>
      <c r="Q491" s="31" t="n"/>
      <c r="R491" s="31" t="n"/>
      <c r="S491" s="31" t="n"/>
      <c r="T491" s="31" t="n"/>
      <c r="U491" s="31" t="n"/>
      <c r="V491" s="31" t="n"/>
      <c r="W491" s="30" t="n"/>
      <c r="X491" s="31" t="n"/>
      <c r="Y491" s="35" t="n"/>
      <c r="Z491" s="35" t="n"/>
      <c r="AA491" s="35" t="n"/>
      <c r="AB491" s="35" t="n"/>
      <c r="AC491" s="35" t="n"/>
      <c r="AD491" s="35" t="n"/>
      <c r="AE491" s="35" t="n"/>
      <c r="AF491" s="35" t="n"/>
      <c r="AG491" s="36">
        <f>IF(A491="","",IF(V491&lt;&gt;"",V491-B491,TODAY()-B491))</f>
        <v/>
      </c>
      <c r="AH491" s="36">
        <f>IF(OR(A491="",I491=""),"",MAX(0,IF(V491&lt;&gt;"",V491-I491,TODAY()-I491)))</f>
        <v/>
      </c>
      <c r="AI491" s="37">
        <f>IF(A491="","",IF(OR(K491="Closed",V491&lt;&gt;""),"Closed",IF(AH491&gt;=AgeCrit,"Critical",IF(AH491&gt;=AgeFu,"For Follow-up",IF(AH491&gt;=AgeMonitor,"Monitor","Within Standard")))))</f>
        <v/>
      </c>
      <c r="AJ491" s="38">
        <f>IF(A491="","",IFERROR(INDEX(StgPct,MATCH(H491,StgList,0)),0))</f>
        <v/>
      </c>
      <c r="AK491" s="38">
        <f>IF(A491="","",IFERROR(COUNTIF(Y491:AF491,"Y")/(COUNTIF(Y491:AF491,"Y")+COUNTIF(Y491:AF491,"N")),0))</f>
        <v/>
      </c>
      <c r="AL491" s="36">
        <f>IF(OR(A491="",X491=""),"",MAX(0,IF(V491&lt;&gt;"",V491,TODAY())-X491))</f>
        <v/>
      </c>
      <c r="AM491" s="32" t="n"/>
      <c r="AN491" s="33">
        <f>IF(A491="","",LOWER(AI491)&amp;"|"&amp;AH491&amp;"|"&amp;AJ491&amp;"|"&amp;AK491)</f>
        <v/>
      </c>
      <c r="AO491" s="33">
        <f>IF(OR(A491="",T491=""),"",T491-TODAY())</f>
        <v/>
      </c>
      <c r="AP491" s="33">
        <f>IF(OR(A491="",V491&lt;&gt;""),"",(TODAY()-B491)+ROW()/1000000)</f>
        <v/>
      </c>
    </row>
    <row r="492" ht="27" customHeight="1">
      <c r="A492" s="30" t="n"/>
      <c r="B492" s="31" t="n"/>
      <c r="C492" s="32" t="n"/>
      <c r="D492" s="32" t="n"/>
      <c r="E492" s="32" t="n"/>
      <c r="F492" s="32" t="n"/>
      <c r="G492" s="33">
        <f>IF(A492="","",IFERROR(INDEX(OffCat,MATCH(F492,OffList,0)),"Unlisted"))</f>
        <v/>
      </c>
      <c r="H492" s="30" t="n"/>
      <c r="I492" s="31" t="n"/>
      <c r="J492" s="34" t="n"/>
      <c r="K492" s="34" t="n"/>
      <c r="L492" s="34" t="n"/>
      <c r="M492" s="30" t="n"/>
      <c r="N492" s="30" t="n"/>
      <c r="O492" s="30" t="n"/>
      <c r="P492" s="30" t="n"/>
      <c r="Q492" s="31" t="n"/>
      <c r="R492" s="31" t="n"/>
      <c r="S492" s="31" t="n"/>
      <c r="T492" s="31" t="n"/>
      <c r="U492" s="31" t="n"/>
      <c r="V492" s="31" t="n"/>
      <c r="W492" s="30" t="n"/>
      <c r="X492" s="31" t="n"/>
      <c r="Y492" s="35" t="n"/>
      <c r="Z492" s="35" t="n"/>
      <c r="AA492" s="35" t="n"/>
      <c r="AB492" s="35" t="n"/>
      <c r="AC492" s="35" t="n"/>
      <c r="AD492" s="35" t="n"/>
      <c r="AE492" s="35" t="n"/>
      <c r="AF492" s="35" t="n"/>
      <c r="AG492" s="36">
        <f>IF(A492="","",IF(V492&lt;&gt;"",V492-B492,TODAY()-B492))</f>
        <v/>
      </c>
      <c r="AH492" s="36">
        <f>IF(OR(A492="",I492=""),"",MAX(0,IF(V492&lt;&gt;"",V492-I492,TODAY()-I492)))</f>
        <v/>
      </c>
      <c r="AI492" s="37">
        <f>IF(A492="","",IF(OR(K492="Closed",V492&lt;&gt;""),"Closed",IF(AH492&gt;=AgeCrit,"Critical",IF(AH492&gt;=AgeFu,"For Follow-up",IF(AH492&gt;=AgeMonitor,"Monitor","Within Standard")))))</f>
        <v/>
      </c>
      <c r="AJ492" s="38">
        <f>IF(A492="","",IFERROR(INDEX(StgPct,MATCH(H492,StgList,0)),0))</f>
        <v/>
      </c>
      <c r="AK492" s="38">
        <f>IF(A492="","",IFERROR(COUNTIF(Y492:AF492,"Y")/(COUNTIF(Y492:AF492,"Y")+COUNTIF(Y492:AF492,"N")),0))</f>
        <v/>
      </c>
      <c r="AL492" s="36">
        <f>IF(OR(A492="",X492=""),"",MAX(0,IF(V492&lt;&gt;"",V492,TODAY())-X492))</f>
        <v/>
      </c>
      <c r="AM492" s="32" t="n"/>
      <c r="AN492" s="33">
        <f>IF(A492="","",LOWER(AI492)&amp;"|"&amp;AH492&amp;"|"&amp;AJ492&amp;"|"&amp;AK492)</f>
        <v/>
      </c>
      <c r="AO492" s="33">
        <f>IF(OR(A492="",T492=""),"",T492-TODAY())</f>
        <v/>
      </c>
      <c r="AP492" s="33">
        <f>IF(OR(A492="",V492&lt;&gt;""),"",(TODAY()-B492)+ROW()/1000000)</f>
        <v/>
      </c>
    </row>
    <row r="493" ht="27" customHeight="1">
      <c r="A493" s="30" t="n"/>
      <c r="B493" s="31" t="n"/>
      <c r="C493" s="32" t="n"/>
      <c r="D493" s="32" t="n"/>
      <c r="E493" s="32" t="n"/>
      <c r="F493" s="32" t="n"/>
      <c r="G493" s="33">
        <f>IF(A493="","",IFERROR(INDEX(OffCat,MATCH(F493,OffList,0)),"Unlisted"))</f>
        <v/>
      </c>
      <c r="H493" s="30" t="n"/>
      <c r="I493" s="31" t="n"/>
      <c r="J493" s="34" t="n"/>
      <c r="K493" s="34" t="n"/>
      <c r="L493" s="34" t="n"/>
      <c r="M493" s="30" t="n"/>
      <c r="N493" s="30" t="n"/>
      <c r="O493" s="30" t="n"/>
      <c r="P493" s="30" t="n"/>
      <c r="Q493" s="31" t="n"/>
      <c r="R493" s="31" t="n"/>
      <c r="S493" s="31" t="n"/>
      <c r="T493" s="31" t="n"/>
      <c r="U493" s="31" t="n"/>
      <c r="V493" s="31" t="n"/>
      <c r="W493" s="30" t="n"/>
      <c r="X493" s="31" t="n"/>
      <c r="Y493" s="35" t="n"/>
      <c r="Z493" s="35" t="n"/>
      <c r="AA493" s="35" t="n"/>
      <c r="AB493" s="35" t="n"/>
      <c r="AC493" s="35" t="n"/>
      <c r="AD493" s="35" t="n"/>
      <c r="AE493" s="35" t="n"/>
      <c r="AF493" s="35" t="n"/>
      <c r="AG493" s="36">
        <f>IF(A493="","",IF(V493&lt;&gt;"",V493-B493,TODAY()-B493))</f>
        <v/>
      </c>
      <c r="AH493" s="36">
        <f>IF(OR(A493="",I493=""),"",MAX(0,IF(V493&lt;&gt;"",V493-I493,TODAY()-I493)))</f>
        <v/>
      </c>
      <c r="AI493" s="37">
        <f>IF(A493="","",IF(OR(K493="Closed",V493&lt;&gt;""),"Closed",IF(AH493&gt;=AgeCrit,"Critical",IF(AH493&gt;=AgeFu,"For Follow-up",IF(AH493&gt;=AgeMonitor,"Monitor","Within Standard")))))</f>
        <v/>
      </c>
      <c r="AJ493" s="38">
        <f>IF(A493="","",IFERROR(INDEX(StgPct,MATCH(H493,StgList,0)),0))</f>
        <v/>
      </c>
      <c r="AK493" s="38">
        <f>IF(A493="","",IFERROR(COUNTIF(Y493:AF493,"Y")/(COUNTIF(Y493:AF493,"Y")+COUNTIF(Y493:AF493,"N")),0))</f>
        <v/>
      </c>
      <c r="AL493" s="36">
        <f>IF(OR(A493="",X493=""),"",MAX(0,IF(V493&lt;&gt;"",V493,TODAY())-X493))</f>
        <v/>
      </c>
      <c r="AM493" s="32" t="n"/>
      <c r="AN493" s="33">
        <f>IF(A493="","",LOWER(AI493)&amp;"|"&amp;AH493&amp;"|"&amp;AJ493&amp;"|"&amp;AK493)</f>
        <v/>
      </c>
      <c r="AO493" s="33">
        <f>IF(OR(A493="",T493=""),"",T493-TODAY())</f>
        <v/>
      </c>
      <c r="AP493" s="33">
        <f>IF(OR(A493="",V493&lt;&gt;""),"",(TODAY()-B493)+ROW()/1000000)</f>
        <v/>
      </c>
    </row>
    <row r="494" ht="27" customHeight="1">
      <c r="A494" s="30" t="n"/>
      <c r="B494" s="31" t="n"/>
      <c r="C494" s="32" t="n"/>
      <c r="D494" s="32" t="n"/>
      <c r="E494" s="32" t="n"/>
      <c r="F494" s="32" t="n"/>
      <c r="G494" s="33">
        <f>IF(A494="","",IFERROR(INDEX(OffCat,MATCH(F494,OffList,0)),"Unlisted"))</f>
        <v/>
      </c>
      <c r="H494" s="30" t="n"/>
      <c r="I494" s="31" t="n"/>
      <c r="J494" s="34" t="n"/>
      <c r="K494" s="34" t="n"/>
      <c r="L494" s="34" t="n"/>
      <c r="M494" s="30" t="n"/>
      <c r="N494" s="30" t="n"/>
      <c r="O494" s="30" t="n"/>
      <c r="P494" s="30" t="n"/>
      <c r="Q494" s="31" t="n"/>
      <c r="R494" s="31" t="n"/>
      <c r="S494" s="31" t="n"/>
      <c r="T494" s="31" t="n"/>
      <c r="U494" s="31" t="n"/>
      <c r="V494" s="31" t="n"/>
      <c r="W494" s="30" t="n"/>
      <c r="X494" s="31" t="n"/>
      <c r="Y494" s="35" t="n"/>
      <c r="Z494" s="35" t="n"/>
      <c r="AA494" s="35" t="n"/>
      <c r="AB494" s="35" t="n"/>
      <c r="AC494" s="35" t="n"/>
      <c r="AD494" s="35" t="n"/>
      <c r="AE494" s="35" t="n"/>
      <c r="AF494" s="35" t="n"/>
      <c r="AG494" s="36">
        <f>IF(A494="","",IF(V494&lt;&gt;"",V494-B494,TODAY()-B494))</f>
        <v/>
      </c>
      <c r="AH494" s="36">
        <f>IF(OR(A494="",I494=""),"",MAX(0,IF(V494&lt;&gt;"",V494-I494,TODAY()-I494)))</f>
        <v/>
      </c>
      <c r="AI494" s="37">
        <f>IF(A494="","",IF(OR(K494="Closed",V494&lt;&gt;""),"Closed",IF(AH494&gt;=AgeCrit,"Critical",IF(AH494&gt;=AgeFu,"For Follow-up",IF(AH494&gt;=AgeMonitor,"Monitor","Within Standard")))))</f>
        <v/>
      </c>
      <c r="AJ494" s="38">
        <f>IF(A494="","",IFERROR(INDEX(StgPct,MATCH(H494,StgList,0)),0))</f>
        <v/>
      </c>
      <c r="AK494" s="38">
        <f>IF(A494="","",IFERROR(COUNTIF(Y494:AF494,"Y")/(COUNTIF(Y494:AF494,"Y")+COUNTIF(Y494:AF494,"N")),0))</f>
        <v/>
      </c>
      <c r="AL494" s="36">
        <f>IF(OR(A494="",X494=""),"",MAX(0,IF(V494&lt;&gt;"",V494,TODAY())-X494))</f>
        <v/>
      </c>
      <c r="AM494" s="32" t="n"/>
      <c r="AN494" s="33">
        <f>IF(A494="","",LOWER(AI494)&amp;"|"&amp;AH494&amp;"|"&amp;AJ494&amp;"|"&amp;AK494)</f>
        <v/>
      </c>
      <c r="AO494" s="33">
        <f>IF(OR(A494="",T494=""),"",T494-TODAY())</f>
        <v/>
      </c>
      <c r="AP494" s="33">
        <f>IF(OR(A494="",V494&lt;&gt;""),"",(TODAY()-B494)+ROW()/1000000)</f>
        <v/>
      </c>
    </row>
    <row r="495" ht="27" customHeight="1">
      <c r="A495" s="30" t="n"/>
      <c r="B495" s="31" t="n"/>
      <c r="C495" s="32" t="n"/>
      <c r="D495" s="32" t="n"/>
      <c r="E495" s="32" t="n"/>
      <c r="F495" s="32" t="n"/>
      <c r="G495" s="33">
        <f>IF(A495="","",IFERROR(INDEX(OffCat,MATCH(F495,OffList,0)),"Unlisted"))</f>
        <v/>
      </c>
      <c r="H495" s="30" t="n"/>
      <c r="I495" s="31" t="n"/>
      <c r="J495" s="34" t="n"/>
      <c r="K495" s="34" t="n"/>
      <c r="L495" s="34" t="n"/>
      <c r="M495" s="30" t="n"/>
      <c r="N495" s="30" t="n"/>
      <c r="O495" s="30" t="n"/>
      <c r="P495" s="30" t="n"/>
      <c r="Q495" s="31" t="n"/>
      <c r="R495" s="31" t="n"/>
      <c r="S495" s="31" t="n"/>
      <c r="T495" s="31" t="n"/>
      <c r="U495" s="31" t="n"/>
      <c r="V495" s="31" t="n"/>
      <c r="W495" s="30" t="n"/>
      <c r="X495" s="31" t="n"/>
      <c r="Y495" s="35" t="n"/>
      <c r="Z495" s="35" t="n"/>
      <c r="AA495" s="35" t="n"/>
      <c r="AB495" s="35" t="n"/>
      <c r="AC495" s="35" t="n"/>
      <c r="AD495" s="35" t="n"/>
      <c r="AE495" s="35" t="n"/>
      <c r="AF495" s="35" t="n"/>
      <c r="AG495" s="36">
        <f>IF(A495="","",IF(V495&lt;&gt;"",V495-B495,TODAY()-B495))</f>
        <v/>
      </c>
      <c r="AH495" s="36">
        <f>IF(OR(A495="",I495=""),"",MAX(0,IF(V495&lt;&gt;"",V495-I495,TODAY()-I495)))</f>
        <v/>
      </c>
      <c r="AI495" s="37">
        <f>IF(A495="","",IF(OR(K495="Closed",V495&lt;&gt;""),"Closed",IF(AH495&gt;=AgeCrit,"Critical",IF(AH495&gt;=AgeFu,"For Follow-up",IF(AH495&gt;=AgeMonitor,"Monitor","Within Standard")))))</f>
        <v/>
      </c>
      <c r="AJ495" s="38">
        <f>IF(A495="","",IFERROR(INDEX(StgPct,MATCH(H495,StgList,0)),0))</f>
        <v/>
      </c>
      <c r="AK495" s="38">
        <f>IF(A495="","",IFERROR(COUNTIF(Y495:AF495,"Y")/(COUNTIF(Y495:AF495,"Y")+COUNTIF(Y495:AF495,"N")),0))</f>
        <v/>
      </c>
      <c r="AL495" s="36">
        <f>IF(OR(A495="",X495=""),"",MAX(0,IF(V495&lt;&gt;"",V495,TODAY())-X495))</f>
        <v/>
      </c>
      <c r="AM495" s="32" t="n"/>
      <c r="AN495" s="33">
        <f>IF(A495="","",LOWER(AI495)&amp;"|"&amp;AH495&amp;"|"&amp;AJ495&amp;"|"&amp;AK495)</f>
        <v/>
      </c>
      <c r="AO495" s="33">
        <f>IF(OR(A495="",T495=""),"",T495-TODAY())</f>
        <v/>
      </c>
      <c r="AP495" s="33">
        <f>IF(OR(A495="",V495&lt;&gt;""),"",(TODAY()-B495)+ROW()/1000000)</f>
        <v/>
      </c>
    </row>
    <row r="496" ht="27" customHeight="1">
      <c r="A496" s="30" t="n"/>
      <c r="B496" s="31" t="n"/>
      <c r="C496" s="32" t="n"/>
      <c r="D496" s="32" t="n"/>
      <c r="E496" s="32" t="n"/>
      <c r="F496" s="32" t="n"/>
      <c r="G496" s="33">
        <f>IF(A496="","",IFERROR(INDEX(OffCat,MATCH(F496,OffList,0)),"Unlisted"))</f>
        <v/>
      </c>
      <c r="H496" s="30" t="n"/>
      <c r="I496" s="31" t="n"/>
      <c r="J496" s="34" t="n"/>
      <c r="K496" s="34" t="n"/>
      <c r="L496" s="34" t="n"/>
      <c r="M496" s="30" t="n"/>
      <c r="N496" s="30" t="n"/>
      <c r="O496" s="30" t="n"/>
      <c r="P496" s="30" t="n"/>
      <c r="Q496" s="31" t="n"/>
      <c r="R496" s="31" t="n"/>
      <c r="S496" s="31" t="n"/>
      <c r="T496" s="31" t="n"/>
      <c r="U496" s="31" t="n"/>
      <c r="V496" s="31" t="n"/>
      <c r="W496" s="30" t="n"/>
      <c r="X496" s="31" t="n"/>
      <c r="Y496" s="35" t="n"/>
      <c r="Z496" s="35" t="n"/>
      <c r="AA496" s="35" t="n"/>
      <c r="AB496" s="35" t="n"/>
      <c r="AC496" s="35" t="n"/>
      <c r="AD496" s="35" t="n"/>
      <c r="AE496" s="35" t="n"/>
      <c r="AF496" s="35" t="n"/>
      <c r="AG496" s="36">
        <f>IF(A496="","",IF(V496&lt;&gt;"",V496-B496,TODAY()-B496))</f>
        <v/>
      </c>
      <c r="AH496" s="36">
        <f>IF(OR(A496="",I496=""),"",MAX(0,IF(V496&lt;&gt;"",V496-I496,TODAY()-I496)))</f>
        <v/>
      </c>
      <c r="AI496" s="37">
        <f>IF(A496="","",IF(OR(K496="Closed",V496&lt;&gt;""),"Closed",IF(AH496&gt;=AgeCrit,"Critical",IF(AH496&gt;=AgeFu,"For Follow-up",IF(AH496&gt;=AgeMonitor,"Monitor","Within Standard")))))</f>
        <v/>
      </c>
      <c r="AJ496" s="38">
        <f>IF(A496="","",IFERROR(INDEX(StgPct,MATCH(H496,StgList,0)),0))</f>
        <v/>
      </c>
      <c r="AK496" s="38">
        <f>IF(A496="","",IFERROR(COUNTIF(Y496:AF496,"Y")/(COUNTIF(Y496:AF496,"Y")+COUNTIF(Y496:AF496,"N")),0))</f>
        <v/>
      </c>
      <c r="AL496" s="36">
        <f>IF(OR(A496="",X496=""),"",MAX(0,IF(V496&lt;&gt;"",V496,TODAY())-X496))</f>
        <v/>
      </c>
      <c r="AM496" s="32" t="n"/>
      <c r="AN496" s="33">
        <f>IF(A496="","",LOWER(AI496)&amp;"|"&amp;AH496&amp;"|"&amp;AJ496&amp;"|"&amp;AK496)</f>
        <v/>
      </c>
      <c r="AO496" s="33">
        <f>IF(OR(A496="",T496=""),"",T496-TODAY())</f>
        <v/>
      </c>
      <c r="AP496" s="33">
        <f>IF(OR(A496="",V496&lt;&gt;""),"",(TODAY()-B496)+ROW()/1000000)</f>
        <v/>
      </c>
    </row>
    <row r="497" ht="27" customHeight="1">
      <c r="A497" s="30" t="n"/>
      <c r="B497" s="31" t="n"/>
      <c r="C497" s="32" t="n"/>
      <c r="D497" s="32" t="n"/>
      <c r="E497" s="32" t="n"/>
      <c r="F497" s="32" t="n"/>
      <c r="G497" s="33">
        <f>IF(A497="","",IFERROR(INDEX(OffCat,MATCH(F497,OffList,0)),"Unlisted"))</f>
        <v/>
      </c>
      <c r="H497" s="30" t="n"/>
      <c r="I497" s="31" t="n"/>
      <c r="J497" s="34" t="n"/>
      <c r="K497" s="34" t="n"/>
      <c r="L497" s="34" t="n"/>
      <c r="M497" s="30" t="n"/>
      <c r="N497" s="30" t="n"/>
      <c r="O497" s="30" t="n"/>
      <c r="P497" s="30" t="n"/>
      <c r="Q497" s="31" t="n"/>
      <c r="R497" s="31" t="n"/>
      <c r="S497" s="31" t="n"/>
      <c r="T497" s="31" t="n"/>
      <c r="U497" s="31" t="n"/>
      <c r="V497" s="31" t="n"/>
      <c r="W497" s="30" t="n"/>
      <c r="X497" s="31" t="n"/>
      <c r="Y497" s="35" t="n"/>
      <c r="Z497" s="35" t="n"/>
      <c r="AA497" s="35" t="n"/>
      <c r="AB497" s="35" t="n"/>
      <c r="AC497" s="35" t="n"/>
      <c r="AD497" s="35" t="n"/>
      <c r="AE497" s="35" t="n"/>
      <c r="AF497" s="35" t="n"/>
      <c r="AG497" s="36">
        <f>IF(A497="","",IF(V497&lt;&gt;"",V497-B497,TODAY()-B497))</f>
        <v/>
      </c>
      <c r="AH497" s="36">
        <f>IF(OR(A497="",I497=""),"",MAX(0,IF(V497&lt;&gt;"",V497-I497,TODAY()-I497)))</f>
        <v/>
      </c>
      <c r="AI497" s="37">
        <f>IF(A497="","",IF(OR(K497="Closed",V497&lt;&gt;""),"Closed",IF(AH497&gt;=AgeCrit,"Critical",IF(AH497&gt;=AgeFu,"For Follow-up",IF(AH497&gt;=AgeMonitor,"Monitor","Within Standard")))))</f>
        <v/>
      </c>
      <c r="AJ497" s="38">
        <f>IF(A497="","",IFERROR(INDEX(StgPct,MATCH(H497,StgList,0)),0))</f>
        <v/>
      </c>
      <c r="AK497" s="38">
        <f>IF(A497="","",IFERROR(COUNTIF(Y497:AF497,"Y")/(COUNTIF(Y497:AF497,"Y")+COUNTIF(Y497:AF497,"N")),0))</f>
        <v/>
      </c>
      <c r="AL497" s="36">
        <f>IF(OR(A497="",X497=""),"",MAX(0,IF(V497&lt;&gt;"",V497,TODAY())-X497))</f>
        <v/>
      </c>
      <c r="AM497" s="32" t="n"/>
      <c r="AN497" s="33">
        <f>IF(A497="","",LOWER(AI497)&amp;"|"&amp;AH497&amp;"|"&amp;AJ497&amp;"|"&amp;AK497)</f>
        <v/>
      </c>
      <c r="AO497" s="33">
        <f>IF(OR(A497="",T497=""),"",T497-TODAY())</f>
        <v/>
      </c>
      <c r="AP497" s="33">
        <f>IF(OR(A497="",V497&lt;&gt;""),"",(TODAY()-B497)+ROW()/1000000)</f>
        <v/>
      </c>
    </row>
    <row r="498" ht="27" customHeight="1">
      <c r="A498" s="30" t="n"/>
      <c r="B498" s="31" t="n"/>
      <c r="C498" s="32" t="n"/>
      <c r="D498" s="32" t="n"/>
      <c r="E498" s="32" t="n"/>
      <c r="F498" s="32" t="n"/>
      <c r="G498" s="33">
        <f>IF(A498="","",IFERROR(INDEX(OffCat,MATCH(F498,OffList,0)),"Unlisted"))</f>
        <v/>
      </c>
      <c r="H498" s="30" t="n"/>
      <c r="I498" s="31" t="n"/>
      <c r="J498" s="34" t="n"/>
      <c r="K498" s="34" t="n"/>
      <c r="L498" s="34" t="n"/>
      <c r="M498" s="30" t="n"/>
      <c r="N498" s="30" t="n"/>
      <c r="O498" s="30" t="n"/>
      <c r="P498" s="30" t="n"/>
      <c r="Q498" s="31" t="n"/>
      <c r="R498" s="31" t="n"/>
      <c r="S498" s="31" t="n"/>
      <c r="T498" s="31" t="n"/>
      <c r="U498" s="31" t="n"/>
      <c r="V498" s="31" t="n"/>
      <c r="W498" s="30" t="n"/>
      <c r="X498" s="31" t="n"/>
      <c r="Y498" s="35" t="n"/>
      <c r="Z498" s="35" t="n"/>
      <c r="AA498" s="35" t="n"/>
      <c r="AB498" s="35" t="n"/>
      <c r="AC498" s="35" t="n"/>
      <c r="AD498" s="35" t="n"/>
      <c r="AE498" s="35" t="n"/>
      <c r="AF498" s="35" t="n"/>
      <c r="AG498" s="36">
        <f>IF(A498="","",IF(V498&lt;&gt;"",V498-B498,TODAY()-B498))</f>
        <v/>
      </c>
      <c r="AH498" s="36">
        <f>IF(OR(A498="",I498=""),"",MAX(0,IF(V498&lt;&gt;"",V498-I498,TODAY()-I498)))</f>
        <v/>
      </c>
      <c r="AI498" s="37">
        <f>IF(A498="","",IF(OR(K498="Closed",V498&lt;&gt;""),"Closed",IF(AH498&gt;=AgeCrit,"Critical",IF(AH498&gt;=AgeFu,"For Follow-up",IF(AH498&gt;=AgeMonitor,"Monitor","Within Standard")))))</f>
        <v/>
      </c>
      <c r="AJ498" s="38">
        <f>IF(A498="","",IFERROR(INDEX(StgPct,MATCH(H498,StgList,0)),0))</f>
        <v/>
      </c>
      <c r="AK498" s="38">
        <f>IF(A498="","",IFERROR(COUNTIF(Y498:AF498,"Y")/(COUNTIF(Y498:AF498,"Y")+COUNTIF(Y498:AF498,"N")),0))</f>
        <v/>
      </c>
      <c r="AL498" s="36">
        <f>IF(OR(A498="",X498=""),"",MAX(0,IF(V498&lt;&gt;"",V498,TODAY())-X498))</f>
        <v/>
      </c>
      <c r="AM498" s="32" t="n"/>
      <c r="AN498" s="33">
        <f>IF(A498="","",LOWER(AI498)&amp;"|"&amp;AH498&amp;"|"&amp;AJ498&amp;"|"&amp;AK498)</f>
        <v/>
      </c>
      <c r="AO498" s="33">
        <f>IF(OR(A498="",T498=""),"",T498-TODAY())</f>
        <v/>
      </c>
      <c r="AP498" s="33">
        <f>IF(OR(A498="",V498&lt;&gt;""),"",(TODAY()-B498)+ROW()/1000000)</f>
        <v/>
      </c>
    </row>
    <row r="499" ht="27" customHeight="1">
      <c r="A499" s="30" t="n"/>
      <c r="B499" s="31" t="n"/>
      <c r="C499" s="32" t="n"/>
      <c r="D499" s="32" t="n"/>
      <c r="E499" s="32" t="n"/>
      <c r="F499" s="32" t="n"/>
      <c r="G499" s="33">
        <f>IF(A499="","",IFERROR(INDEX(OffCat,MATCH(F499,OffList,0)),"Unlisted"))</f>
        <v/>
      </c>
      <c r="H499" s="30" t="n"/>
      <c r="I499" s="31" t="n"/>
      <c r="J499" s="34" t="n"/>
      <c r="K499" s="34" t="n"/>
      <c r="L499" s="34" t="n"/>
      <c r="M499" s="30" t="n"/>
      <c r="N499" s="30" t="n"/>
      <c r="O499" s="30" t="n"/>
      <c r="P499" s="30" t="n"/>
      <c r="Q499" s="31" t="n"/>
      <c r="R499" s="31" t="n"/>
      <c r="S499" s="31" t="n"/>
      <c r="T499" s="31" t="n"/>
      <c r="U499" s="31" t="n"/>
      <c r="V499" s="31" t="n"/>
      <c r="W499" s="30" t="n"/>
      <c r="X499" s="31" t="n"/>
      <c r="Y499" s="35" t="n"/>
      <c r="Z499" s="35" t="n"/>
      <c r="AA499" s="35" t="n"/>
      <c r="AB499" s="35" t="n"/>
      <c r="AC499" s="35" t="n"/>
      <c r="AD499" s="35" t="n"/>
      <c r="AE499" s="35" t="n"/>
      <c r="AF499" s="35" t="n"/>
      <c r="AG499" s="36">
        <f>IF(A499="","",IF(V499&lt;&gt;"",V499-B499,TODAY()-B499))</f>
        <v/>
      </c>
      <c r="AH499" s="36">
        <f>IF(OR(A499="",I499=""),"",MAX(0,IF(V499&lt;&gt;"",V499-I499,TODAY()-I499)))</f>
        <v/>
      </c>
      <c r="AI499" s="37">
        <f>IF(A499="","",IF(OR(K499="Closed",V499&lt;&gt;""),"Closed",IF(AH499&gt;=AgeCrit,"Critical",IF(AH499&gt;=AgeFu,"For Follow-up",IF(AH499&gt;=AgeMonitor,"Monitor","Within Standard")))))</f>
        <v/>
      </c>
      <c r="AJ499" s="38">
        <f>IF(A499="","",IFERROR(INDEX(StgPct,MATCH(H499,StgList,0)),0))</f>
        <v/>
      </c>
      <c r="AK499" s="38">
        <f>IF(A499="","",IFERROR(COUNTIF(Y499:AF499,"Y")/(COUNTIF(Y499:AF499,"Y")+COUNTIF(Y499:AF499,"N")),0))</f>
        <v/>
      </c>
      <c r="AL499" s="36">
        <f>IF(OR(A499="",X499=""),"",MAX(0,IF(V499&lt;&gt;"",V499,TODAY())-X499))</f>
        <v/>
      </c>
      <c r="AM499" s="32" t="n"/>
      <c r="AN499" s="33">
        <f>IF(A499="","",LOWER(AI499)&amp;"|"&amp;AH499&amp;"|"&amp;AJ499&amp;"|"&amp;AK499)</f>
        <v/>
      </c>
      <c r="AO499" s="33">
        <f>IF(OR(A499="",T499=""),"",T499-TODAY())</f>
        <v/>
      </c>
      <c r="AP499" s="33">
        <f>IF(OR(A499="",V499&lt;&gt;""),"",(TODAY()-B499)+ROW()/1000000)</f>
        <v/>
      </c>
    </row>
    <row r="500" ht="27" customHeight="1">
      <c r="A500" s="30" t="n"/>
      <c r="B500" s="31" t="n"/>
      <c r="C500" s="32" t="n"/>
      <c r="D500" s="32" t="n"/>
      <c r="E500" s="32" t="n"/>
      <c r="F500" s="32" t="n"/>
      <c r="G500" s="33">
        <f>IF(A500="","",IFERROR(INDEX(OffCat,MATCH(F500,OffList,0)),"Unlisted"))</f>
        <v/>
      </c>
      <c r="H500" s="30" t="n"/>
      <c r="I500" s="31" t="n"/>
      <c r="J500" s="34" t="n"/>
      <c r="K500" s="34" t="n"/>
      <c r="L500" s="34" t="n"/>
      <c r="M500" s="30" t="n"/>
      <c r="N500" s="30" t="n"/>
      <c r="O500" s="30" t="n"/>
      <c r="P500" s="30" t="n"/>
      <c r="Q500" s="31" t="n"/>
      <c r="R500" s="31" t="n"/>
      <c r="S500" s="31" t="n"/>
      <c r="T500" s="31" t="n"/>
      <c r="U500" s="31" t="n"/>
      <c r="V500" s="31" t="n"/>
      <c r="W500" s="30" t="n"/>
      <c r="X500" s="31" t="n"/>
      <c r="Y500" s="35" t="n"/>
      <c r="Z500" s="35" t="n"/>
      <c r="AA500" s="35" t="n"/>
      <c r="AB500" s="35" t="n"/>
      <c r="AC500" s="35" t="n"/>
      <c r="AD500" s="35" t="n"/>
      <c r="AE500" s="35" t="n"/>
      <c r="AF500" s="35" t="n"/>
      <c r="AG500" s="36">
        <f>IF(A500="","",IF(V500&lt;&gt;"",V500-B500,TODAY()-B500))</f>
        <v/>
      </c>
      <c r="AH500" s="36">
        <f>IF(OR(A500="",I500=""),"",MAX(0,IF(V500&lt;&gt;"",V500-I500,TODAY()-I500)))</f>
        <v/>
      </c>
      <c r="AI500" s="37">
        <f>IF(A500="","",IF(OR(K500="Closed",V500&lt;&gt;""),"Closed",IF(AH500&gt;=AgeCrit,"Critical",IF(AH500&gt;=AgeFu,"For Follow-up",IF(AH500&gt;=AgeMonitor,"Monitor","Within Standard")))))</f>
        <v/>
      </c>
      <c r="AJ500" s="38">
        <f>IF(A500="","",IFERROR(INDEX(StgPct,MATCH(H500,StgList,0)),0))</f>
        <v/>
      </c>
      <c r="AK500" s="38">
        <f>IF(A500="","",IFERROR(COUNTIF(Y500:AF500,"Y")/(COUNTIF(Y500:AF500,"Y")+COUNTIF(Y500:AF500,"N")),0))</f>
        <v/>
      </c>
      <c r="AL500" s="36">
        <f>IF(OR(A500="",X500=""),"",MAX(0,IF(V500&lt;&gt;"",V500,TODAY())-X500))</f>
        <v/>
      </c>
      <c r="AM500" s="32" t="n"/>
      <c r="AN500" s="33">
        <f>IF(A500="","",LOWER(AI500)&amp;"|"&amp;AH500&amp;"|"&amp;AJ500&amp;"|"&amp;AK500)</f>
        <v/>
      </c>
      <c r="AO500" s="33">
        <f>IF(OR(A500="",T500=""),"",T500-TODAY())</f>
        <v/>
      </c>
      <c r="AP500" s="33">
        <f>IF(OR(A500="",V500&lt;&gt;""),"",(TODAY()-B500)+ROW()/1000000)</f>
        <v/>
      </c>
    </row>
    <row r="501" ht="27" customHeight="1">
      <c r="A501" s="30" t="n"/>
      <c r="B501" s="31" t="n"/>
      <c r="C501" s="32" t="n"/>
      <c r="D501" s="32" t="n"/>
      <c r="E501" s="32" t="n"/>
      <c r="F501" s="32" t="n"/>
      <c r="G501" s="33">
        <f>IF(A501="","",IFERROR(INDEX(OffCat,MATCH(F501,OffList,0)),"Unlisted"))</f>
        <v/>
      </c>
      <c r="H501" s="30" t="n"/>
      <c r="I501" s="31" t="n"/>
      <c r="J501" s="34" t="n"/>
      <c r="K501" s="34" t="n"/>
      <c r="L501" s="34" t="n"/>
      <c r="M501" s="30" t="n"/>
      <c r="N501" s="30" t="n"/>
      <c r="O501" s="30" t="n"/>
      <c r="P501" s="30" t="n"/>
      <c r="Q501" s="31" t="n"/>
      <c r="R501" s="31" t="n"/>
      <c r="S501" s="31" t="n"/>
      <c r="T501" s="31" t="n"/>
      <c r="U501" s="31" t="n"/>
      <c r="V501" s="31" t="n"/>
      <c r="W501" s="30" t="n"/>
      <c r="X501" s="31" t="n"/>
      <c r="Y501" s="35" t="n"/>
      <c r="Z501" s="35" t="n"/>
      <c r="AA501" s="35" t="n"/>
      <c r="AB501" s="35" t="n"/>
      <c r="AC501" s="35" t="n"/>
      <c r="AD501" s="35" t="n"/>
      <c r="AE501" s="35" t="n"/>
      <c r="AF501" s="35" t="n"/>
      <c r="AG501" s="36">
        <f>IF(A501="","",IF(V501&lt;&gt;"",V501-B501,TODAY()-B501))</f>
        <v/>
      </c>
      <c r="AH501" s="36">
        <f>IF(OR(A501="",I501=""),"",MAX(0,IF(V501&lt;&gt;"",V501-I501,TODAY()-I501)))</f>
        <v/>
      </c>
      <c r="AI501" s="37">
        <f>IF(A501="","",IF(OR(K501="Closed",V501&lt;&gt;""),"Closed",IF(AH501&gt;=AgeCrit,"Critical",IF(AH501&gt;=AgeFu,"For Follow-up",IF(AH501&gt;=AgeMonitor,"Monitor","Within Standard")))))</f>
        <v/>
      </c>
      <c r="AJ501" s="38">
        <f>IF(A501="","",IFERROR(INDEX(StgPct,MATCH(H501,StgList,0)),0))</f>
        <v/>
      </c>
      <c r="AK501" s="38">
        <f>IF(A501="","",IFERROR(COUNTIF(Y501:AF501,"Y")/(COUNTIF(Y501:AF501,"Y")+COUNTIF(Y501:AF501,"N")),0))</f>
        <v/>
      </c>
      <c r="AL501" s="36">
        <f>IF(OR(A501="",X501=""),"",MAX(0,IF(V501&lt;&gt;"",V501,TODAY())-X501))</f>
        <v/>
      </c>
      <c r="AM501" s="32" t="n"/>
      <c r="AN501" s="33">
        <f>IF(A501="","",LOWER(AI501)&amp;"|"&amp;AH501&amp;"|"&amp;AJ501&amp;"|"&amp;AK501)</f>
        <v/>
      </c>
      <c r="AO501" s="33">
        <f>IF(OR(A501="",T501=""),"",T501-TODAY())</f>
        <v/>
      </c>
      <c r="AP501" s="33">
        <f>IF(OR(A501="",V501&lt;&gt;""),"",(TODAY()-B501)+ROW()/1000000)</f>
        <v/>
      </c>
    </row>
    <row r="502" ht="27" customHeight="1">
      <c r="A502" s="30" t="n"/>
      <c r="B502" s="31" t="n"/>
      <c r="C502" s="32" t="n"/>
      <c r="D502" s="32" t="n"/>
      <c r="E502" s="32" t="n"/>
      <c r="F502" s="32" t="n"/>
      <c r="G502" s="33">
        <f>IF(A502="","",IFERROR(INDEX(OffCat,MATCH(F502,OffList,0)),"Unlisted"))</f>
        <v/>
      </c>
      <c r="H502" s="30" t="n"/>
      <c r="I502" s="31" t="n"/>
      <c r="J502" s="34" t="n"/>
      <c r="K502" s="34" t="n"/>
      <c r="L502" s="34" t="n"/>
      <c r="M502" s="30" t="n"/>
      <c r="N502" s="30" t="n"/>
      <c r="O502" s="30" t="n"/>
      <c r="P502" s="30" t="n"/>
      <c r="Q502" s="31" t="n"/>
      <c r="R502" s="31" t="n"/>
      <c r="S502" s="31" t="n"/>
      <c r="T502" s="31" t="n"/>
      <c r="U502" s="31" t="n"/>
      <c r="V502" s="31" t="n"/>
      <c r="W502" s="30" t="n"/>
      <c r="X502" s="31" t="n"/>
      <c r="Y502" s="35" t="n"/>
      <c r="Z502" s="35" t="n"/>
      <c r="AA502" s="35" t="n"/>
      <c r="AB502" s="35" t="n"/>
      <c r="AC502" s="35" t="n"/>
      <c r="AD502" s="35" t="n"/>
      <c r="AE502" s="35" t="n"/>
      <c r="AF502" s="35" t="n"/>
      <c r="AG502" s="36">
        <f>IF(A502="","",IF(V502&lt;&gt;"",V502-B502,TODAY()-B502))</f>
        <v/>
      </c>
      <c r="AH502" s="36">
        <f>IF(OR(A502="",I502=""),"",MAX(0,IF(V502&lt;&gt;"",V502-I502,TODAY()-I502)))</f>
        <v/>
      </c>
      <c r="AI502" s="37">
        <f>IF(A502="","",IF(OR(K502="Closed",V502&lt;&gt;""),"Closed",IF(AH502&gt;=AgeCrit,"Critical",IF(AH502&gt;=AgeFu,"For Follow-up",IF(AH502&gt;=AgeMonitor,"Monitor","Within Standard")))))</f>
        <v/>
      </c>
      <c r="AJ502" s="38">
        <f>IF(A502="","",IFERROR(INDEX(StgPct,MATCH(H502,StgList,0)),0))</f>
        <v/>
      </c>
      <c r="AK502" s="38">
        <f>IF(A502="","",IFERROR(COUNTIF(Y502:AF502,"Y")/(COUNTIF(Y502:AF502,"Y")+COUNTIF(Y502:AF502,"N")),0))</f>
        <v/>
      </c>
      <c r="AL502" s="36">
        <f>IF(OR(A502="",X502=""),"",MAX(0,IF(V502&lt;&gt;"",V502,TODAY())-X502))</f>
        <v/>
      </c>
      <c r="AM502" s="32" t="n"/>
      <c r="AN502" s="33">
        <f>IF(A502="","",LOWER(AI502)&amp;"|"&amp;AH502&amp;"|"&amp;AJ502&amp;"|"&amp;AK502)</f>
        <v/>
      </c>
      <c r="AO502" s="33">
        <f>IF(OR(A502="",T502=""),"",T502-TODAY())</f>
        <v/>
      </c>
      <c r="AP502" s="33">
        <f>IF(OR(A502="",V502&lt;&gt;""),"",(TODAY()-B502)+ROW()/1000000)</f>
        <v/>
      </c>
    </row>
    <row r="503" ht="27" customHeight="1">
      <c r="A503" s="30" t="n"/>
      <c r="B503" s="31" t="n"/>
      <c r="C503" s="32" t="n"/>
      <c r="D503" s="32" t="n"/>
      <c r="E503" s="32" t="n"/>
      <c r="F503" s="32" t="n"/>
      <c r="G503" s="33">
        <f>IF(A503="","",IFERROR(INDEX(OffCat,MATCH(F503,OffList,0)),"Unlisted"))</f>
        <v/>
      </c>
      <c r="H503" s="30" t="n"/>
      <c r="I503" s="31" t="n"/>
      <c r="J503" s="34" t="n"/>
      <c r="K503" s="34" t="n"/>
      <c r="L503" s="34" t="n"/>
      <c r="M503" s="30" t="n"/>
      <c r="N503" s="30" t="n"/>
      <c r="O503" s="30" t="n"/>
      <c r="P503" s="30" t="n"/>
      <c r="Q503" s="31" t="n"/>
      <c r="R503" s="31" t="n"/>
      <c r="S503" s="31" t="n"/>
      <c r="T503" s="31" t="n"/>
      <c r="U503" s="31" t="n"/>
      <c r="V503" s="31" t="n"/>
      <c r="W503" s="30" t="n"/>
      <c r="X503" s="31" t="n"/>
      <c r="Y503" s="35" t="n"/>
      <c r="Z503" s="35" t="n"/>
      <c r="AA503" s="35" t="n"/>
      <c r="AB503" s="35" t="n"/>
      <c r="AC503" s="35" t="n"/>
      <c r="AD503" s="35" t="n"/>
      <c r="AE503" s="35" t="n"/>
      <c r="AF503" s="35" t="n"/>
      <c r="AG503" s="36">
        <f>IF(A503="","",IF(V503&lt;&gt;"",V503-B503,TODAY()-B503))</f>
        <v/>
      </c>
      <c r="AH503" s="36">
        <f>IF(OR(A503="",I503=""),"",MAX(0,IF(V503&lt;&gt;"",V503-I503,TODAY()-I503)))</f>
        <v/>
      </c>
      <c r="AI503" s="37">
        <f>IF(A503="","",IF(OR(K503="Closed",V503&lt;&gt;""),"Closed",IF(AH503&gt;=AgeCrit,"Critical",IF(AH503&gt;=AgeFu,"For Follow-up",IF(AH503&gt;=AgeMonitor,"Monitor","Within Standard")))))</f>
        <v/>
      </c>
      <c r="AJ503" s="38">
        <f>IF(A503="","",IFERROR(INDEX(StgPct,MATCH(H503,StgList,0)),0))</f>
        <v/>
      </c>
      <c r="AK503" s="38">
        <f>IF(A503="","",IFERROR(COUNTIF(Y503:AF503,"Y")/(COUNTIF(Y503:AF503,"Y")+COUNTIF(Y503:AF503,"N")),0))</f>
        <v/>
      </c>
      <c r="AL503" s="36">
        <f>IF(OR(A503="",X503=""),"",MAX(0,IF(V503&lt;&gt;"",V503,TODAY())-X503))</f>
        <v/>
      </c>
      <c r="AM503" s="32" t="n"/>
      <c r="AN503" s="33">
        <f>IF(A503="","",LOWER(AI503)&amp;"|"&amp;AH503&amp;"|"&amp;AJ503&amp;"|"&amp;AK503)</f>
        <v/>
      </c>
      <c r="AO503" s="33">
        <f>IF(OR(A503="",T503=""),"",T503-TODAY())</f>
        <v/>
      </c>
      <c r="AP503" s="33">
        <f>IF(OR(A503="",V503&lt;&gt;""),"",(TODAY()-B503)+ROW()/1000000)</f>
        <v/>
      </c>
    </row>
    <row r="504" ht="27" customHeight="1">
      <c r="A504" s="30" t="n"/>
      <c r="B504" s="31" t="n"/>
      <c r="C504" s="32" t="n"/>
      <c r="D504" s="32" t="n"/>
      <c r="E504" s="32" t="n"/>
      <c r="F504" s="32" t="n"/>
      <c r="G504" s="33">
        <f>IF(A504="","",IFERROR(INDEX(OffCat,MATCH(F504,OffList,0)),"Unlisted"))</f>
        <v/>
      </c>
      <c r="H504" s="30" t="n"/>
      <c r="I504" s="31" t="n"/>
      <c r="J504" s="34" t="n"/>
      <c r="K504" s="34" t="n"/>
      <c r="L504" s="34" t="n"/>
      <c r="M504" s="30" t="n"/>
      <c r="N504" s="30" t="n"/>
      <c r="O504" s="30" t="n"/>
      <c r="P504" s="30" t="n"/>
      <c r="Q504" s="31" t="n"/>
      <c r="R504" s="31" t="n"/>
      <c r="S504" s="31" t="n"/>
      <c r="T504" s="31" t="n"/>
      <c r="U504" s="31" t="n"/>
      <c r="V504" s="31" t="n"/>
      <c r="W504" s="30" t="n"/>
      <c r="X504" s="31" t="n"/>
      <c r="Y504" s="35" t="n"/>
      <c r="Z504" s="35" t="n"/>
      <c r="AA504" s="35" t="n"/>
      <c r="AB504" s="35" t="n"/>
      <c r="AC504" s="35" t="n"/>
      <c r="AD504" s="35" t="n"/>
      <c r="AE504" s="35" t="n"/>
      <c r="AF504" s="35" t="n"/>
      <c r="AG504" s="36">
        <f>IF(A504="","",IF(V504&lt;&gt;"",V504-B504,TODAY()-B504))</f>
        <v/>
      </c>
      <c r="AH504" s="36">
        <f>IF(OR(A504="",I504=""),"",MAX(0,IF(V504&lt;&gt;"",V504-I504,TODAY()-I504)))</f>
        <v/>
      </c>
      <c r="AI504" s="37">
        <f>IF(A504="","",IF(OR(K504="Closed",V504&lt;&gt;""),"Closed",IF(AH504&gt;=AgeCrit,"Critical",IF(AH504&gt;=AgeFu,"For Follow-up",IF(AH504&gt;=AgeMonitor,"Monitor","Within Standard")))))</f>
        <v/>
      </c>
      <c r="AJ504" s="38">
        <f>IF(A504="","",IFERROR(INDEX(StgPct,MATCH(H504,StgList,0)),0))</f>
        <v/>
      </c>
      <c r="AK504" s="38">
        <f>IF(A504="","",IFERROR(COUNTIF(Y504:AF504,"Y")/(COUNTIF(Y504:AF504,"Y")+COUNTIF(Y504:AF504,"N")),0))</f>
        <v/>
      </c>
      <c r="AL504" s="36">
        <f>IF(OR(A504="",X504=""),"",MAX(0,IF(V504&lt;&gt;"",V504,TODAY())-X504))</f>
        <v/>
      </c>
      <c r="AM504" s="32" t="n"/>
      <c r="AN504" s="33">
        <f>IF(A504="","",LOWER(AI504)&amp;"|"&amp;AH504&amp;"|"&amp;AJ504&amp;"|"&amp;AK504)</f>
        <v/>
      </c>
      <c r="AO504" s="33">
        <f>IF(OR(A504="",T504=""),"",T504-TODAY())</f>
        <v/>
      </c>
      <c r="AP504" s="33">
        <f>IF(OR(A504="",V504&lt;&gt;""),"",(TODAY()-B504)+ROW()/1000000)</f>
        <v/>
      </c>
    </row>
    <row r="505" ht="27" customHeight="1">
      <c r="A505" s="30" t="n"/>
      <c r="B505" s="31" t="n"/>
      <c r="C505" s="32" t="n"/>
      <c r="D505" s="32" t="n"/>
      <c r="E505" s="32" t="n"/>
      <c r="F505" s="32" t="n"/>
      <c r="G505" s="33">
        <f>IF(A505="","",IFERROR(INDEX(OffCat,MATCH(F505,OffList,0)),"Unlisted"))</f>
        <v/>
      </c>
      <c r="H505" s="30" t="n"/>
      <c r="I505" s="31" t="n"/>
      <c r="J505" s="34" t="n"/>
      <c r="K505" s="34" t="n"/>
      <c r="L505" s="34" t="n"/>
      <c r="M505" s="30" t="n"/>
      <c r="N505" s="30" t="n"/>
      <c r="O505" s="30" t="n"/>
      <c r="P505" s="30" t="n"/>
      <c r="Q505" s="31" t="n"/>
      <c r="R505" s="31" t="n"/>
      <c r="S505" s="31" t="n"/>
      <c r="T505" s="31" t="n"/>
      <c r="U505" s="31" t="n"/>
      <c r="V505" s="31" t="n"/>
      <c r="W505" s="30" t="n"/>
      <c r="X505" s="31" t="n"/>
      <c r="Y505" s="35" t="n"/>
      <c r="Z505" s="35" t="n"/>
      <c r="AA505" s="35" t="n"/>
      <c r="AB505" s="35" t="n"/>
      <c r="AC505" s="35" t="n"/>
      <c r="AD505" s="35" t="n"/>
      <c r="AE505" s="35" t="n"/>
      <c r="AF505" s="35" t="n"/>
      <c r="AG505" s="36">
        <f>IF(A505="","",IF(V505&lt;&gt;"",V505-B505,TODAY()-B505))</f>
        <v/>
      </c>
      <c r="AH505" s="36">
        <f>IF(OR(A505="",I505=""),"",MAX(0,IF(V505&lt;&gt;"",V505-I505,TODAY()-I505)))</f>
        <v/>
      </c>
      <c r="AI505" s="37">
        <f>IF(A505="","",IF(OR(K505="Closed",V505&lt;&gt;""),"Closed",IF(AH505&gt;=AgeCrit,"Critical",IF(AH505&gt;=AgeFu,"For Follow-up",IF(AH505&gt;=AgeMonitor,"Monitor","Within Standard")))))</f>
        <v/>
      </c>
      <c r="AJ505" s="38">
        <f>IF(A505="","",IFERROR(INDEX(StgPct,MATCH(H505,StgList,0)),0))</f>
        <v/>
      </c>
      <c r="AK505" s="38">
        <f>IF(A505="","",IFERROR(COUNTIF(Y505:AF505,"Y")/(COUNTIF(Y505:AF505,"Y")+COUNTIF(Y505:AF505,"N")),0))</f>
        <v/>
      </c>
      <c r="AL505" s="36">
        <f>IF(OR(A505="",X505=""),"",MAX(0,IF(V505&lt;&gt;"",V505,TODAY())-X505))</f>
        <v/>
      </c>
      <c r="AM505" s="32" t="n"/>
      <c r="AN505" s="33">
        <f>IF(A505="","",LOWER(AI505)&amp;"|"&amp;AH505&amp;"|"&amp;AJ505&amp;"|"&amp;AK505)</f>
        <v/>
      </c>
      <c r="AO505" s="33">
        <f>IF(OR(A505="",T505=""),"",T505-TODAY())</f>
        <v/>
      </c>
      <c r="AP505" s="33">
        <f>IF(OR(A505="",V505&lt;&gt;""),"",(TODAY()-B505)+ROW()/1000000)</f>
        <v/>
      </c>
    </row>
    <row r="506" ht="27" customHeight="1">
      <c r="A506" s="30" t="n"/>
      <c r="B506" s="31" t="n"/>
      <c r="C506" s="32" t="n"/>
      <c r="D506" s="32" t="n"/>
      <c r="E506" s="32" t="n"/>
      <c r="F506" s="32" t="n"/>
      <c r="G506" s="33">
        <f>IF(A506="","",IFERROR(INDEX(OffCat,MATCH(F506,OffList,0)),"Unlisted"))</f>
        <v/>
      </c>
      <c r="H506" s="30" t="n"/>
      <c r="I506" s="31" t="n"/>
      <c r="J506" s="34" t="n"/>
      <c r="K506" s="34" t="n"/>
      <c r="L506" s="34" t="n"/>
      <c r="M506" s="30" t="n"/>
      <c r="N506" s="30" t="n"/>
      <c r="O506" s="30" t="n"/>
      <c r="P506" s="30" t="n"/>
      <c r="Q506" s="31" t="n"/>
      <c r="R506" s="31" t="n"/>
      <c r="S506" s="31" t="n"/>
      <c r="T506" s="31" t="n"/>
      <c r="U506" s="31" t="n"/>
      <c r="V506" s="31" t="n"/>
      <c r="W506" s="30" t="n"/>
      <c r="X506" s="31" t="n"/>
      <c r="Y506" s="35" t="n"/>
      <c r="Z506" s="35" t="n"/>
      <c r="AA506" s="35" t="n"/>
      <c r="AB506" s="35" t="n"/>
      <c r="AC506" s="35" t="n"/>
      <c r="AD506" s="35" t="n"/>
      <c r="AE506" s="35" t="n"/>
      <c r="AF506" s="35" t="n"/>
      <c r="AG506" s="36">
        <f>IF(A506="","",IF(V506&lt;&gt;"",V506-B506,TODAY()-B506))</f>
        <v/>
      </c>
      <c r="AH506" s="36">
        <f>IF(OR(A506="",I506=""),"",MAX(0,IF(V506&lt;&gt;"",V506-I506,TODAY()-I506)))</f>
        <v/>
      </c>
      <c r="AI506" s="37">
        <f>IF(A506="","",IF(OR(K506="Closed",V506&lt;&gt;""),"Closed",IF(AH506&gt;=AgeCrit,"Critical",IF(AH506&gt;=AgeFu,"For Follow-up",IF(AH506&gt;=AgeMonitor,"Monitor","Within Standard")))))</f>
        <v/>
      </c>
      <c r="AJ506" s="38">
        <f>IF(A506="","",IFERROR(INDEX(StgPct,MATCH(H506,StgList,0)),0))</f>
        <v/>
      </c>
      <c r="AK506" s="38">
        <f>IF(A506="","",IFERROR(COUNTIF(Y506:AF506,"Y")/(COUNTIF(Y506:AF506,"Y")+COUNTIF(Y506:AF506,"N")),0))</f>
        <v/>
      </c>
      <c r="AL506" s="36">
        <f>IF(OR(A506="",X506=""),"",MAX(0,IF(V506&lt;&gt;"",V506,TODAY())-X506))</f>
        <v/>
      </c>
      <c r="AM506" s="32" t="n"/>
      <c r="AN506" s="33">
        <f>IF(A506="","",LOWER(AI506)&amp;"|"&amp;AH506&amp;"|"&amp;AJ506&amp;"|"&amp;AK506)</f>
        <v/>
      </c>
      <c r="AO506" s="33">
        <f>IF(OR(A506="",T506=""),"",T506-TODAY())</f>
        <v/>
      </c>
      <c r="AP506" s="33">
        <f>IF(OR(A506="",V506&lt;&gt;""),"",(TODAY()-B506)+ROW()/1000000)</f>
        <v/>
      </c>
    </row>
    <row r="507" ht="27" customHeight="1">
      <c r="A507" s="30" t="n"/>
      <c r="B507" s="31" t="n"/>
      <c r="C507" s="32" t="n"/>
      <c r="D507" s="32" t="n"/>
      <c r="E507" s="32" t="n"/>
      <c r="F507" s="32" t="n"/>
      <c r="G507" s="33">
        <f>IF(A507="","",IFERROR(INDEX(OffCat,MATCH(F507,OffList,0)),"Unlisted"))</f>
        <v/>
      </c>
      <c r="H507" s="30" t="n"/>
      <c r="I507" s="31" t="n"/>
      <c r="J507" s="34" t="n"/>
      <c r="K507" s="34" t="n"/>
      <c r="L507" s="34" t="n"/>
      <c r="M507" s="30" t="n"/>
      <c r="N507" s="30" t="n"/>
      <c r="O507" s="30" t="n"/>
      <c r="P507" s="30" t="n"/>
      <c r="Q507" s="31" t="n"/>
      <c r="R507" s="31" t="n"/>
      <c r="S507" s="31" t="n"/>
      <c r="T507" s="31" t="n"/>
      <c r="U507" s="31" t="n"/>
      <c r="V507" s="31" t="n"/>
      <c r="W507" s="30" t="n"/>
      <c r="X507" s="31" t="n"/>
      <c r="Y507" s="35" t="n"/>
      <c r="Z507" s="35" t="n"/>
      <c r="AA507" s="35" t="n"/>
      <c r="AB507" s="35" t="n"/>
      <c r="AC507" s="35" t="n"/>
      <c r="AD507" s="35" t="n"/>
      <c r="AE507" s="35" t="n"/>
      <c r="AF507" s="35" t="n"/>
      <c r="AG507" s="36">
        <f>IF(A507="","",IF(V507&lt;&gt;"",V507-B507,TODAY()-B507))</f>
        <v/>
      </c>
      <c r="AH507" s="36">
        <f>IF(OR(A507="",I507=""),"",MAX(0,IF(V507&lt;&gt;"",V507-I507,TODAY()-I507)))</f>
        <v/>
      </c>
      <c r="AI507" s="37">
        <f>IF(A507="","",IF(OR(K507="Closed",V507&lt;&gt;""),"Closed",IF(AH507&gt;=AgeCrit,"Critical",IF(AH507&gt;=AgeFu,"For Follow-up",IF(AH507&gt;=AgeMonitor,"Monitor","Within Standard")))))</f>
        <v/>
      </c>
      <c r="AJ507" s="38">
        <f>IF(A507="","",IFERROR(INDEX(StgPct,MATCH(H507,StgList,0)),0))</f>
        <v/>
      </c>
      <c r="AK507" s="38">
        <f>IF(A507="","",IFERROR(COUNTIF(Y507:AF507,"Y")/(COUNTIF(Y507:AF507,"Y")+COUNTIF(Y507:AF507,"N")),0))</f>
        <v/>
      </c>
      <c r="AL507" s="36">
        <f>IF(OR(A507="",X507=""),"",MAX(0,IF(V507&lt;&gt;"",V507,TODAY())-X507))</f>
        <v/>
      </c>
      <c r="AM507" s="32" t="n"/>
      <c r="AN507" s="33">
        <f>IF(A507="","",LOWER(AI507)&amp;"|"&amp;AH507&amp;"|"&amp;AJ507&amp;"|"&amp;AK507)</f>
        <v/>
      </c>
      <c r="AO507" s="33">
        <f>IF(OR(A507="",T507=""),"",T507-TODAY())</f>
        <v/>
      </c>
      <c r="AP507" s="33">
        <f>IF(OR(A507="",V507&lt;&gt;""),"",(TODAY()-B507)+ROW()/1000000)</f>
        <v/>
      </c>
    </row>
    <row r="508" ht="27" customHeight="1">
      <c r="A508" s="30" t="n"/>
      <c r="B508" s="31" t="n"/>
      <c r="C508" s="32" t="n"/>
      <c r="D508" s="32" t="n"/>
      <c r="E508" s="32" t="n"/>
      <c r="F508" s="32" t="n"/>
      <c r="G508" s="33">
        <f>IF(A508="","",IFERROR(INDEX(OffCat,MATCH(F508,OffList,0)),"Unlisted"))</f>
        <v/>
      </c>
      <c r="H508" s="30" t="n"/>
      <c r="I508" s="31" t="n"/>
      <c r="J508" s="34" t="n"/>
      <c r="K508" s="34" t="n"/>
      <c r="L508" s="34" t="n"/>
      <c r="M508" s="30" t="n"/>
      <c r="N508" s="30" t="n"/>
      <c r="O508" s="30" t="n"/>
      <c r="P508" s="30" t="n"/>
      <c r="Q508" s="31" t="n"/>
      <c r="R508" s="31" t="n"/>
      <c r="S508" s="31" t="n"/>
      <c r="T508" s="31" t="n"/>
      <c r="U508" s="31" t="n"/>
      <c r="V508" s="31" t="n"/>
      <c r="W508" s="30" t="n"/>
      <c r="X508" s="31" t="n"/>
      <c r="Y508" s="35" t="n"/>
      <c r="Z508" s="35" t="n"/>
      <c r="AA508" s="35" t="n"/>
      <c r="AB508" s="35" t="n"/>
      <c r="AC508" s="35" t="n"/>
      <c r="AD508" s="35" t="n"/>
      <c r="AE508" s="35" t="n"/>
      <c r="AF508" s="35" t="n"/>
      <c r="AG508" s="36">
        <f>IF(A508="","",IF(V508&lt;&gt;"",V508-B508,TODAY()-B508))</f>
        <v/>
      </c>
      <c r="AH508" s="36">
        <f>IF(OR(A508="",I508=""),"",MAX(0,IF(V508&lt;&gt;"",V508-I508,TODAY()-I508)))</f>
        <v/>
      </c>
      <c r="AI508" s="37">
        <f>IF(A508="","",IF(OR(K508="Closed",V508&lt;&gt;""),"Closed",IF(AH508&gt;=AgeCrit,"Critical",IF(AH508&gt;=AgeFu,"For Follow-up",IF(AH508&gt;=AgeMonitor,"Monitor","Within Standard")))))</f>
        <v/>
      </c>
      <c r="AJ508" s="38">
        <f>IF(A508="","",IFERROR(INDEX(StgPct,MATCH(H508,StgList,0)),0))</f>
        <v/>
      </c>
      <c r="AK508" s="38">
        <f>IF(A508="","",IFERROR(COUNTIF(Y508:AF508,"Y")/(COUNTIF(Y508:AF508,"Y")+COUNTIF(Y508:AF508,"N")),0))</f>
        <v/>
      </c>
      <c r="AL508" s="36">
        <f>IF(OR(A508="",X508=""),"",MAX(0,IF(V508&lt;&gt;"",V508,TODAY())-X508))</f>
        <v/>
      </c>
      <c r="AM508" s="32" t="n"/>
      <c r="AN508" s="33">
        <f>IF(A508="","",LOWER(AI508)&amp;"|"&amp;AH508&amp;"|"&amp;AJ508&amp;"|"&amp;AK508)</f>
        <v/>
      </c>
      <c r="AO508" s="33">
        <f>IF(OR(A508="",T508=""),"",T508-TODAY())</f>
        <v/>
      </c>
      <c r="AP508" s="33">
        <f>IF(OR(A508="",V508&lt;&gt;""),"",(TODAY()-B508)+ROW()/1000000)</f>
        <v/>
      </c>
    </row>
    <row r="509" ht="27" customHeight="1">
      <c r="A509" s="30" t="n"/>
      <c r="B509" s="31" t="n"/>
      <c r="C509" s="32" t="n"/>
      <c r="D509" s="32" t="n"/>
      <c r="E509" s="32" t="n"/>
      <c r="F509" s="32" t="n"/>
      <c r="G509" s="33">
        <f>IF(A509="","",IFERROR(INDEX(OffCat,MATCH(F509,OffList,0)),"Unlisted"))</f>
        <v/>
      </c>
      <c r="H509" s="30" t="n"/>
      <c r="I509" s="31" t="n"/>
      <c r="J509" s="34" t="n"/>
      <c r="K509" s="34" t="n"/>
      <c r="L509" s="34" t="n"/>
      <c r="M509" s="30" t="n"/>
      <c r="N509" s="30" t="n"/>
      <c r="O509" s="30" t="n"/>
      <c r="P509" s="30" t="n"/>
      <c r="Q509" s="31" t="n"/>
      <c r="R509" s="31" t="n"/>
      <c r="S509" s="31" t="n"/>
      <c r="T509" s="31" t="n"/>
      <c r="U509" s="31" t="n"/>
      <c r="V509" s="31" t="n"/>
      <c r="W509" s="30" t="n"/>
      <c r="X509" s="31" t="n"/>
      <c r="Y509" s="35" t="n"/>
      <c r="Z509" s="35" t="n"/>
      <c r="AA509" s="35" t="n"/>
      <c r="AB509" s="35" t="n"/>
      <c r="AC509" s="35" t="n"/>
      <c r="AD509" s="35" t="n"/>
      <c r="AE509" s="35" t="n"/>
      <c r="AF509" s="35" t="n"/>
      <c r="AG509" s="36">
        <f>IF(A509="","",IF(V509&lt;&gt;"",V509-B509,TODAY()-B509))</f>
        <v/>
      </c>
      <c r="AH509" s="36">
        <f>IF(OR(A509="",I509=""),"",MAX(0,IF(V509&lt;&gt;"",V509-I509,TODAY()-I509)))</f>
        <v/>
      </c>
      <c r="AI509" s="37">
        <f>IF(A509="","",IF(OR(K509="Closed",V509&lt;&gt;""),"Closed",IF(AH509&gt;=AgeCrit,"Critical",IF(AH509&gt;=AgeFu,"For Follow-up",IF(AH509&gt;=AgeMonitor,"Monitor","Within Standard")))))</f>
        <v/>
      </c>
      <c r="AJ509" s="38">
        <f>IF(A509="","",IFERROR(INDEX(StgPct,MATCH(H509,StgList,0)),0))</f>
        <v/>
      </c>
      <c r="AK509" s="38">
        <f>IF(A509="","",IFERROR(COUNTIF(Y509:AF509,"Y")/(COUNTIF(Y509:AF509,"Y")+COUNTIF(Y509:AF509,"N")),0))</f>
        <v/>
      </c>
      <c r="AL509" s="36">
        <f>IF(OR(A509="",X509=""),"",MAX(0,IF(V509&lt;&gt;"",V509,TODAY())-X509))</f>
        <v/>
      </c>
      <c r="AM509" s="32" t="n"/>
      <c r="AN509" s="33">
        <f>IF(A509="","",LOWER(AI509)&amp;"|"&amp;AH509&amp;"|"&amp;AJ509&amp;"|"&amp;AK509)</f>
        <v/>
      </c>
      <c r="AO509" s="33">
        <f>IF(OR(A509="",T509=""),"",T509-TODAY())</f>
        <v/>
      </c>
      <c r="AP509" s="33">
        <f>IF(OR(A509="",V509&lt;&gt;""),"",(TODAY()-B509)+ROW()/1000000)</f>
        <v/>
      </c>
    </row>
    <row r="510" ht="27" customHeight="1">
      <c r="A510" s="30" t="n"/>
      <c r="B510" s="31" t="n"/>
      <c r="C510" s="32" t="n"/>
      <c r="D510" s="32" t="n"/>
      <c r="E510" s="32" t="n"/>
      <c r="F510" s="32" t="n"/>
      <c r="G510" s="33">
        <f>IF(A510="","",IFERROR(INDEX(OffCat,MATCH(F510,OffList,0)),"Unlisted"))</f>
        <v/>
      </c>
      <c r="H510" s="30" t="n"/>
      <c r="I510" s="31" t="n"/>
      <c r="J510" s="34" t="n"/>
      <c r="K510" s="34" t="n"/>
      <c r="L510" s="34" t="n"/>
      <c r="M510" s="30" t="n"/>
      <c r="N510" s="30" t="n"/>
      <c r="O510" s="30" t="n"/>
      <c r="P510" s="30" t="n"/>
      <c r="Q510" s="31" t="n"/>
      <c r="R510" s="31" t="n"/>
      <c r="S510" s="31" t="n"/>
      <c r="T510" s="31" t="n"/>
      <c r="U510" s="31" t="n"/>
      <c r="V510" s="31" t="n"/>
      <c r="W510" s="30" t="n"/>
      <c r="X510" s="31" t="n"/>
      <c r="Y510" s="35" t="n"/>
      <c r="Z510" s="35" t="n"/>
      <c r="AA510" s="35" t="n"/>
      <c r="AB510" s="35" t="n"/>
      <c r="AC510" s="35" t="n"/>
      <c r="AD510" s="35" t="n"/>
      <c r="AE510" s="35" t="n"/>
      <c r="AF510" s="35" t="n"/>
      <c r="AG510" s="36">
        <f>IF(A510="","",IF(V510&lt;&gt;"",V510-B510,TODAY()-B510))</f>
        <v/>
      </c>
      <c r="AH510" s="36">
        <f>IF(OR(A510="",I510=""),"",MAX(0,IF(V510&lt;&gt;"",V510-I510,TODAY()-I510)))</f>
        <v/>
      </c>
      <c r="AI510" s="37">
        <f>IF(A510="","",IF(OR(K510="Closed",V510&lt;&gt;""),"Closed",IF(AH510&gt;=AgeCrit,"Critical",IF(AH510&gt;=AgeFu,"For Follow-up",IF(AH510&gt;=AgeMonitor,"Monitor","Within Standard")))))</f>
        <v/>
      </c>
      <c r="AJ510" s="38">
        <f>IF(A510="","",IFERROR(INDEX(StgPct,MATCH(H510,StgList,0)),0))</f>
        <v/>
      </c>
      <c r="AK510" s="38">
        <f>IF(A510="","",IFERROR(COUNTIF(Y510:AF510,"Y")/(COUNTIF(Y510:AF510,"Y")+COUNTIF(Y510:AF510,"N")),0))</f>
        <v/>
      </c>
      <c r="AL510" s="36">
        <f>IF(OR(A510="",X510=""),"",MAX(0,IF(V510&lt;&gt;"",V510,TODAY())-X510))</f>
        <v/>
      </c>
      <c r="AM510" s="32" t="n"/>
      <c r="AN510" s="33">
        <f>IF(A510="","",LOWER(AI510)&amp;"|"&amp;AH510&amp;"|"&amp;AJ510&amp;"|"&amp;AK510)</f>
        <v/>
      </c>
      <c r="AO510" s="33">
        <f>IF(OR(A510="",T510=""),"",T510-TODAY())</f>
        <v/>
      </c>
      <c r="AP510" s="33">
        <f>IF(OR(A510="",V510&lt;&gt;""),"",(TODAY()-B510)+ROW()/1000000)</f>
        <v/>
      </c>
    </row>
    <row r="511" ht="27" customHeight="1">
      <c r="A511" s="30" t="n"/>
      <c r="B511" s="31" t="n"/>
      <c r="C511" s="32" t="n"/>
      <c r="D511" s="32" t="n"/>
      <c r="E511" s="32" t="n"/>
      <c r="F511" s="32" t="n"/>
      <c r="G511" s="33">
        <f>IF(A511="","",IFERROR(INDEX(OffCat,MATCH(F511,OffList,0)),"Unlisted"))</f>
        <v/>
      </c>
      <c r="H511" s="30" t="n"/>
      <c r="I511" s="31" t="n"/>
      <c r="J511" s="34" t="n"/>
      <c r="K511" s="34" t="n"/>
      <c r="L511" s="34" t="n"/>
      <c r="M511" s="30" t="n"/>
      <c r="N511" s="30" t="n"/>
      <c r="O511" s="30" t="n"/>
      <c r="P511" s="30" t="n"/>
      <c r="Q511" s="31" t="n"/>
      <c r="R511" s="31" t="n"/>
      <c r="S511" s="31" t="n"/>
      <c r="T511" s="31" t="n"/>
      <c r="U511" s="31" t="n"/>
      <c r="V511" s="31" t="n"/>
      <c r="W511" s="30" t="n"/>
      <c r="X511" s="31" t="n"/>
      <c r="Y511" s="35" t="n"/>
      <c r="Z511" s="35" t="n"/>
      <c r="AA511" s="35" t="n"/>
      <c r="AB511" s="35" t="n"/>
      <c r="AC511" s="35" t="n"/>
      <c r="AD511" s="35" t="n"/>
      <c r="AE511" s="35" t="n"/>
      <c r="AF511" s="35" t="n"/>
      <c r="AG511" s="36">
        <f>IF(A511="","",IF(V511&lt;&gt;"",V511-B511,TODAY()-B511))</f>
        <v/>
      </c>
      <c r="AH511" s="36">
        <f>IF(OR(A511="",I511=""),"",MAX(0,IF(V511&lt;&gt;"",V511-I511,TODAY()-I511)))</f>
        <v/>
      </c>
      <c r="AI511" s="37">
        <f>IF(A511="","",IF(OR(K511="Closed",V511&lt;&gt;""),"Closed",IF(AH511&gt;=AgeCrit,"Critical",IF(AH511&gt;=AgeFu,"For Follow-up",IF(AH511&gt;=AgeMonitor,"Monitor","Within Standard")))))</f>
        <v/>
      </c>
      <c r="AJ511" s="38">
        <f>IF(A511="","",IFERROR(INDEX(StgPct,MATCH(H511,StgList,0)),0))</f>
        <v/>
      </c>
      <c r="AK511" s="38">
        <f>IF(A511="","",IFERROR(COUNTIF(Y511:AF511,"Y")/(COUNTIF(Y511:AF511,"Y")+COUNTIF(Y511:AF511,"N")),0))</f>
        <v/>
      </c>
      <c r="AL511" s="36">
        <f>IF(OR(A511="",X511=""),"",MAX(0,IF(V511&lt;&gt;"",V511,TODAY())-X511))</f>
        <v/>
      </c>
      <c r="AM511" s="32" t="n"/>
      <c r="AN511" s="33">
        <f>IF(A511="","",LOWER(AI511)&amp;"|"&amp;AH511&amp;"|"&amp;AJ511&amp;"|"&amp;AK511)</f>
        <v/>
      </c>
      <c r="AO511" s="33">
        <f>IF(OR(A511="",T511=""),"",T511-TODAY())</f>
        <v/>
      </c>
      <c r="AP511" s="33">
        <f>IF(OR(A511="",V511&lt;&gt;""),"",(TODAY()-B511)+ROW()/1000000)</f>
        <v/>
      </c>
    </row>
    <row r="512" ht="27" customHeight="1">
      <c r="A512" s="30" t="n"/>
      <c r="B512" s="31" t="n"/>
      <c r="C512" s="32" t="n"/>
      <c r="D512" s="32" t="n"/>
      <c r="E512" s="32" t="n"/>
      <c r="F512" s="32" t="n"/>
      <c r="G512" s="33">
        <f>IF(A512="","",IFERROR(INDEX(OffCat,MATCH(F512,OffList,0)),"Unlisted"))</f>
        <v/>
      </c>
      <c r="H512" s="30" t="n"/>
      <c r="I512" s="31" t="n"/>
      <c r="J512" s="34" t="n"/>
      <c r="K512" s="34" t="n"/>
      <c r="L512" s="34" t="n"/>
      <c r="M512" s="30" t="n"/>
      <c r="N512" s="30" t="n"/>
      <c r="O512" s="30" t="n"/>
      <c r="P512" s="30" t="n"/>
      <c r="Q512" s="31" t="n"/>
      <c r="R512" s="31" t="n"/>
      <c r="S512" s="31" t="n"/>
      <c r="T512" s="31" t="n"/>
      <c r="U512" s="31" t="n"/>
      <c r="V512" s="31" t="n"/>
      <c r="W512" s="30" t="n"/>
      <c r="X512" s="31" t="n"/>
      <c r="Y512" s="35" t="n"/>
      <c r="Z512" s="35" t="n"/>
      <c r="AA512" s="35" t="n"/>
      <c r="AB512" s="35" t="n"/>
      <c r="AC512" s="35" t="n"/>
      <c r="AD512" s="35" t="n"/>
      <c r="AE512" s="35" t="n"/>
      <c r="AF512" s="35" t="n"/>
      <c r="AG512" s="36">
        <f>IF(A512="","",IF(V512&lt;&gt;"",V512-B512,TODAY()-B512))</f>
        <v/>
      </c>
      <c r="AH512" s="36">
        <f>IF(OR(A512="",I512=""),"",MAX(0,IF(V512&lt;&gt;"",V512-I512,TODAY()-I512)))</f>
        <v/>
      </c>
      <c r="AI512" s="37">
        <f>IF(A512="","",IF(OR(K512="Closed",V512&lt;&gt;""),"Closed",IF(AH512&gt;=AgeCrit,"Critical",IF(AH512&gt;=AgeFu,"For Follow-up",IF(AH512&gt;=AgeMonitor,"Monitor","Within Standard")))))</f>
        <v/>
      </c>
      <c r="AJ512" s="38">
        <f>IF(A512="","",IFERROR(INDEX(StgPct,MATCH(H512,StgList,0)),0))</f>
        <v/>
      </c>
      <c r="AK512" s="38">
        <f>IF(A512="","",IFERROR(COUNTIF(Y512:AF512,"Y")/(COUNTIF(Y512:AF512,"Y")+COUNTIF(Y512:AF512,"N")),0))</f>
        <v/>
      </c>
      <c r="AL512" s="36">
        <f>IF(OR(A512="",X512=""),"",MAX(0,IF(V512&lt;&gt;"",V512,TODAY())-X512))</f>
        <v/>
      </c>
      <c r="AM512" s="32" t="n"/>
      <c r="AN512" s="33">
        <f>IF(A512="","",LOWER(AI512)&amp;"|"&amp;AH512&amp;"|"&amp;AJ512&amp;"|"&amp;AK512)</f>
        <v/>
      </c>
      <c r="AO512" s="33">
        <f>IF(OR(A512="",T512=""),"",T512-TODAY())</f>
        <v/>
      </c>
      <c r="AP512" s="33">
        <f>IF(OR(A512="",V512&lt;&gt;""),"",(TODAY()-B512)+ROW()/1000000)</f>
        <v/>
      </c>
    </row>
    <row r="513" ht="27" customHeight="1">
      <c r="A513" s="30" t="n"/>
      <c r="B513" s="31" t="n"/>
      <c r="C513" s="32" t="n"/>
      <c r="D513" s="32" t="n"/>
      <c r="E513" s="32" t="n"/>
      <c r="F513" s="32" t="n"/>
      <c r="G513" s="33">
        <f>IF(A513="","",IFERROR(INDEX(OffCat,MATCH(F513,OffList,0)),"Unlisted"))</f>
        <v/>
      </c>
      <c r="H513" s="30" t="n"/>
      <c r="I513" s="31" t="n"/>
      <c r="J513" s="34" t="n"/>
      <c r="K513" s="34" t="n"/>
      <c r="L513" s="34" t="n"/>
      <c r="M513" s="30" t="n"/>
      <c r="N513" s="30" t="n"/>
      <c r="O513" s="30" t="n"/>
      <c r="P513" s="30" t="n"/>
      <c r="Q513" s="31" t="n"/>
      <c r="R513" s="31" t="n"/>
      <c r="S513" s="31" t="n"/>
      <c r="T513" s="31" t="n"/>
      <c r="U513" s="31" t="n"/>
      <c r="V513" s="31" t="n"/>
      <c r="W513" s="30" t="n"/>
      <c r="X513" s="31" t="n"/>
      <c r="Y513" s="35" t="n"/>
      <c r="Z513" s="35" t="n"/>
      <c r="AA513" s="35" t="n"/>
      <c r="AB513" s="35" t="n"/>
      <c r="AC513" s="35" t="n"/>
      <c r="AD513" s="35" t="n"/>
      <c r="AE513" s="35" t="n"/>
      <c r="AF513" s="35" t="n"/>
      <c r="AG513" s="36">
        <f>IF(A513="","",IF(V513&lt;&gt;"",V513-B513,TODAY()-B513))</f>
        <v/>
      </c>
      <c r="AH513" s="36">
        <f>IF(OR(A513="",I513=""),"",MAX(0,IF(V513&lt;&gt;"",V513-I513,TODAY()-I513)))</f>
        <v/>
      </c>
      <c r="AI513" s="37">
        <f>IF(A513="","",IF(OR(K513="Closed",V513&lt;&gt;""),"Closed",IF(AH513&gt;=AgeCrit,"Critical",IF(AH513&gt;=AgeFu,"For Follow-up",IF(AH513&gt;=AgeMonitor,"Monitor","Within Standard")))))</f>
        <v/>
      </c>
      <c r="AJ513" s="38">
        <f>IF(A513="","",IFERROR(INDEX(StgPct,MATCH(H513,StgList,0)),0))</f>
        <v/>
      </c>
      <c r="AK513" s="38">
        <f>IF(A513="","",IFERROR(COUNTIF(Y513:AF513,"Y")/(COUNTIF(Y513:AF513,"Y")+COUNTIF(Y513:AF513,"N")),0))</f>
        <v/>
      </c>
      <c r="AL513" s="36">
        <f>IF(OR(A513="",X513=""),"",MAX(0,IF(V513&lt;&gt;"",V513,TODAY())-X513))</f>
        <v/>
      </c>
      <c r="AM513" s="32" t="n"/>
      <c r="AN513" s="33">
        <f>IF(A513="","",LOWER(AI513)&amp;"|"&amp;AH513&amp;"|"&amp;AJ513&amp;"|"&amp;AK513)</f>
        <v/>
      </c>
      <c r="AO513" s="33">
        <f>IF(OR(A513="",T513=""),"",T513-TODAY())</f>
        <v/>
      </c>
      <c r="AP513" s="33">
        <f>IF(OR(A513="",V513&lt;&gt;""),"",(TODAY()-B513)+ROW()/1000000)</f>
        <v/>
      </c>
    </row>
    <row r="514" ht="27" customHeight="1">
      <c r="A514" s="30" t="n"/>
      <c r="B514" s="31" t="n"/>
      <c r="C514" s="32" t="n"/>
      <c r="D514" s="32" t="n"/>
      <c r="E514" s="32" t="n"/>
      <c r="F514" s="32" t="n"/>
      <c r="G514" s="33">
        <f>IF(A514="","",IFERROR(INDEX(OffCat,MATCH(F514,OffList,0)),"Unlisted"))</f>
        <v/>
      </c>
      <c r="H514" s="30" t="n"/>
      <c r="I514" s="31" t="n"/>
      <c r="J514" s="34" t="n"/>
      <c r="K514" s="34" t="n"/>
      <c r="L514" s="34" t="n"/>
      <c r="M514" s="30" t="n"/>
      <c r="N514" s="30" t="n"/>
      <c r="O514" s="30" t="n"/>
      <c r="P514" s="30" t="n"/>
      <c r="Q514" s="31" t="n"/>
      <c r="R514" s="31" t="n"/>
      <c r="S514" s="31" t="n"/>
      <c r="T514" s="31" t="n"/>
      <c r="U514" s="31" t="n"/>
      <c r="V514" s="31" t="n"/>
      <c r="W514" s="30" t="n"/>
      <c r="X514" s="31" t="n"/>
      <c r="Y514" s="35" t="n"/>
      <c r="Z514" s="35" t="n"/>
      <c r="AA514" s="35" t="n"/>
      <c r="AB514" s="35" t="n"/>
      <c r="AC514" s="35" t="n"/>
      <c r="AD514" s="35" t="n"/>
      <c r="AE514" s="35" t="n"/>
      <c r="AF514" s="35" t="n"/>
      <c r="AG514" s="36">
        <f>IF(A514="","",IF(V514&lt;&gt;"",V514-B514,TODAY()-B514))</f>
        <v/>
      </c>
      <c r="AH514" s="36">
        <f>IF(OR(A514="",I514=""),"",MAX(0,IF(V514&lt;&gt;"",V514-I514,TODAY()-I514)))</f>
        <v/>
      </c>
      <c r="AI514" s="37">
        <f>IF(A514="","",IF(OR(K514="Closed",V514&lt;&gt;""),"Closed",IF(AH514&gt;=AgeCrit,"Critical",IF(AH514&gt;=AgeFu,"For Follow-up",IF(AH514&gt;=AgeMonitor,"Monitor","Within Standard")))))</f>
        <v/>
      </c>
      <c r="AJ514" s="38">
        <f>IF(A514="","",IFERROR(INDEX(StgPct,MATCH(H514,StgList,0)),0))</f>
        <v/>
      </c>
      <c r="AK514" s="38">
        <f>IF(A514="","",IFERROR(COUNTIF(Y514:AF514,"Y")/(COUNTIF(Y514:AF514,"Y")+COUNTIF(Y514:AF514,"N")),0))</f>
        <v/>
      </c>
      <c r="AL514" s="36">
        <f>IF(OR(A514="",X514=""),"",MAX(0,IF(V514&lt;&gt;"",V514,TODAY())-X514))</f>
        <v/>
      </c>
      <c r="AM514" s="32" t="n"/>
      <c r="AN514" s="33">
        <f>IF(A514="","",LOWER(AI514)&amp;"|"&amp;AH514&amp;"|"&amp;AJ514&amp;"|"&amp;AK514)</f>
        <v/>
      </c>
      <c r="AO514" s="33">
        <f>IF(OR(A514="",T514=""),"",T514-TODAY())</f>
        <v/>
      </c>
      <c r="AP514" s="33">
        <f>IF(OR(A514="",V514&lt;&gt;""),"",(TODAY()-B514)+ROW()/1000000)</f>
        <v/>
      </c>
    </row>
    <row r="515" ht="27" customHeight="1">
      <c r="A515" s="30" t="n"/>
      <c r="B515" s="31" t="n"/>
      <c r="C515" s="32" t="n"/>
      <c r="D515" s="32" t="n"/>
      <c r="E515" s="32" t="n"/>
      <c r="F515" s="32" t="n"/>
      <c r="G515" s="33">
        <f>IF(A515="","",IFERROR(INDEX(OffCat,MATCH(F515,OffList,0)),"Unlisted"))</f>
        <v/>
      </c>
      <c r="H515" s="30" t="n"/>
      <c r="I515" s="31" t="n"/>
      <c r="J515" s="34" t="n"/>
      <c r="K515" s="34" t="n"/>
      <c r="L515" s="34" t="n"/>
      <c r="M515" s="30" t="n"/>
      <c r="N515" s="30" t="n"/>
      <c r="O515" s="30" t="n"/>
      <c r="P515" s="30" t="n"/>
      <c r="Q515" s="31" t="n"/>
      <c r="R515" s="31" t="n"/>
      <c r="S515" s="31" t="n"/>
      <c r="T515" s="31" t="n"/>
      <c r="U515" s="31" t="n"/>
      <c r="V515" s="31" t="n"/>
      <c r="W515" s="30" t="n"/>
      <c r="X515" s="31" t="n"/>
      <c r="Y515" s="35" t="n"/>
      <c r="Z515" s="35" t="n"/>
      <c r="AA515" s="35" t="n"/>
      <c r="AB515" s="35" t="n"/>
      <c r="AC515" s="35" t="n"/>
      <c r="AD515" s="35" t="n"/>
      <c r="AE515" s="35" t="n"/>
      <c r="AF515" s="35" t="n"/>
      <c r="AG515" s="36">
        <f>IF(A515="","",IF(V515&lt;&gt;"",V515-B515,TODAY()-B515))</f>
        <v/>
      </c>
      <c r="AH515" s="36">
        <f>IF(OR(A515="",I515=""),"",MAX(0,IF(V515&lt;&gt;"",V515-I515,TODAY()-I515)))</f>
        <v/>
      </c>
      <c r="AI515" s="37">
        <f>IF(A515="","",IF(OR(K515="Closed",V515&lt;&gt;""),"Closed",IF(AH515&gt;=AgeCrit,"Critical",IF(AH515&gt;=AgeFu,"For Follow-up",IF(AH515&gt;=AgeMonitor,"Monitor","Within Standard")))))</f>
        <v/>
      </c>
      <c r="AJ515" s="38">
        <f>IF(A515="","",IFERROR(INDEX(StgPct,MATCH(H515,StgList,0)),0))</f>
        <v/>
      </c>
      <c r="AK515" s="38">
        <f>IF(A515="","",IFERROR(COUNTIF(Y515:AF515,"Y")/(COUNTIF(Y515:AF515,"Y")+COUNTIF(Y515:AF515,"N")),0))</f>
        <v/>
      </c>
      <c r="AL515" s="36">
        <f>IF(OR(A515="",X515=""),"",MAX(0,IF(V515&lt;&gt;"",V515,TODAY())-X515))</f>
        <v/>
      </c>
      <c r="AM515" s="32" t="n"/>
      <c r="AN515" s="33">
        <f>IF(A515="","",LOWER(AI515)&amp;"|"&amp;AH515&amp;"|"&amp;AJ515&amp;"|"&amp;AK515)</f>
        <v/>
      </c>
      <c r="AO515" s="33">
        <f>IF(OR(A515="",T515=""),"",T515-TODAY())</f>
        <v/>
      </c>
      <c r="AP515" s="33">
        <f>IF(OR(A515="",V515&lt;&gt;""),"",(TODAY()-B515)+ROW()/1000000)</f>
        <v/>
      </c>
    </row>
    <row r="516" ht="27" customHeight="1">
      <c r="A516" s="30" t="n"/>
      <c r="B516" s="31" t="n"/>
      <c r="C516" s="32" t="n"/>
      <c r="D516" s="32" t="n"/>
      <c r="E516" s="32" t="n"/>
      <c r="F516" s="32" t="n"/>
      <c r="G516" s="33">
        <f>IF(A516="","",IFERROR(INDEX(OffCat,MATCH(F516,OffList,0)),"Unlisted"))</f>
        <v/>
      </c>
      <c r="H516" s="30" t="n"/>
      <c r="I516" s="31" t="n"/>
      <c r="J516" s="34" t="n"/>
      <c r="K516" s="34" t="n"/>
      <c r="L516" s="34" t="n"/>
      <c r="M516" s="30" t="n"/>
      <c r="N516" s="30" t="n"/>
      <c r="O516" s="30" t="n"/>
      <c r="P516" s="30" t="n"/>
      <c r="Q516" s="31" t="n"/>
      <c r="R516" s="31" t="n"/>
      <c r="S516" s="31" t="n"/>
      <c r="T516" s="31" t="n"/>
      <c r="U516" s="31" t="n"/>
      <c r="V516" s="31" t="n"/>
      <c r="W516" s="30" t="n"/>
      <c r="X516" s="31" t="n"/>
      <c r="Y516" s="35" t="n"/>
      <c r="Z516" s="35" t="n"/>
      <c r="AA516" s="35" t="n"/>
      <c r="AB516" s="35" t="n"/>
      <c r="AC516" s="35" t="n"/>
      <c r="AD516" s="35" t="n"/>
      <c r="AE516" s="35" t="n"/>
      <c r="AF516" s="35" t="n"/>
      <c r="AG516" s="36">
        <f>IF(A516="","",IF(V516&lt;&gt;"",V516-B516,TODAY()-B516))</f>
        <v/>
      </c>
      <c r="AH516" s="36">
        <f>IF(OR(A516="",I516=""),"",MAX(0,IF(V516&lt;&gt;"",V516-I516,TODAY()-I516)))</f>
        <v/>
      </c>
      <c r="AI516" s="37">
        <f>IF(A516="","",IF(OR(K516="Closed",V516&lt;&gt;""),"Closed",IF(AH516&gt;=AgeCrit,"Critical",IF(AH516&gt;=AgeFu,"For Follow-up",IF(AH516&gt;=AgeMonitor,"Monitor","Within Standard")))))</f>
        <v/>
      </c>
      <c r="AJ516" s="38">
        <f>IF(A516="","",IFERROR(INDEX(StgPct,MATCH(H516,StgList,0)),0))</f>
        <v/>
      </c>
      <c r="AK516" s="38">
        <f>IF(A516="","",IFERROR(COUNTIF(Y516:AF516,"Y")/(COUNTIF(Y516:AF516,"Y")+COUNTIF(Y516:AF516,"N")),0))</f>
        <v/>
      </c>
      <c r="AL516" s="36">
        <f>IF(OR(A516="",X516=""),"",MAX(0,IF(V516&lt;&gt;"",V516,TODAY())-X516))</f>
        <v/>
      </c>
      <c r="AM516" s="32" t="n"/>
      <c r="AN516" s="33">
        <f>IF(A516="","",LOWER(AI516)&amp;"|"&amp;AH516&amp;"|"&amp;AJ516&amp;"|"&amp;AK516)</f>
        <v/>
      </c>
      <c r="AO516" s="33">
        <f>IF(OR(A516="",T516=""),"",T516-TODAY())</f>
        <v/>
      </c>
      <c r="AP516" s="33">
        <f>IF(OR(A516="",V516&lt;&gt;""),"",(TODAY()-B516)+ROW()/1000000)</f>
        <v/>
      </c>
    </row>
    <row r="517" ht="27" customHeight="1">
      <c r="A517" s="30" t="n"/>
      <c r="B517" s="31" t="n"/>
      <c r="C517" s="32" t="n"/>
      <c r="D517" s="32" t="n"/>
      <c r="E517" s="32" t="n"/>
      <c r="F517" s="32" t="n"/>
      <c r="G517" s="33">
        <f>IF(A517="","",IFERROR(INDEX(OffCat,MATCH(F517,OffList,0)),"Unlisted"))</f>
        <v/>
      </c>
      <c r="H517" s="30" t="n"/>
      <c r="I517" s="31" t="n"/>
      <c r="J517" s="34" t="n"/>
      <c r="K517" s="34" t="n"/>
      <c r="L517" s="34" t="n"/>
      <c r="M517" s="30" t="n"/>
      <c r="N517" s="30" t="n"/>
      <c r="O517" s="30" t="n"/>
      <c r="P517" s="30" t="n"/>
      <c r="Q517" s="31" t="n"/>
      <c r="R517" s="31" t="n"/>
      <c r="S517" s="31" t="n"/>
      <c r="T517" s="31" t="n"/>
      <c r="U517" s="31" t="n"/>
      <c r="V517" s="31" t="n"/>
      <c r="W517" s="30" t="n"/>
      <c r="X517" s="31" t="n"/>
      <c r="Y517" s="35" t="n"/>
      <c r="Z517" s="35" t="n"/>
      <c r="AA517" s="35" t="n"/>
      <c r="AB517" s="35" t="n"/>
      <c r="AC517" s="35" t="n"/>
      <c r="AD517" s="35" t="n"/>
      <c r="AE517" s="35" t="n"/>
      <c r="AF517" s="35" t="n"/>
      <c r="AG517" s="36">
        <f>IF(A517="","",IF(V517&lt;&gt;"",V517-B517,TODAY()-B517))</f>
        <v/>
      </c>
      <c r="AH517" s="36">
        <f>IF(OR(A517="",I517=""),"",MAX(0,IF(V517&lt;&gt;"",V517-I517,TODAY()-I517)))</f>
        <v/>
      </c>
      <c r="AI517" s="37">
        <f>IF(A517="","",IF(OR(K517="Closed",V517&lt;&gt;""),"Closed",IF(AH517&gt;=AgeCrit,"Critical",IF(AH517&gt;=AgeFu,"For Follow-up",IF(AH517&gt;=AgeMonitor,"Monitor","Within Standard")))))</f>
        <v/>
      </c>
      <c r="AJ517" s="38">
        <f>IF(A517="","",IFERROR(INDEX(StgPct,MATCH(H517,StgList,0)),0))</f>
        <v/>
      </c>
      <c r="AK517" s="38">
        <f>IF(A517="","",IFERROR(COUNTIF(Y517:AF517,"Y")/(COUNTIF(Y517:AF517,"Y")+COUNTIF(Y517:AF517,"N")),0))</f>
        <v/>
      </c>
      <c r="AL517" s="36">
        <f>IF(OR(A517="",X517=""),"",MAX(0,IF(V517&lt;&gt;"",V517,TODAY())-X517))</f>
        <v/>
      </c>
      <c r="AM517" s="32" t="n"/>
      <c r="AN517" s="33">
        <f>IF(A517="","",LOWER(AI517)&amp;"|"&amp;AH517&amp;"|"&amp;AJ517&amp;"|"&amp;AK517)</f>
        <v/>
      </c>
      <c r="AO517" s="33">
        <f>IF(OR(A517="",T517=""),"",T517-TODAY())</f>
        <v/>
      </c>
      <c r="AP517" s="33">
        <f>IF(OR(A517="",V517&lt;&gt;""),"",(TODAY()-B517)+ROW()/1000000)</f>
        <v/>
      </c>
    </row>
    <row r="518" ht="27" customHeight="1">
      <c r="A518" s="30" t="n"/>
      <c r="B518" s="31" t="n"/>
      <c r="C518" s="32" t="n"/>
      <c r="D518" s="32" t="n"/>
      <c r="E518" s="32" t="n"/>
      <c r="F518" s="32" t="n"/>
      <c r="G518" s="33">
        <f>IF(A518="","",IFERROR(INDEX(OffCat,MATCH(F518,OffList,0)),"Unlisted"))</f>
        <v/>
      </c>
      <c r="H518" s="30" t="n"/>
      <c r="I518" s="31" t="n"/>
      <c r="J518" s="34" t="n"/>
      <c r="K518" s="34" t="n"/>
      <c r="L518" s="34" t="n"/>
      <c r="M518" s="30" t="n"/>
      <c r="N518" s="30" t="n"/>
      <c r="O518" s="30" t="n"/>
      <c r="P518" s="30" t="n"/>
      <c r="Q518" s="31" t="n"/>
      <c r="R518" s="31" t="n"/>
      <c r="S518" s="31" t="n"/>
      <c r="T518" s="31" t="n"/>
      <c r="U518" s="31" t="n"/>
      <c r="V518" s="31" t="n"/>
      <c r="W518" s="30" t="n"/>
      <c r="X518" s="31" t="n"/>
      <c r="Y518" s="35" t="n"/>
      <c r="Z518" s="35" t="n"/>
      <c r="AA518" s="35" t="n"/>
      <c r="AB518" s="35" t="n"/>
      <c r="AC518" s="35" t="n"/>
      <c r="AD518" s="35" t="n"/>
      <c r="AE518" s="35" t="n"/>
      <c r="AF518" s="35" t="n"/>
      <c r="AG518" s="36">
        <f>IF(A518="","",IF(V518&lt;&gt;"",V518-B518,TODAY()-B518))</f>
        <v/>
      </c>
      <c r="AH518" s="36">
        <f>IF(OR(A518="",I518=""),"",MAX(0,IF(V518&lt;&gt;"",V518-I518,TODAY()-I518)))</f>
        <v/>
      </c>
      <c r="AI518" s="37">
        <f>IF(A518="","",IF(OR(K518="Closed",V518&lt;&gt;""),"Closed",IF(AH518&gt;=AgeCrit,"Critical",IF(AH518&gt;=AgeFu,"For Follow-up",IF(AH518&gt;=AgeMonitor,"Monitor","Within Standard")))))</f>
        <v/>
      </c>
      <c r="AJ518" s="38">
        <f>IF(A518="","",IFERROR(INDEX(StgPct,MATCH(H518,StgList,0)),0))</f>
        <v/>
      </c>
      <c r="AK518" s="38">
        <f>IF(A518="","",IFERROR(COUNTIF(Y518:AF518,"Y")/(COUNTIF(Y518:AF518,"Y")+COUNTIF(Y518:AF518,"N")),0))</f>
        <v/>
      </c>
      <c r="AL518" s="36">
        <f>IF(OR(A518="",X518=""),"",MAX(0,IF(V518&lt;&gt;"",V518,TODAY())-X518))</f>
        <v/>
      </c>
      <c r="AM518" s="32" t="n"/>
      <c r="AN518" s="33">
        <f>IF(A518="","",LOWER(AI518)&amp;"|"&amp;AH518&amp;"|"&amp;AJ518&amp;"|"&amp;AK518)</f>
        <v/>
      </c>
      <c r="AO518" s="33">
        <f>IF(OR(A518="",T518=""),"",T518-TODAY())</f>
        <v/>
      </c>
      <c r="AP518" s="33">
        <f>IF(OR(A518="",V518&lt;&gt;""),"",(TODAY()-B518)+ROW()/1000000)</f>
        <v/>
      </c>
    </row>
    <row r="519" ht="27" customHeight="1">
      <c r="A519" s="30" t="n"/>
      <c r="B519" s="31" t="n"/>
      <c r="C519" s="32" t="n"/>
      <c r="D519" s="32" t="n"/>
      <c r="E519" s="32" t="n"/>
      <c r="F519" s="32" t="n"/>
      <c r="G519" s="33">
        <f>IF(A519="","",IFERROR(INDEX(OffCat,MATCH(F519,OffList,0)),"Unlisted"))</f>
        <v/>
      </c>
      <c r="H519" s="30" t="n"/>
      <c r="I519" s="31" t="n"/>
      <c r="J519" s="34" t="n"/>
      <c r="K519" s="34" t="n"/>
      <c r="L519" s="34" t="n"/>
      <c r="M519" s="30" t="n"/>
      <c r="N519" s="30" t="n"/>
      <c r="O519" s="30" t="n"/>
      <c r="P519" s="30" t="n"/>
      <c r="Q519" s="31" t="n"/>
      <c r="R519" s="31" t="n"/>
      <c r="S519" s="31" t="n"/>
      <c r="T519" s="31" t="n"/>
      <c r="U519" s="31" t="n"/>
      <c r="V519" s="31" t="n"/>
      <c r="W519" s="30" t="n"/>
      <c r="X519" s="31" t="n"/>
      <c r="Y519" s="35" t="n"/>
      <c r="Z519" s="35" t="n"/>
      <c r="AA519" s="35" t="n"/>
      <c r="AB519" s="35" t="n"/>
      <c r="AC519" s="35" t="n"/>
      <c r="AD519" s="35" t="n"/>
      <c r="AE519" s="35" t="n"/>
      <c r="AF519" s="35" t="n"/>
      <c r="AG519" s="36">
        <f>IF(A519="","",IF(V519&lt;&gt;"",V519-B519,TODAY()-B519))</f>
        <v/>
      </c>
      <c r="AH519" s="36">
        <f>IF(OR(A519="",I519=""),"",MAX(0,IF(V519&lt;&gt;"",V519-I519,TODAY()-I519)))</f>
        <v/>
      </c>
      <c r="AI519" s="37">
        <f>IF(A519="","",IF(OR(K519="Closed",V519&lt;&gt;""),"Closed",IF(AH519&gt;=AgeCrit,"Critical",IF(AH519&gt;=AgeFu,"For Follow-up",IF(AH519&gt;=AgeMonitor,"Monitor","Within Standard")))))</f>
        <v/>
      </c>
      <c r="AJ519" s="38">
        <f>IF(A519="","",IFERROR(INDEX(StgPct,MATCH(H519,StgList,0)),0))</f>
        <v/>
      </c>
      <c r="AK519" s="38">
        <f>IF(A519="","",IFERROR(COUNTIF(Y519:AF519,"Y")/(COUNTIF(Y519:AF519,"Y")+COUNTIF(Y519:AF519,"N")),0))</f>
        <v/>
      </c>
      <c r="AL519" s="36">
        <f>IF(OR(A519="",X519=""),"",MAX(0,IF(V519&lt;&gt;"",V519,TODAY())-X519))</f>
        <v/>
      </c>
      <c r="AM519" s="32" t="n"/>
      <c r="AN519" s="33">
        <f>IF(A519="","",LOWER(AI519)&amp;"|"&amp;AH519&amp;"|"&amp;AJ519&amp;"|"&amp;AK519)</f>
        <v/>
      </c>
      <c r="AO519" s="33">
        <f>IF(OR(A519="",T519=""),"",T519-TODAY())</f>
        <v/>
      </c>
      <c r="AP519" s="33">
        <f>IF(OR(A519="",V519&lt;&gt;""),"",(TODAY()-B519)+ROW()/1000000)</f>
        <v/>
      </c>
    </row>
    <row r="520" ht="27" customHeight="1">
      <c r="A520" s="30" t="n"/>
      <c r="B520" s="31" t="n"/>
      <c r="C520" s="32" t="n"/>
      <c r="D520" s="32" t="n"/>
      <c r="E520" s="32" t="n"/>
      <c r="F520" s="32" t="n"/>
      <c r="G520" s="33">
        <f>IF(A520="","",IFERROR(INDEX(OffCat,MATCH(F520,OffList,0)),"Unlisted"))</f>
        <v/>
      </c>
      <c r="H520" s="30" t="n"/>
      <c r="I520" s="31" t="n"/>
      <c r="J520" s="34" t="n"/>
      <c r="K520" s="34" t="n"/>
      <c r="L520" s="34" t="n"/>
      <c r="M520" s="30" t="n"/>
      <c r="N520" s="30" t="n"/>
      <c r="O520" s="30" t="n"/>
      <c r="P520" s="30" t="n"/>
      <c r="Q520" s="31" t="n"/>
      <c r="R520" s="31" t="n"/>
      <c r="S520" s="31" t="n"/>
      <c r="T520" s="31" t="n"/>
      <c r="U520" s="31" t="n"/>
      <c r="V520" s="31" t="n"/>
      <c r="W520" s="30" t="n"/>
      <c r="X520" s="31" t="n"/>
      <c r="Y520" s="35" t="n"/>
      <c r="Z520" s="35" t="n"/>
      <c r="AA520" s="35" t="n"/>
      <c r="AB520" s="35" t="n"/>
      <c r="AC520" s="35" t="n"/>
      <c r="AD520" s="35" t="n"/>
      <c r="AE520" s="35" t="n"/>
      <c r="AF520" s="35" t="n"/>
      <c r="AG520" s="36">
        <f>IF(A520="","",IF(V520&lt;&gt;"",V520-B520,TODAY()-B520))</f>
        <v/>
      </c>
      <c r="AH520" s="36">
        <f>IF(OR(A520="",I520=""),"",MAX(0,IF(V520&lt;&gt;"",V520-I520,TODAY()-I520)))</f>
        <v/>
      </c>
      <c r="AI520" s="37">
        <f>IF(A520="","",IF(OR(K520="Closed",V520&lt;&gt;""),"Closed",IF(AH520&gt;=AgeCrit,"Critical",IF(AH520&gt;=AgeFu,"For Follow-up",IF(AH520&gt;=AgeMonitor,"Monitor","Within Standard")))))</f>
        <v/>
      </c>
      <c r="AJ520" s="38">
        <f>IF(A520="","",IFERROR(INDEX(StgPct,MATCH(H520,StgList,0)),0))</f>
        <v/>
      </c>
      <c r="AK520" s="38">
        <f>IF(A520="","",IFERROR(COUNTIF(Y520:AF520,"Y")/(COUNTIF(Y520:AF520,"Y")+COUNTIF(Y520:AF520,"N")),0))</f>
        <v/>
      </c>
      <c r="AL520" s="36">
        <f>IF(OR(A520="",X520=""),"",MAX(0,IF(V520&lt;&gt;"",V520,TODAY())-X520))</f>
        <v/>
      </c>
      <c r="AM520" s="32" t="n"/>
      <c r="AN520" s="33">
        <f>IF(A520="","",LOWER(AI520)&amp;"|"&amp;AH520&amp;"|"&amp;AJ520&amp;"|"&amp;AK520)</f>
        <v/>
      </c>
      <c r="AO520" s="33">
        <f>IF(OR(A520="",T520=""),"",T520-TODAY())</f>
        <v/>
      </c>
      <c r="AP520" s="33">
        <f>IF(OR(A520="",V520&lt;&gt;""),"",(TODAY()-B520)+ROW()/1000000)</f>
        <v/>
      </c>
    </row>
    <row r="521" ht="27" customHeight="1">
      <c r="A521" s="30" t="n"/>
      <c r="B521" s="31" t="n"/>
      <c r="C521" s="32" t="n"/>
      <c r="D521" s="32" t="n"/>
      <c r="E521" s="32" t="n"/>
      <c r="F521" s="32" t="n"/>
      <c r="G521" s="33">
        <f>IF(A521="","",IFERROR(INDEX(OffCat,MATCH(F521,OffList,0)),"Unlisted"))</f>
        <v/>
      </c>
      <c r="H521" s="30" t="n"/>
      <c r="I521" s="31" t="n"/>
      <c r="J521" s="34" t="n"/>
      <c r="K521" s="34" t="n"/>
      <c r="L521" s="34" t="n"/>
      <c r="M521" s="30" t="n"/>
      <c r="N521" s="30" t="n"/>
      <c r="O521" s="30" t="n"/>
      <c r="P521" s="30" t="n"/>
      <c r="Q521" s="31" t="n"/>
      <c r="R521" s="31" t="n"/>
      <c r="S521" s="31" t="n"/>
      <c r="T521" s="31" t="n"/>
      <c r="U521" s="31" t="n"/>
      <c r="V521" s="31" t="n"/>
      <c r="W521" s="30" t="n"/>
      <c r="X521" s="31" t="n"/>
      <c r="Y521" s="35" t="n"/>
      <c r="Z521" s="35" t="n"/>
      <c r="AA521" s="35" t="n"/>
      <c r="AB521" s="35" t="n"/>
      <c r="AC521" s="35" t="n"/>
      <c r="AD521" s="35" t="n"/>
      <c r="AE521" s="35" t="n"/>
      <c r="AF521" s="35" t="n"/>
      <c r="AG521" s="36">
        <f>IF(A521="","",IF(V521&lt;&gt;"",V521-B521,TODAY()-B521))</f>
        <v/>
      </c>
      <c r="AH521" s="36">
        <f>IF(OR(A521="",I521=""),"",MAX(0,IF(V521&lt;&gt;"",V521-I521,TODAY()-I521)))</f>
        <v/>
      </c>
      <c r="AI521" s="37">
        <f>IF(A521="","",IF(OR(K521="Closed",V521&lt;&gt;""),"Closed",IF(AH521&gt;=AgeCrit,"Critical",IF(AH521&gt;=AgeFu,"For Follow-up",IF(AH521&gt;=AgeMonitor,"Monitor","Within Standard")))))</f>
        <v/>
      </c>
      <c r="AJ521" s="38">
        <f>IF(A521="","",IFERROR(INDEX(StgPct,MATCH(H521,StgList,0)),0))</f>
        <v/>
      </c>
      <c r="AK521" s="38">
        <f>IF(A521="","",IFERROR(COUNTIF(Y521:AF521,"Y")/(COUNTIF(Y521:AF521,"Y")+COUNTIF(Y521:AF521,"N")),0))</f>
        <v/>
      </c>
      <c r="AL521" s="36">
        <f>IF(OR(A521="",X521=""),"",MAX(0,IF(V521&lt;&gt;"",V521,TODAY())-X521))</f>
        <v/>
      </c>
      <c r="AM521" s="32" t="n"/>
      <c r="AN521" s="33">
        <f>IF(A521="","",LOWER(AI521)&amp;"|"&amp;AH521&amp;"|"&amp;AJ521&amp;"|"&amp;AK521)</f>
        <v/>
      </c>
      <c r="AO521" s="33">
        <f>IF(OR(A521="",T521=""),"",T521-TODAY())</f>
        <v/>
      </c>
      <c r="AP521" s="33">
        <f>IF(OR(A521="",V521&lt;&gt;""),"",(TODAY()-B521)+ROW()/1000000)</f>
        <v/>
      </c>
    </row>
    <row r="522" ht="27" customHeight="1">
      <c r="A522" s="30" t="n"/>
      <c r="B522" s="31" t="n"/>
      <c r="C522" s="32" t="n"/>
      <c r="D522" s="32" t="n"/>
      <c r="E522" s="32" t="n"/>
      <c r="F522" s="32" t="n"/>
      <c r="G522" s="33">
        <f>IF(A522="","",IFERROR(INDEX(OffCat,MATCH(F522,OffList,0)),"Unlisted"))</f>
        <v/>
      </c>
      <c r="H522" s="30" t="n"/>
      <c r="I522" s="31" t="n"/>
      <c r="J522" s="34" t="n"/>
      <c r="K522" s="34" t="n"/>
      <c r="L522" s="34" t="n"/>
      <c r="M522" s="30" t="n"/>
      <c r="N522" s="30" t="n"/>
      <c r="O522" s="30" t="n"/>
      <c r="P522" s="30" t="n"/>
      <c r="Q522" s="31" t="n"/>
      <c r="R522" s="31" t="n"/>
      <c r="S522" s="31" t="n"/>
      <c r="T522" s="31" t="n"/>
      <c r="U522" s="31" t="n"/>
      <c r="V522" s="31" t="n"/>
      <c r="W522" s="30" t="n"/>
      <c r="X522" s="31" t="n"/>
      <c r="Y522" s="35" t="n"/>
      <c r="Z522" s="35" t="n"/>
      <c r="AA522" s="35" t="n"/>
      <c r="AB522" s="35" t="n"/>
      <c r="AC522" s="35" t="n"/>
      <c r="AD522" s="35" t="n"/>
      <c r="AE522" s="35" t="n"/>
      <c r="AF522" s="35" t="n"/>
      <c r="AG522" s="36">
        <f>IF(A522="","",IF(V522&lt;&gt;"",V522-B522,TODAY()-B522))</f>
        <v/>
      </c>
      <c r="AH522" s="36">
        <f>IF(OR(A522="",I522=""),"",MAX(0,IF(V522&lt;&gt;"",V522-I522,TODAY()-I522)))</f>
        <v/>
      </c>
      <c r="AI522" s="37">
        <f>IF(A522="","",IF(OR(K522="Closed",V522&lt;&gt;""),"Closed",IF(AH522&gt;=AgeCrit,"Critical",IF(AH522&gt;=AgeFu,"For Follow-up",IF(AH522&gt;=AgeMonitor,"Monitor","Within Standard")))))</f>
        <v/>
      </c>
      <c r="AJ522" s="38">
        <f>IF(A522="","",IFERROR(INDEX(StgPct,MATCH(H522,StgList,0)),0))</f>
        <v/>
      </c>
      <c r="AK522" s="38">
        <f>IF(A522="","",IFERROR(COUNTIF(Y522:AF522,"Y")/(COUNTIF(Y522:AF522,"Y")+COUNTIF(Y522:AF522,"N")),0))</f>
        <v/>
      </c>
      <c r="AL522" s="36">
        <f>IF(OR(A522="",X522=""),"",MAX(0,IF(V522&lt;&gt;"",V522,TODAY())-X522))</f>
        <v/>
      </c>
      <c r="AM522" s="32" t="n"/>
      <c r="AN522" s="33">
        <f>IF(A522="","",LOWER(AI522)&amp;"|"&amp;AH522&amp;"|"&amp;AJ522&amp;"|"&amp;AK522)</f>
        <v/>
      </c>
      <c r="AO522" s="33">
        <f>IF(OR(A522="",T522=""),"",T522-TODAY())</f>
        <v/>
      </c>
      <c r="AP522" s="33">
        <f>IF(OR(A522="",V522&lt;&gt;""),"",(TODAY()-B522)+ROW()/1000000)</f>
        <v/>
      </c>
    </row>
    <row r="523" ht="27" customHeight="1">
      <c r="A523" s="30" t="n"/>
      <c r="B523" s="31" t="n"/>
      <c r="C523" s="32" t="n"/>
      <c r="D523" s="32" t="n"/>
      <c r="E523" s="32" t="n"/>
      <c r="F523" s="32" t="n"/>
      <c r="G523" s="33">
        <f>IF(A523="","",IFERROR(INDEX(OffCat,MATCH(F523,OffList,0)),"Unlisted"))</f>
        <v/>
      </c>
      <c r="H523" s="30" t="n"/>
      <c r="I523" s="31" t="n"/>
      <c r="J523" s="34" t="n"/>
      <c r="K523" s="34" t="n"/>
      <c r="L523" s="34" t="n"/>
      <c r="M523" s="30" t="n"/>
      <c r="N523" s="30" t="n"/>
      <c r="O523" s="30" t="n"/>
      <c r="P523" s="30" t="n"/>
      <c r="Q523" s="31" t="n"/>
      <c r="R523" s="31" t="n"/>
      <c r="S523" s="31" t="n"/>
      <c r="T523" s="31" t="n"/>
      <c r="U523" s="31" t="n"/>
      <c r="V523" s="31" t="n"/>
      <c r="W523" s="30" t="n"/>
      <c r="X523" s="31" t="n"/>
      <c r="Y523" s="35" t="n"/>
      <c r="Z523" s="35" t="n"/>
      <c r="AA523" s="35" t="n"/>
      <c r="AB523" s="35" t="n"/>
      <c r="AC523" s="35" t="n"/>
      <c r="AD523" s="35" t="n"/>
      <c r="AE523" s="35" t="n"/>
      <c r="AF523" s="35" t="n"/>
      <c r="AG523" s="36">
        <f>IF(A523="","",IF(V523&lt;&gt;"",V523-B523,TODAY()-B523))</f>
        <v/>
      </c>
      <c r="AH523" s="36">
        <f>IF(OR(A523="",I523=""),"",MAX(0,IF(V523&lt;&gt;"",V523-I523,TODAY()-I523)))</f>
        <v/>
      </c>
      <c r="AI523" s="37">
        <f>IF(A523="","",IF(OR(K523="Closed",V523&lt;&gt;""),"Closed",IF(AH523&gt;=AgeCrit,"Critical",IF(AH523&gt;=AgeFu,"For Follow-up",IF(AH523&gt;=AgeMonitor,"Monitor","Within Standard")))))</f>
        <v/>
      </c>
      <c r="AJ523" s="38">
        <f>IF(A523="","",IFERROR(INDEX(StgPct,MATCH(H523,StgList,0)),0))</f>
        <v/>
      </c>
      <c r="AK523" s="38">
        <f>IF(A523="","",IFERROR(COUNTIF(Y523:AF523,"Y")/(COUNTIF(Y523:AF523,"Y")+COUNTIF(Y523:AF523,"N")),0))</f>
        <v/>
      </c>
      <c r="AL523" s="36">
        <f>IF(OR(A523="",X523=""),"",MAX(0,IF(V523&lt;&gt;"",V523,TODAY())-X523))</f>
        <v/>
      </c>
      <c r="AM523" s="32" t="n"/>
      <c r="AN523" s="33">
        <f>IF(A523="","",LOWER(AI523)&amp;"|"&amp;AH523&amp;"|"&amp;AJ523&amp;"|"&amp;AK523)</f>
        <v/>
      </c>
      <c r="AO523" s="33">
        <f>IF(OR(A523="",T523=""),"",T523-TODAY())</f>
        <v/>
      </c>
      <c r="AP523" s="33">
        <f>IF(OR(A523="",V523&lt;&gt;""),"",(TODAY()-B523)+ROW()/1000000)</f>
        <v/>
      </c>
    </row>
    <row r="524" ht="27" customHeight="1">
      <c r="A524" s="30" t="n"/>
      <c r="B524" s="31" t="n"/>
      <c r="C524" s="32" t="n"/>
      <c r="D524" s="32" t="n"/>
      <c r="E524" s="32" t="n"/>
      <c r="F524" s="32" t="n"/>
      <c r="G524" s="33">
        <f>IF(A524="","",IFERROR(INDEX(OffCat,MATCH(F524,OffList,0)),"Unlisted"))</f>
        <v/>
      </c>
      <c r="H524" s="30" t="n"/>
      <c r="I524" s="31" t="n"/>
      <c r="J524" s="34" t="n"/>
      <c r="K524" s="34" t="n"/>
      <c r="L524" s="34" t="n"/>
      <c r="M524" s="30" t="n"/>
      <c r="N524" s="30" t="n"/>
      <c r="O524" s="30" t="n"/>
      <c r="P524" s="30" t="n"/>
      <c r="Q524" s="31" t="n"/>
      <c r="R524" s="31" t="n"/>
      <c r="S524" s="31" t="n"/>
      <c r="T524" s="31" t="n"/>
      <c r="U524" s="31" t="n"/>
      <c r="V524" s="31" t="n"/>
      <c r="W524" s="30" t="n"/>
      <c r="X524" s="31" t="n"/>
      <c r="Y524" s="35" t="n"/>
      <c r="Z524" s="35" t="n"/>
      <c r="AA524" s="35" t="n"/>
      <c r="AB524" s="35" t="n"/>
      <c r="AC524" s="35" t="n"/>
      <c r="AD524" s="35" t="n"/>
      <c r="AE524" s="35" t="n"/>
      <c r="AF524" s="35" t="n"/>
      <c r="AG524" s="36">
        <f>IF(A524="","",IF(V524&lt;&gt;"",V524-B524,TODAY()-B524))</f>
        <v/>
      </c>
      <c r="AH524" s="36">
        <f>IF(OR(A524="",I524=""),"",MAX(0,IF(V524&lt;&gt;"",V524-I524,TODAY()-I524)))</f>
        <v/>
      </c>
      <c r="AI524" s="37">
        <f>IF(A524="","",IF(OR(K524="Closed",V524&lt;&gt;""),"Closed",IF(AH524&gt;=AgeCrit,"Critical",IF(AH524&gt;=AgeFu,"For Follow-up",IF(AH524&gt;=AgeMonitor,"Monitor","Within Standard")))))</f>
        <v/>
      </c>
      <c r="AJ524" s="38">
        <f>IF(A524="","",IFERROR(INDEX(StgPct,MATCH(H524,StgList,0)),0))</f>
        <v/>
      </c>
      <c r="AK524" s="38">
        <f>IF(A524="","",IFERROR(COUNTIF(Y524:AF524,"Y")/(COUNTIF(Y524:AF524,"Y")+COUNTIF(Y524:AF524,"N")),0))</f>
        <v/>
      </c>
      <c r="AL524" s="36">
        <f>IF(OR(A524="",X524=""),"",MAX(0,IF(V524&lt;&gt;"",V524,TODAY())-X524))</f>
        <v/>
      </c>
      <c r="AM524" s="32" t="n"/>
      <c r="AN524" s="33">
        <f>IF(A524="","",LOWER(AI524)&amp;"|"&amp;AH524&amp;"|"&amp;AJ524&amp;"|"&amp;AK524)</f>
        <v/>
      </c>
      <c r="AO524" s="33">
        <f>IF(OR(A524="",T524=""),"",T524-TODAY())</f>
        <v/>
      </c>
      <c r="AP524" s="33">
        <f>IF(OR(A524="",V524&lt;&gt;""),"",(TODAY()-B524)+ROW()/1000000)</f>
        <v/>
      </c>
    </row>
    <row r="525" ht="27" customHeight="1">
      <c r="A525" s="30" t="n"/>
      <c r="B525" s="31" t="n"/>
      <c r="C525" s="32" t="n"/>
      <c r="D525" s="32" t="n"/>
      <c r="E525" s="32" t="n"/>
      <c r="F525" s="32" t="n"/>
      <c r="G525" s="33">
        <f>IF(A525="","",IFERROR(INDEX(OffCat,MATCH(F525,OffList,0)),"Unlisted"))</f>
        <v/>
      </c>
      <c r="H525" s="30" t="n"/>
      <c r="I525" s="31" t="n"/>
      <c r="J525" s="34" t="n"/>
      <c r="K525" s="34" t="n"/>
      <c r="L525" s="34" t="n"/>
      <c r="M525" s="30" t="n"/>
      <c r="N525" s="30" t="n"/>
      <c r="O525" s="30" t="n"/>
      <c r="P525" s="30" t="n"/>
      <c r="Q525" s="31" t="n"/>
      <c r="R525" s="31" t="n"/>
      <c r="S525" s="31" t="n"/>
      <c r="T525" s="31" t="n"/>
      <c r="U525" s="31" t="n"/>
      <c r="V525" s="31" t="n"/>
      <c r="W525" s="30" t="n"/>
      <c r="X525" s="31" t="n"/>
      <c r="Y525" s="35" t="n"/>
      <c r="Z525" s="35" t="n"/>
      <c r="AA525" s="35" t="n"/>
      <c r="AB525" s="35" t="n"/>
      <c r="AC525" s="35" t="n"/>
      <c r="AD525" s="35" t="n"/>
      <c r="AE525" s="35" t="n"/>
      <c r="AF525" s="35" t="n"/>
      <c r="AG525" s="36">
        <f>IF(A525="","",IF(V525&lt;&gt;"",V525-B525,TODAY()-B525))</f>
        <v/>
      </c>
      <c r="AH525" s="36">
        <f>IF(OR(A525="",I525=""),"",MAX(0,IF(V525&lt;&gt;"",V525-I525,TODAY()-I525)))</f>
        <v/>
      </c>
      <c r="AI525" s="37">
        <f>IF(A525="","",IF(OR(K525="Closed",V525&lt;&gt;""),"Closed",IF(AH525&gt;=AgeCrit,"Critical",IF(AH525&gt;=AgeFu,"For Follow-up",IF(AH525&gt;=AgeMonitor,"Monitor","Within Standard")))))</f>
        <v/>
      </c>
      <c r="AJ525" s="38">
        <f>IF(A525="","",IFERROR(INDEX(StgPct,MATCH(H525,StgList,0)),0))</f>
        <v/>
      </c>
      <c r="AK525" s="38">
        <f>IF(A525="","",IFERROR(COUNTIF(Y525:AF525,"Y")/(COUNTIF(Y525:AF525,"Y")+COUNTIF(Y525:AF525,"N")),0))</f>
        <v/>
      </c>
      <c r="AL525" s="36">
        <f>IF(OR(A525="",X525=""),"",MAX(0,IF(V525&lt;&gt;"",V525,TODAY())-X525))</f>
        <v/>
      </c>
      <c r="AM525" s="32" t="n"/>
      <c r="AN525" s="33">
        <f>IF(A525="","",LOWER(AI525)&amp;"|"&amp;AH525&amp;"|"&amp;AJ525&amp;"|"&amp;AK525)</f>
        <v/>
      </c>
      <c r="AO525" s="33">
        <f>IF(OR(A525="",T525=""),"",T525-TODAY())</f>
        <v/>
      </c>
      <c r="AP525" s="33">
        <f>IF(OR(A525="",V525&lt;&gt;""),"",(TODAY()-B525)+ROW()/1000000)</f>
        <v/>
      </c>
    </row>
    <row r="526" ht="27" customHeight="1">
      <c r="A526" s="30" t="n"/>
      <c r="B526" s="31" t="n"/>
      <c r="C526" s="32" t="n"/>
      <c r="D526" s="32" t="n"/>
      <c r="E526" s="32" t="n"/>
      <c r="F526" s="32" t="n"/>
      <c r="G526" s="33">
        <f>IF(A526="","",IFERROR(INDEX(OffCat,MATCH(F526,OffList,0)),"Unlisted"))</f>
        <v/>
      </c>
      <c r="H526" s="30" t="n"/>
      <c r="I526" s="31" t="n"/>
      <c r="J526" s="34" t="n"/>
      <c r="K526" s="34" t="n"/>
      <c r="L526" s="34" t="n"/>
      <c r="M526" s="30" t="n"/>
      <c r="N526" s="30" t="n"/>
      <c r="O526" s="30" t="n"/>
      <c r="P526" s="30" t="n"/>
      <c r="Q526" s="31" t="n"/>
      <c r="R526" s="31" t="n"/>
      <c r="S526" s="31" t="n"/>
      <c r="T526" s="31" t="n"/>
      <c r="U526" s="31" t="n"/>
      <c r="V526" s="31" t="n"/>
      <c r="W526" s="30" t="n"/>
      <c r="X526" s="31" t="n"/>
      <c r="Y526" s="35" t="n"/>
      <c r="Z526" s="35" t="n"/>
      <c r="AA526" s="35" t="n"/>
      <c r="AB526" s="35" t="n"/>
      <c r="AC526" s="35" t="n"/>
      <c r="AD526" s="35" t="n"/>
      <c r="AE526" s="35" t="n"/>
      <c r="AF526" s="35" t="n"/>
      <c r="AG526" s="36">
        <f>IF(A526="","",IF(V526&lt;&gt;"",V526-B526,TODAY()-B526))</f>
        <v/>
      </c>
      <c r="AH526" s="36">
        <f>IF(OR(A526="",I526=""),"",MAX(0,IF(V526&lt;&gt;"",V526-I526,TODAY()-I526)))</f>
        <v/>
      </c>
      <c r="AI526" s="37">
        <f>IF(A526="","",IF(OR(K526="Closed",V526&lt;&gt;""),"Closed",IF(AH526&gt;=AgeCrit,"Critical",IF(AH526&gt;=AgeFu,"For Follow-up",IF(AH526&gt;=AgeMonitor,"Monitor","Within Standard")))))</f>
        <v/>
      </c>
      <c r="AJ526" s="38">
        <f>IF(A526="","",IFERROR(INDEX(StgPct,MATCH(H526,StgList,0)),0))</f>
        <v/>
      </c>
      <c r="AK526" s="38">
        <f>IF(A526="","",IFERROR(COUNTIF(Y526:AF526,"Y")/(COUNTIF(Y526:AF526,"Y")+COUNTIF(Y526:AF526,"N")),0))</f>
        <v/>
      </c>
      <c r="AL526" s="36">
        <f>IF(OR(A526="",X526=""),"",MAX(0,IF(V526&lt;&gt;"",V526,TODAY())-X526))</f>
        <v/>
      </c>
      <c r="AM526" s="32" t="n"/>
      <c r="AN526" s="33">
        <f>IF(A526="","",LOWER(AI526)&amp;"|"&amp;AH526&amp;"|"&amp;AJ526&amp;"|"&amp;AK526)</f>
        <v/>
      </c>
      <c r="AO526" s="33">
        <f>IF(OR(A526="",T526=""),"",T526-TODAY())</f>
        <v/>
      </c>
      <c r="AP526" s="33">
        <f>IF(OR(A526="",V526&lt;&gt;""),"",(TODAY()-B526)+ROW()/1000000)</f>
        <v/>
      </c>
    </row>
    <row r="527" ht="27" customHeight="1">
      <c r="A527" s="30" t="n"/>
      <c r="B527" s="31" t="n"/>
      <c r="C527" s="32" t="n"/>
      <c r="D527" s="32" t="n"/>
      <c r="E527" s="32" t="n"/>
      <c r="F527" s="32" t="n"/>
      <c r="G527" s="33">
        <f>IF(A527="","",IFERROR(INDEX(OffCat,MATCH(F527,OffList,0)),"Unlisted"))</f>
        <v/>
      </c>
      <c r="H527" s="30" t="n"/>
      <c r="I527" s="31" t="n"/>
      <c r="J527" s="34" t="n"/>
      <c r="K527" s="34" t="n"/>
      <c r="L527" s="34" t="n"/>
      <c r="M527" s="30" t="n"/>
      <c r="N527" s="30" t="n"/>
      <c r="O527" s="30" t="n"/>
      <c r="P527" s="30" t="n"/>
      <c r="Q527" s="31" t="n"/>
      <c r="R527" s="31" t="n"/>
      <c r="S527" s="31" t="n"/>
      <c r="T527" s="31" t="n"/>
      <c r="U527" s="31" t="n"/>
      <c r="V527" s="31" t="n"/>
      <c r="W527" s="30" t="n"/>
      <c r="X527" s="31" t="n"/>
      <c r="Y527" s="35" t="n"/>
      <c r="Z527" s="35" t="n"/>
      <c r="AA527" s="35" t="n"/>
      <c r="AB527" s="35" t="n"/>
      <c r="AC527" s="35" t="n"/>
      <c r="AD527" s="35" t="n"/>
      <c r="AE527" s="35" t="n"/>
      <c r="AF527" s="35" t="n"/>
      <c r="AG527" s="36">
        <f>IF(A527="","",IF(V527&lt;&gt;"",V527-B527,TODAY()-B527))</f>
        <v/>
      </c>
      <c r="AH527" s="36">
        <f>IF(OR(A527="",I527=""),"",MAX(0,IF(V527&lt;&gt;"",V527-I527,TODAY()-I527)))</f>
        <v/>
      </c>
      <c r="AI527" s="37">
        <f>IF(A527="","",IF(OR(K527="Closed",V527&lt;&gt;""),"Closed",IF(AH527&gt;=AgeCrit,"Critical",IF(AH527&gt;=AgeFu,"For Follow-up",IF(AH527&gt;=AgeMonitor,"Monitor","Within Standard")))))</f>
        <v/>
      </c>
      <c r="AJ527" s="38">
        <f>IF(A527="","",IFERROR(INDEX(StgPct,MATCH(H527,StgList,0)),0))</f>
        <v/>
      </c>
      <c r="AK527" s="38">
        <f>IF(A527="","",IFERROR(COUNTIF(Y527:AF527,"Y")/(COUNTIF(Y527:AF527,"Y")+COUNTIF(Y527:AF527,"N")),0))</f>
        <v/>
      </c>
      <c r="AL527" s="36">
        <f>IF(OR(A527="",X527=""),"",MAX(0,IF(V527&lt;&gt;"",V527,TODAY())-X527))</f>
        <v/>
      </c>
      <c r="AM527" s="32" t="n"/>
      <c r="AN527" s="33">
        <f>IF(A527="","",LOWER(AI527)&amp;"|"&amp;AH527&amp;"|"&amp;AJ527&amp;"|"&amp;AK527)</f>
        <v/>
      </c>
      <c r="AO527" s="33">
        <f>IF(OR(A527="",T527=""),"",T527-TODAY())</f>
        <v/>
      </c>
      <c r="AP527" s="33">
        <f>IF(OR(A527="",V527&lt;&gt;""),"",(TODAY()-B527)+ROW()/1000000)</f>
        <v/>
      </c>
    </row>
    <row r="528" ht="27" customHeight="1">
      <c r="A528" s="30" t="n"/>
      <c r="B528" s="31" t="n"/>
      <c r="C528" s="32" t="n"/>
      <c r="D528" s="32" t="n"/>
      <c r="E528" s="32" t="n"/>
      <c r="F528" s="32" t="n"/>
      <c r="G528" s="33">
        <f>IF(A528="","",IFERROR(INDEX(OffCat,MATCH(F528,OffList,0)),"Unlisted"))</f>
        <v/>
      </c>
      <c r="H528" s="30" t="n"/>
      <c r="I528" s="31" t="n"/>
      <c r="J528" s="34" t="n"/>
      <c r="K528" s="34" t="n"/>
      <c r="L528" s="34" t="n"/>
      <c r="M528" s="30" t="n"/>
      <c r="N528" s="30" t="n"/>
      <c r="O528" s="30" t="n"/>
      <c r="P528" s="30" t="n"/>
      <c r="Q528" s="31" t="n"/>
      <c r="R528" s="31" t="n"/>
      <c r="S528" s="31" t="n"/>
      <c r="T528" s="31" t="n"/>
      <c r="U528" s="31" t="n"/>
      <c r="V528" s="31" t="n"/>
      <c r="W528" s="30" t="n"/>
      <c r="X528" s="31" t="n"/>
      <c r="Y528" s="35" t="n"/>
      <c r="Z528" s="35" t="n"/>
      <c r="AA528" s="35" t="n"/>
      <c r="AB528" s="35" t="n"/>
      <c r="AC528" s="35" t="n"/>
      <c r="AD528" s="35" t="n"/>
      <c r="AE528" s="35" t="n"/>
      <c r="AF528" s="35" t="n"/>
      <c r="AG528" s="36">
        <f>IF(A528="","",IF(V528&lt;&gt;"",V528-B528,TODAY()-B528))</f>
        <v/>
      </c>
      <c r="AH528" s="36">
        <f>IF(OR(A528="",I528=""),"",MAX(0,IF(V528&lt;&gt;"",V528-I528,TODAY()-I528)))</f>
        <v/>
      </c>
      <c r="AI528" s="37">
        <f>IF(A528="","",IF(OR(K528="Closed",V528&lt;&gt;""),"Closed",IF(AH528&gt;=AgeCrit,"Critical",IF(AH528&gt;=AgeFu,"For Follow-up",IF(AH528&gt;=AgeMonitor,"Monitor","Within Standard")))))</f>
        <v/>
      </c>
      <c r="AJ528" s="38">
        <f>IF(A528="","",IFERROR(INDEX(StgPct,MATCH(H528,StgList,0)),0))</f>
        <v/>
      </c>
      <c r="AK528" s="38">
        <f>IF(A528="","",IFERROR(COUNTIF(Y528:AF528,"Y")/(COUNTIF(Y528:AF528,"Y")+COUNTIF(Y528:AF528,"N")),0))</f>
        <v/>
      </c>
      <c r="AL528" s="36">
        <f>IF(OR(A528="",X528=""),"",MAX(0,IF(V528&lt;&gt;"",V528,TODAY())-X528))</f>
        <v/>
      </c>
      <c r="AM528" s="32" t="n"/>
      <c r="AN528" s="33">
        <f>IF(A528="","",LOWER(AI528)&amp;"|"&amp;AH528&amp;"|"&amp;AJ528&amp;"|"&amp;AK528)</f>
        <v/>
      </c>
      <c r="AO528" s="33">
        <f>IF(OR(A528="",T528=""),"",T528-TODAY())</f>
        <v/>
      </c>
      <c r="AP528" s="33">
        <f>IF(OR(A528="",V528&lt;&gt;""),"",(TODAY()-B528)+ROW()/1000000)</f>
        <v/>
      </c>
    </row>
    <row r="529" ht="27" customHeight="1">
      <c r="A529" s="30" t="n"/>
      <c r="B529" s="31" t="n"/>
      <c r="C529" s="32" t="n"/>
      <c r="D529" s="32" t="n"/>
      <c r="E529" s="32" t="n"/>
      <c r="F529" s="32" t="n"/>
      <c r="G529" s="33">
        <f>IF(A529="","",IFERROR(INDEX(OffCat,MATCH(F529,OffList,0)),"Unlisted"))</f>
        <v/>
      </c>
      <c r="H529" s="30" t="n"/>
      <c r="I529" s="31" t="n"/>
      <c r="J529" s="34" t="n"/>
      <c r="K529" s="34" t="n"/>
      <c r="L529" s="34" t="n"/>
      <c r="M529" s="30" t="n"/>
      <c r="N529" s="30" t="n"/>
      <c r="O529" s="30" t="n"/>
      <c r="P529" s="30" t="n"/>
      <c r="Q529" s="31" t="n"/>
      <c r="R529" s="31" t="n"/>
      <c r="S529" s="31" t="n"/>
      <c r="T529" s="31" t="n"/>
      <c r="U529" s="31" t="n"/>
      <c r="V529" s="31" t="n"/>
      <c r="W529" s="30" t="n"/>
      <c r="X529" s="31" t="n"/>
      <c r="Y529" s="35" t="n"/>
      <c r="Z529" s="35" t="n"/>
      <c r="AA529" s="35" t="n"/>
      <c r="AB529" s="35" t="n"/>
      <c r="AC529" s="35" t="n"/>
      <c r="AD529" s="35" t="n"/>
      <c r="AE529" s="35" t="n"/>
      <c r="AF529" s="35" t="n"/>
      <c r="AG529" s="36">
        <f>IF(A529="","",IF(V529&lt;&gt;"",V529-B529,TODAY()-B529))</f>
        <v/>
      </c>
      <c r="AH529" s="36">
        <f>IF(OR(A529="",I529=""),"",MAX(0,IF(V529&lt;&gt;"",V529-I529,TODAY()-I529)))</f>
        <v/>
      </c>
      <c r="AI529" s="37">
        <f>IF(A529="","",IF(OR(K529="Closed",V529&lt;&gt;""),"Closed",IF(AH529&gt;=AgeCrit,"Critical",IF(AH529&gt;=AgeFu,"For Follow-up",IF(AH529&gt;=AgeMonitor,"Monitor","Within Standard")))))</f>
        <v/>
      </c>
      <c r="AJ529" s="38">
        <f>IF(A529="","",IFERROR(INDEX(StgPct,MATCH(H529,StgList,0)),0))</f>
        <v/>
      </c>
      <c r="AK529" s="38">
        <f>IF(A529="","",IFERROR(COUNTIF(Y529:AF529,"Y")/(COUNTIF(Y529:AF529,"Y")+COUNTIF(Y529:AF529,"N")),0))</f>
        <v/>
      </c>
      <c r="AL529" s="36">
        <f>IF(OR(A529="",X529=""),"",MAX(0,IF(V529&lt;&gt;"",V529,TODAY())-X529))</f>
        <v/>
      </c>
      <c r="AM529" s="32" t="n"/>
      <c r="AN529" s="33">
        <f>IF(A529="","",LOWER(AI529)&amp;"|"&amp;AH529&amp;"|"&amp;AJ529&amp;"|"&amp;AK529)</f>
        <v/>
      </c>
      <c r="AO529" s="33">
        <f>IF(OR(A529="",T529=""),"",T529-TODAY())</f>
        <v/>
      </c>
      <c r="AP529" s="33">
        <f>IF(OR(A529="",V529&lt;&gt;""),"",(TODAY()-B529)+ROW()/1000000)</f>
        <v/>
      </c>
    </row>
    <row r="530" ht="27" customHeight="1">
      <c r="A530" s="30" t="n"/>
      <c r="B530" s="31" t="n"/>
      <c r="C530" s="32" t="n"/>
      <c r="D530" s="32" t="n"/>
      <c r="E530" s="32" t="n"/>
      <c r="F530" s="32" t="n"/>
      <c r="G530" s="33">
        <f>IF(A530="","",IFERROR(INDEX(OffCat,MATCH(F530,OffList,0)),"Unlisted"))</f>
        <v/>
      </c>
      <c r="H530" s="30" t="n"/>
      <c r="I530" s="31" t="n"/>
      <c r="J530" s="34" t="n"/>
      <c r="K530" s="34" t="n"/>
      <c r="L530" s="34" t="n"/>
      <c r="M530" s="30" t="n"/>
      <c r="N530" s="30" t="n"/>
      <c r="O530" s="30" t="n"/>
      <c r="P530" s="30" t="n"/>
      <c r="Q530" s="31" t="n"/>
      <c r="R530" s="31" t="n"/>
      <c r="S530" s="31" t="n"/>
      <c r="T530" s="31" t="n"/>
      <c r="U530" s="31" t="n"/>
      <c r="V530" s="31" t="n"/>
      <c r="W530" s="30" t="n"/>
      <c r="X530" s="31" t="n"/>
      <c r="Y530" s="35" t="n"/>
      <c r="Z530" s="35" t="n"/>
      <c r="AA530" s="35" t="n"/>
      <c r="AB530" s="35" t="n"/>
      <c r="AC530" s="35" t="n"/>
      <c r="AD530" s="35" t="n"/>
      <c r="AE530" s="35" t="n"/>
      <c r="AF530" s="35" t="n"/>
      <c r="AG530" s="36">
        <f>IF(A530="","",IF(V530&lt;&gt;"",V530-B530,TODAY()-B530))</f>
        <v/>
      </c>
      <c r="AH530" s="36">
        <f>IF(OR(A530="",I530=""),"",MAX(0,IF(V530&lt;&gt;"",V530-I530,TODAY()-I530)))</f>
        <v/>
      </c>
      <c r="AI530" s="37">
        <f>IF(A530="","",IF(OR(K530="Closed",V530&lt;&gt;""),"Closed",IF(AH530&gt;=AgeCrit,"Critical",IF(AH530&gt;=AgeFu,"For Follow-up",IF(AH530&gt;=AgeMonitor,"Monitor","Within Standard")))))</f>
        <v/>
      </c>
      <c r="AJ530" s="38">
        <f>IF(A530="","",IFERROR(INDEX(StgPct,MATCH(H530,StgList,0)),0))</f>
        <v/>
      </c>
      <c r="AK530" s="38">
        <f>IF(A530="","",IFERROR(COUNTIF(Y530:AF530,"Y")/(COUNTIF(Y530:AF530,"Y")+COUNTIF(Y530:AF530,"N")),0))</f>
        <v/>
      </c>
      <c r="AL530" s="36">
        <f>IF(OR(A530="",X530=""),"",MAX(0,IF(V530&lt;&gt;"",V530,TODAY())-X530))</f>
        <v/>
      </c>
      <c r="AM530" s="32" t="n"/>
      <c r="AN530" s="33">
        <f>IF(A530="","",LOWER(AI530)&amp;"|"&amp;AH530&amp;"|"&amp;AJ530&amp;"|"&amp;AK530)</f>
        <v/>
      </c>
      <c r="AO530" s="33">
        <f>IF(OR(A530="",T530=""),"",T530-TODAY())</f>
        <v/>
      </c>
      <c r="AP530" s="33">
        <f>IF(OR(A530="",V530&lt;&gt;""),"",(TODAY()-B530)+ROW()/1000000)</f>
        <v/>
      </c>
    </row>
    <row r="531" ht="27" customHeight="1">
      <c r="A531" s="30" t="n"/>
      <c r="B531" s="31" t="n"/>
      <c r="C531" s="32" t="n"/>
      <c r="D531" s="32" t="n"/>
      <c r="E531" s="32" t="n"/>
      <c r="F531" s="32" t="n"/>
      <c r="G531" s="33">
        <f>IF(A531="","",IFERROR(INDEX(OffCat,MATCH(F531,OffList,0)),"Unlisted"))</f>
        <v/>
      </c>
      <c r="H531" s="30" t="n"/>
      <c r="I531" s="31" t="n"/>
      <c r="J531" s="34" t="n"/>
      <c r="K531" s="34" t="n"/>
      <c r="L531" s="34" t="n"/>
      <c r="M531" s="30" t="n"/>
      <c r="N531" s="30" t="n"/>
      <c r="O531" s="30" t="n"/>
      <c r="P531" s="30" t="n"/>
      <c r="Q531" s="31" t="n"/>
      <c r="R531" s="31" t="n"/>
      <c r="S531" s="31" t="n"/>
      <c r="T531" s="31" t="n"/>
      <c r="U531" s="31" t="n"/>
      <c r="V531" s="31" t="n"/>
      <c r="W531" s="30" t="n"/>
      <c r="X531" s="31" t="n"/>
      <c r="Y531" s="35" t="n"/>
      <c r="Z531" s="35" t="n"/>
      <c r="AA531" s="35" t="n"/>
      <c r="AB531" s="35" t="n"/>
      <c r="AC531" s="35" t="n"/>
      <c r="AD531" s="35" t="n"/>
      <c r="AE531" s="35" t="n"/>
      <c r="AF531" s="35" t="n"/>
      <c r="AG531" s="36">
        <f>IF(A531="","",IF(V531&lt;&gt;"",V531-B531,TODAY()-B531))</f>
        <v/>
      </c>
      <c r="AH531" s="36">
        <f>IF(OR(A531="",I531=""),"",MAX(0,IF(V531&lt;&gt;"",V531-I531,TODAY()-I531)))</f>
        <v/>
      </c>
      <c r="AI531" s="37">
        <f>IF(A531="","",IF(OR(K531="Closed",V531&lt;&gt;""),"Closed",IF(AH531&gt;=AgeCrit,"Critical",IF(AH531&gt;=AgeFu,"For Follow-up",IF(AH531&gt;=AgeMonitor,"Monitor","Within Standard")))))</f>
        <v/>
      </c>
      <c r="AJ531" s="38">
        <f>IF(A531="","",IFERROR(INDEX(StgPct,MATCH(H531,StgList,0)),0))</f>
        <v/>
      </c>
      <c r="AK531" s="38">
        <f>IF(A531="","",IFERROR(COUNTIF(Y531:AF531,"Y")/(COUNTIF(Y531:AF531,"Y")+COUNTIF(Y531:AF531,"N")),0))</f>
        <v/>
      </c>
      <c r="AL531" s="36">
        <f>IF(OR(A531="",X531=""),"",MAX(0,IF(V531&lt;&gt;"",V531,TODAY())-X531))</f>
        <v/>
      </c>
      <c r="AM531" s="32" t="n"/>
      <c r="AN531" s="33">
        <f>IF(A531="","",LOWER(AI531)&amp;"|"&amp;AH531&amp;"|"&amp;AJ531&amp;"|"&amp;AK531)</f>
        <v/>
      </c>
      <c r="AO531" s="33">
        <f>IF(OR(A531="",T531=""),"",T531-TODAY())</f>
        <v/>
      </c>
      <c r="AP531" s="33">
        <f>IF(OR(A531="",V531&lt;&gt;""),"",(TODAY()-B531)+ROW()/1000000)</f>
        <v/>
      </c>
    </row>
    <row r="532" ht="27" customHeight="1">
      <c r="A532" s="30" t="n"/>
      <c r="B532" s="31" t="n"/>
      <c r="C532" s="32" t="n"/>
      <c r="D532" s="32" t="n"/>
      <c r="E532" s="32" t="n"/>
      <c r="F532" s="32" t="n"/>
      <c r="G532" s="33">
        <f>IF(A532="","",IFERROR(INDEX(OffCat,MATCH(F532,OffList,0)),"Unlisted"))</f>
        <v/>
      </c>
      <c r="H532" s="30" t="n"/>
      <c r="I532" s="31" t="n"/>
      <c r="J532" s="34" t="n"/>
      <c r="K532" s="34" t="n"/>
      <c r="L532" s="34" t="n"/>
      <c r="M532" s="30" t="n"/>
      <c r="N532" s="30" t="n"/>
      <c r="O532" s="30" t="n"/>
      <c r="P532" s="30" t="n"/>
      <c r="Q532" s="31" t="n"/>
      <c r="R532" s="31" t="n"/>
      <c r="S532" s="31" t="n"/>
      <c r="T532" s="31" t="n"/>
      <c r="U532" s="31" t="n"/>
      <c r="V532" s="31" t="n"/>
      <c r="W532" s="30" t="n"/>
      <c r="X532" s="31" t="n"/>
      <c r="Y532" s="35" t="n"/>
      <c r="Z532" s="35" t="n"/>
      <c r="AA532" s="35" t="n"/>
      <c r="AB532" s="35" t="n"/>
      <c r="AC532" s="35" t="n"/>
      <c r="AD532" s="35" t="n"/>
      <c r="AE532" s="35" t="n"/>
      <c r="AF532" s="35" t="n"/>
      <c r="AG532" s="36">
        <f>IF(A532="","",IF(V532&lt;&gt;"",V532-B532,TODAY()-B532))</f>
        <v/>
      </c>
      <c r="AH532" s="36">
        <f>IF(OR(A532="",I532=""),"",MAX(0,IF(V532&lt;&gt;"",V532-I532,TODAY()-I532)))</f>
        <v/>
      </c>
      <c r="AI532" s="37">
        <f>IF(A532="","",IF(OR(K532="Closed",V532&lt;&gt;""),"Closed",IF(AH532&gt;=AgeCrit,"Critical",IF(AH532&gt;=AgeFu,"For Follow-up",IF(AH532&gt;=AgeMonitor,"Monitor","Within Standard")))))</f>
        <v/>
      </c>
      <c r="AJ532" s="38">
        <f>IF(A532="","",IFERROR(INDEX(StgPct,MATCH(H532,StgList,0)),0))</f>
        <v/>
      </c>
      <c r="AK532" s="38">
        <f>IF(A532="","",IFERROR(COUNTIF(Y532:AF532,"Y")/(COUNTIF(Y532:AF532,"Y")+COUNTIF(Y532:AF532,"N")),0))</f>
        <v/>
      </c>
      <c r="AL532" s="36">
        <f>IF(OR(A532="",X532=""),"",MAX(0,IF(V532&lt;&gt;"",V532,TODAY())-X532))</f>
        <v/>
      </c>
      <c r="AM532" s="32" t="n"/>
      <c r="AN532" s="33">
        <f>IF(A532="","",LOWER(AI532)&amp;"|"&amp;AH532&amp;"|"&amp;AJ532&amp;"|"&amp;AK532)</f>
        <v/>
      </c>
      <c r="AO532" s="33">
        <f>IF(OR(A532="",T532=""),"",T532-TODAY())</f>
        <v/>
      </c>
      <c r="AP532" s="33">
        <f>IF(OR(A532="",V532&lt;&gt;""),"",(TODAY()-B532)+ROW()/1000000)</f>
        <v/>
      </c>
    </row>
    <row r="533" ht="27" customHeight="1">
      <c r="A533" s="30" t="n"/>
      <c r="B533" s="31" t="n"/>
      <c r="C533" s="32" t="n"/>
      <c r="D533" s="32" t="n"/>
      <c r="E533" s="32" t="n"/>
      <c r="F533" s="32" t="n"/>
      <c r="G533" s="33">
        <f>IF(A533="","",IFERROR(INDEX(OffCat,MATCH(F533,OffList,0)),"Unlisted"))</f>
        <v/>
      </c>
      <c r="H533" s="30" t="n"/>
      <c r="I533" s="31" t="n"/>
      <c r="J533" s="34" t="n"/>
      <c r="K533" s="34" t="n"/>
      <c r="L533" s="34" t="n"/>
      <c r="M533" s="30" t="n"/>
      <c r="N533" s="30" t="n"/>
      <c r="O533" s="30" t="n"/>
      <c r="P533" s="30" t="n"/>
      <c r="Q533" s="31" t="n"/>
      <c r="R533" s="31" t="n"/>
      <c r="S533" s="31" t="n"/>
      <c r="T533" s="31" t="n"/>
      <c r="U533" s="31" t="n"/>
      <c r="V533" s="31" t="n"/>
      <c r="W533" s="30" t="n"/>
      <c r="X533" s="31" t="n"/>
      <c r="Y533" s="35" t="n"/>
      <c r="Z533" s="35" t="n"/>
      <c r="AA533" s="35" t="n"/>
      <c r="AB533" s="35" t="n"/>
      <c r="AC533" s="35" t="n"/>
      <c r="AD533" s="35" t="n"/>
      <c r="AE533" s="35" t="n"/>
      <c r="AF533" s="35" t="n"/>
      <c r="AG533" s="36">
        <f>IF(A533="","",IF(V533&lt;&gt;"",V533-B533,TODAY()-B533))</f>
        <v/>
      </c>
      <c r="AH533" s="36">
        <f>IF(OR(A533="",I533=""),"",MAX(0,IF(V533&lt;&gt;"",V533-I533,TODAY()-I533)))</f>
        <v/>
      </c>
      <c r="AI533" s="37">
        <f>IF(A533="","",IF(OR(K533="Closed",V533&lt;&gt;""),"Closed",IF(AH533&gt;=AgeCrit,"Critical",IF(AH533&gt;=AgeFu,"For Follow-up",IF(AH533&gt;=AgeMonitor,"Monitor","Within Standard")))))</f>
        <v/>
      </c>
      <c r="AJ533" s="38">
        <f>IF(A533="","",IFERROR(INDEX(StgPct,MATCH(H533,StgList,0)),0))</f>
        <v/>
      </c>
      <c r="AK533" s="38">
        <f>IF(A533="","",IFERROR(COUNTIF(Y533:AF533,"Y")/(COUNTIF(Y533:AF533,"Y")+COUNTIF(Y533:AF533,"N")),0))</f>
        <v/>
      </c>
      <c r="AL533" s="36">
        <f>IF(OR(A533="",X533=""),"",MAX(0,IF(V533&lt;&gt;"",V533,TODAY())-X533))</f>
        <v/>
      </c>
      <c r="AM533" s="32" t="n"/>
      <c r="AN533" s="33">
        <f>IF(A533="","",LOWER(AI533)&amp;"|"&amp;AH533&amp;"|"&amp;AJ533&amp;"|"&amp;AK533)</f>
        <v/>
      </c>
      <c r="AO533" s="33">
        <f>IF(OR(A533="",T533=""),"",T533-TODAY())</f>
        <v/>
      </c>
      <c r="AP533" s="33">
        <f>IF(OR(A533="",V533&lt;&gt;""),"",(TODAY()-B533)+ROW()/1000000)</f>
        <v/>
      </c>
    </row>
    <row r="534" ht="27" customHeight="1">
      <c r="A534" s="30" t="n"/>
      <c r="B534" s="31" t="n"/>
      <c r="C534" s="32" t="n"/>
      <c r="D534" s="32" t="n"/>
      <c r="E534" s="32" t="n"/>
      <c r="F534" s="32" t="n"/>
      <c r="G534" s="33">
        <f>IF(A534="","",IFERROR(INDEX(OffCat,MATCH(F534,OffList,0)),"Unlisted"))</f>
        <v/>
      </c>
      <c r="H534" s="30" t="n"/>
      <c r="I534" s="31" t="n"/>
      <c r="J534" s="34" t="n"/>
      <c r="K534" s="34" t="n"/>
      <c r="L534" s="34" t="n"/>
      <c r="M534" s="30" t="n"/>
      <c r="N534" s="30" t="n"/>
      <c r="O534" s="30" t="n"/>
      <c r="P534" s="30" t="n"/>
      <c r="Q534" s="31" t="n"/>
      <c r="R534" s="31" t="n"/>
      <c r="S534" s="31" t="n"/>
      <c r="T534" s="31" t="n"/>
      <c r="U534" s="31" t="n"/>
      <c r="V534" s="31" t="n"/>
      <c r="W534" s="30" t="n"/>
      <c r="X534" s="31" t="n"/>
      <c r="Y534" s="35" t="n"/>
      <c r="Z534" s="35" t="n"/>
      <c r="AA534" s="35" t="n"/>
      <c r="AB534" s="35" t="n"/>
      <c r="AC534" s="35" t="n"/>
      <c r="AD534" s="35" t="n"/>
      <c r="AE534" s="35" t="n"/>
      <c r="AF534" s="35" t="n"/>
      <c r="AG534" s="36">
        <f>IF(A534="","",IF(V534&lt;&gt;"",V534-B534,TODAY()-B534))</f>
        <v/>
      </c>
      <c r="AH534" s="36">
        <f>IF(OR(A534="",I534=""),"",MAX(0,IF(V534&lt;&gt;"",V534-I534,TODAY()-I534)))</f>
        <v/>
      </c>
      <c r="AI534" s="37">
        <f>IF(A534="","",IF(OR(K534="Closed",V534&lt;&gt;""),"Closed",IF(AH534&gt;=AgeCrit,"Critical",IF(AH534&gt;=AgeFu,"For Follow-up",IF(AH534&gt;=AgeMonitor,"Monitor","Within Standard")))))</f>
        <v/>
      </c>
      <c r="AJ534" s="38">
        <f>IF(A534="","",IFERROR(INDEX(StgPct,MATCH(H534,StgList,0)),0))</f>
        <v/>
      </c>
      <c r="AK534" s="38">
        <f>IF(A534="","",IFERROR(COUNTIF(Y534:AF534,"Y")/(COUNTIF(Y534:AF534,"Y")+COUNTIF(Y534:AF534,"N")),0))</f>
        <v/>
      </c>
      <c r="AL534" s="36">
        <f>IF(OR(A534="",X534=""),"",MAX(0,IF(V534&lt;&gt;"",V534,TODAY())-X534))</f>
        <v/>
      </c>
      <c r="AM534" s="32" t="n"/>
      <c r="AN534" s="33">
        <f>IF(A534="","",LOWER(AI534)&amp;"|"&amp;AH534&amp;"|"&amp;AJ534&amp;"|"&amp;AK534)</f>
        <v/>
      </c>
      <c r="AO534" s="33">
        <f>IF(OR(A534="",T534=""),"",T534-TODAY())</f>
        <v/>
      </c>
      <c r="AP534" s="33">
        <f>IF(OR(A534="",V534&lt;&gt;""),"",(TODAY()-B534)+ROW()/1000000)</f>
        <v/>
      </c>
    </row>
    <row r="535" ht="27" customHeight="1">
      <c r="A535" s="30" t="n"/>
      <c r="B535" s="31" t="n"/>
      <c r="C535" s="32" t="n"/>
      <c r="D535" s="32" t="n"/>
      <c r="E535" s="32" t="n"/>
      <c r="F535" s="32" t="n"/>
      <c r="G535" s="33">
        <f>IF(A535="","",IFERROR(INDEX(OffCat,MATCH(F535,OffList,0)),"Unlisted"))</f>
        <v/>
      </c>
      <c r="H535" s="30" t="n"/>
      <c r="I535" s="31" t="n"/>
      <c r="J535" s="34" t="n"/>
      <c r="K535" s="34" t="n"/>
      <c r="L535" s="34" t="n"/>
      <c r="M535" s="30" t="n"/>
      <c r="N535" s="30" t="n"/>
      <c r="O535" s="30" t="n"/>
      <c r="P535" s="30" t="n"/>
      <c r="Q535" s="31" t="n"/>
      <c r="R535" s="31" t="n"/>
      <c r="S535" s="31" t="n"/>
      <c r="T535" s="31" t="n"/>
      <c r="U535" s="31" t="n"/>
      <c r="V535" s="31" t="n"/>
      <c r="W535" s="30" t="n"/>
      <c r="X535" s="31" t="n"/>
      <c r="Y535" s="35" t="n"/>
      <c r="Z535" s="35" t="n"/>
      <c r="AA535" s="35" t="n"/>
      <c r="AB535" s="35" t="n"/>
      <c r="AC535" s="35" t="n"/>
      <c r="AD535" s="35" t="n"/>
      <c r="AE535" s="35" t="n"/>
      <c r="AF535" s="35" t="n"/>
      <c r="AG535" s="36">
        <f>IF(A535="","",IF(V535&lt;&gt;"",V535-B535,TODAY()-B535))</f>
        <v/>
      </c>
      <c r="AH535" s="36">
        <f>IF(OR(A535="",I535=""),"",MAX(0,IF(V535&lt;&gt;"",V535-I535,TODAY()-I535)))</f>
        <v/>
      </c>
      <c r="AI535" s="37">
        <f>IF(A535="","",IF(OR(K535="Closed",V535&lt;&gt;""),"Closed",IF(AH535&gt;=AgeCrit,"Critical",IF(AH535&gt;=AgeFu,"For Follow-up",IF(AH535&gt;=AgeMonitor,"Monitor","Within Standard")))))</f>
        <v/>
      </c>
      <c r="AJ535" s="38">
        <f>IF(A535="","",IFERROR(INDEX(StgPct,MATCH(H535,StgList,0)),0))</f>
        <v/>
      </c>
      <c r="AK535" s="38">
        <f>IF(A535="","",IFERROR(COUNTIF(Y535:AF535,"Y")/(COUNTIF(Y535:AF535,"Y")+COUNTIF(Y535:AF535,"N")),0))</f>
        <v/>
      </c>
      <c r="AL535" s="36">
        <f>IF(OR(A535="",X535=""),"",MAX(0,IF(V535&lt;&gt;"",V535,TODAY())-X535))</f>
        <v/>
      </c>
      <c r="AM535" s="32" t="n"/>
      <c r="AN535" s="33">
        <f>IF(A535="","",LOWER(AI535)&amp;"|"&amp;AH535&amp;"|"&amp;AJ535&amp;"|"&amp;AK535)</f>
        <v/>
      </c>
      <c r="AO535" s="33">
        <f>IF(OR(A535="",T535=""),"",T535-TODAY())</f>
        <v/>
      </c>
      <c r="AP535" s="33">
        <f>IF(OR(A535="",V535&lt;&gt;""),"",(TODAY()-B535)+ROW()/1000000)</f>
        <v/>
      </c>
    </row>
    <row r="536" ht="27" customHeight="1">
      <c r="A536" s="30" t="n"/>
      <c r="B536" s="31" t="n"/>
      <c r="C536" s="32" t="n"/>
      <c r="D536" s="32" t="n"/>
      <c r="E536" s="32" t="n"/>
      <c r="F536" s="32" t="n"/>
      <c r="G536" s="33">
        <f>IF(A536="","",IFERROR(INDEX(OffCat,MATCH(F536,OffList,0)),"Unlisted"))</f>
        <v/>
      </c>
      <c r="H536" s="30" t="n"/>
      <c r="I536" s="31" t="n"/>
      <c r="J536" s="34" t="n"/>
      <c r="K536" s="34" t="n"/>
      <c r="L536" s="34" t="n"/>
      <c r="M536" s="30" t="n"/>
      <c r="N536" s="30" t="n"/>
      <c r="O536" s="30" t="n"/>
      <c r="P536" s="30" t="n"/>
      <c r="Q536" s="31" t="n"/>
      <c r="R536" s="31" t="n"/>
      <c r="S536" s="31" t="n"/>
      <c r="T536" s="31" t="n"/>
      <c r="U536" s="31" t="n"/>
      <c r="V536" s="31" t="n"/>
      <c r="W536" s="30" t="n"/>
      <c r="X536" s="31" t="n"/>
      <c r="Y536" s="35" t="n"/>
      <c r="Z536" s="35" t="n"/>
      <c r="AA536" s="35" t="n"/>
      <c r="AB536" s="35" t="n"/>
      <c r="AC536" s="35" t="n"/>
      <c r="AD536" s="35" t="n"/>
      <c r="AE536" s="35" t="n"/>
      <c r="AF536" s="35" t="n"/>
      <c r="AG536" s="36">
        <f>IF(A536="","",IF(V536&lt;&gt;"",V536-B536,TODAY()-B536))</f>
        <v/>
      </c>
      <c r="AH536" s="36">
        <f>IF(OR(A536="",I536=""),"",MAX(0,IF(V536&lt;&gt;"",V536-I536,TODAY()-I536)))</f>
        <v/>
      </c>
      <c r="AI536" s="37">
        <f>IF(A536="","",IF(OR(K536="Closed",V536&lt;&gt;""),"Closed",IF(AH536&gt;=AgeCrit,"Critical",IF(AH536&gt;=AgeFu,"For Follow-up",IF(AH536&gt;=AgeMonitor,"Monitor","Within Standard")))))</f>
        <v/>
      </c>
      <c r="AJ536" s="38">
        <f>IF(A536="","",IFERROR(INDEX(StgPct,MATCH(H536,StgList,0)),0))</f>
        <v/>
      </c>
      <c r="AK536" s="38">
        <f>IF(A536="","",IFERROR(COUNTIF(Y536:AF536,"Y")/(COUNTIF(Y536:AF536,"Y")+COUNTIF(Y536:AF536,"N")),0))</f>
        <v/>
      </c>
      <c r="AL536" s="36">
        <f>IF(OR(A536="",X536=""),"",MAX(0,IF(V536&lt;&gt;"",V536,TODAY())-X536))</f>
        <v/>
      </c>
      <c r="AM536" s="32" t="n"/>
      <c r="AN536" s="33">
        <f>IF(A536="","",LOWER(AI536)&amp;"|"&amp;AH536&amp;"|"&amp;AJ536&amp;"|"&amp;AK536)</f>
        <v/>
      </c>
      <c r="AO536" s="33">
        <f>IF(OR(A536="",T536=""),"",T536-TODAY())</f>
        <v/>
      </c>
      <c r="AP536" s="33">
        <f>IF(OR(A536="",V536&lt;&gt;""),"",(TODAY()-B536)+ROW()/1000000)</f>
        <v/>
      </c>
    </row>
    <row r="537" ht="27" customHeight="1">
      <c r="A537" s="30" t="n"/>
      <c r="B537" s="31" t="n"/>
      <c r="C537" s="32" t="n"/>
      <c r="D537" s="32" t="n"/>
      <c r="E537" s="32" t="n"/>
      <c r="F537" s="32" t="n"/>
      <c r="G537" s="33">
        <f>IF(A537="","",IFERROR(INDEX(OffCat,MATCH(F537,OffList,0)),"Unlisted"))</f>
        <v/>
      </c>
      <c r="H537" s="30" t="n"/>
      <c r="I537" s="31" t="n"/>
      <c r="J537" s="34" t="n"/>
      <c r="K537" s="34" t="n"/>
      <c r="L537" s="34" t="n"/>
      <c r="M537" s="30" t="n"/>
      <c r="N537" s="30" t="n"/>
      <c r="O537" s="30" t="n"/>
      <c r="P537" s="30" t="n"/>
      <c r="Q537" s="31" t="n"/>
      <c r="R537" s="31" t="n"/>
      <c r="S537" s="31" t="n"/>
      <c r="T537" s="31" t="n"/>
      <c r="U537" s="31" t="n"/>
      <c r="V537" s="31" t="n"/>
      <c r="W537" s="30" t="n"/>
      <c r="X537" s="31" t="n"/>
      <c r="Y537" s="35" t="n"/>
      <c r="Z537" s="35" t="n"/>
      <c r="AA537" s="35" t="n"/>
      <c r="AB537" s="35" t="n"/>
      <c r="AC537" s="35" t="n"/>
      <c r="AD537" s="35" t="n"/>
      <c r="AE537" s="35" t="n"/>
      <c r="AF537" s="35" t="n"/>
      <c r="AG537" s="36">
        <f>IF(A537="","",IF(V537&lt;&gt;"",V537-B537,TODAY()-B537))</f>
        <v/>
      </c>
      <c r="AH537" s="36">
        <f>IF(OR(A537="",I537=""),"",MAX(0,IF(V537&lt;&gt;"",V537-I537,TODAY()-I537)))</f>
        <v/>
      </c>
      <c r="AI537" s="37">
        <f>IF(A537="","",IF(OR(K537="Closed",V537&lt;&gt;""),"Closed",IF(AH537&gt;=AgeCrit,"Critical",IF(AH537&gt;=AgeFu,"For Follow-up",IF(AH537&gt;=AgeMonitor,"Monitor","Within Standard")))))</f>
        <v/>
      </c>
      <c r="AJ537" s="38">
        <f>IF(A537="","",IFERROR(INDEX(StgPct,MATCH(H537,StgList,0)),0))</f>
        <v/>
      </c>
      <c r="AK537" s="38">
        <f>IF(A537="","",IFERROR(COUNTIF(Y537:AF537,"Y")/(COUNTIF(Y537:AF537,"Y")+COUNTIF(Y537:AF537,"N")),0))</f>
        <v/>
      </c>
      <c r="AL537" s="36">
        <f>IF(OR(A537="",X537=""),"",MAX(0,IF(V537&lt;&gt;"",V537,TODAY())-X537))</f>
        <v/>
      </c>
      <c r="AM537" s="32" t="n"/>
      <c r="AN537" s="33">
        <f>IF(A537="","",LOWER(AI537)&amp;"|"&amp;AH537&amp;"|"&amp;AJ537&amp;"|"&amp;AK537)</f>
        <v/>
      </c>
      <c r="AO537" s="33">
        <f>IF(OR(A537="",T537=""),"",T537-TODAY())</f>
        <v/>
      </c>
      <c r="AP537" s="33">
        <f>IF(OR(A537="",V537&lt;&gt;""),"",(TODAY()-B537)+ROW()/1000000)</f>
        <v/>
      </c>
    </row>
    <row r="538" ht="27" customHeight="1">
      <c r="A538" s="30" t="n"/>
      <c r="B538" s="31" t="n"/>
      <c r="C538" s="32" t="n"/>
      <c r="D538" s="32" t="n"/>
      <c r="E538" s="32" t="n"/>
      <c r="F538" s="32" t="n"/>
      <c r="G538" s="33">
        <f>IF(A538="","",IFERROR(INDEX(OffCat,MATCH(F538,OffList,0)),"Unlisted"))</f>
        <v/>
      </c>
      <c r="H538" s="30" t="n"/>
      <c r="I538" s="31" t="n"/>
      <c r="J538" s="34" t="n"/>
      <c r="K538" s="34" t="n"/>
      <c r="L538" s="34" t="n"/>
      <c r="M538" s="30" t="n"/>
      <c r="N538" s="30" t="n"/>
      <c r="O538" s="30" t="n"/>
      <c r="P538" s="30" t="n"/>
      <c r="Q538" s="31" t="n"/>
      <c r="R538" s="31" t="n"/>
      <c r="S538" s="31" t="n"/>
      <c r="T538" s="31" t="n"/>
      <c r="U538" s="31" t="n"/>
      <c r="V538" s="31" t="n"/>
      <c r="W538" s="30" t="n"/>
      <c r="X538" s="31" t="n"/>
      <c r="Y538" s="35" t="n"/>
      <c r="Z538" s="35" t="n"/>
      <c r="AA538" s="35" t="n"/>
      <c r="AB538" s="35" t="n"/>
      <c r="AC538" s="35" t="n"/>
      <c r="AD538" s="35" t="n"/>
      <c r="AE538" s="35" t="n"/>
      <c r="AF538" s="35" t="n"/>
      <c r="AG538" s="36">
        <f>IF(A538="","",IF(V538&lt;&gt;"",V538-B538,TODAY()-B538))</f>
        <v/>
      </c>
      <c r="AH538" s="36">
        <f>IF(OR(A538="",I538=""),"",MAX(0,IF(V538&lt;&gt;"",V538-I538,TODAY()-I538)))</f>
        <v/>
      </c>
      <c r="AI538" s="37">
        <f>IF(A538="","",IF(OR(K538="Closed",V538&lt;&gt;""),"Closed",IF(AH538&gt;=AgeCrit,"Critical",IF(AH538&gt;=AgeFu,"For Follow-up",IF(AH538&gt;=AgeMonitor,"Monitor","Within Standard")))))</f>
        <v/>
      </c>
      <c r="AJ538" s="38">
        <f>IF(A538="","",IFERROR(INDEX(StgPct,MATCH(H538,StgList,0)),0))</f>
        <v/>
      </c>
      <c r="AK538" s="38">
        <f>IF(A538="","",IFERROR(COUNTIF(Y538:AF538,"Y")/(COUNTIF(Y538:AF538,"Y")+COUNTIF(Y538:AF538,"N")),0))</f>
        <v/>
      </c>
      <c r="AL538" s="36">
        <f>IF(OR(A538="",X538=""),"",MAX(0,IF(V538&lt;&gt;"",V538,TODAY())-X538))</f>
        <v/>
      </c>
      <c r="AM538" s="32" t="n"/>
      <c r="AN538" s="33">
        <f>IF(A538="","",LOWER(AI538)&amp;"|"&amp;AH538&amp;"|"&amp;AJ538&amp;"|"&amp;AK538)</f>
        <v/>
      </c>
      <c r="AO538" s="33">
        <f>IF(OR(A538="",T538=""),"",T538-TODAY())</f>
        <v/>
      </c>
      <c r="AP538" s="33">
        <f>IF(OR(A538="",V538&lt;&gt;""),"",(TODAY()-B538)+ROW()/1000000)</f>
        <v/>
      </c>
    </row>
    <row r="539" ht="27" customHeight="1">
      <c r="A539" s="30" t="n"/>
      <c r="B539" s="31" t="n"/>
      <c r="C539" s="32" t="n"/>
      <c r="D539" s="32" t="n"/>
      <c r="E539" s="32" t="n"/>
      <c r="F539" s="32" t="n"/>
      <c r="G539" s="33">
        <f>IF(A539="","",IFERROR(INDEX(OffCat,MATCH(F539,OffList,0)),"Unlisted"))</f>
        <v/>
      </c>
      <c r="H539" s="30" t="n"/>
      <c r="I539" s="31" t="n"/>
      <c r="J539" s="34" t="n"/>
      <c r="K539" s="34" t="n"/>
      <c r="L539" s="34" t="n"/>
      <c r="M539" s="30" t="n"/>
      <c r="N539" s="30" t="n"/>
      <c r="O539" s="30" t="n"/>
      <c r="P539" s="30" t="n"/>
      <c r="Q539" s="31" t="n"/>
      <c r="R539" s="31" t="n"/>
      <c r="S539" s="31" t="n"/>
      <c r="T539" s="31" t="n"/>
      <c r="U539" s="31" t="n"/>
      <c r="V539" s="31" t="n"/>
      <c r="W539" s="30" t="n"/>
      <c r="X539" s="31" t="n"/>
      <c r="Y539" s="35" t="n"/>
      <c r="Z539" s="35" t="n"/>
      <c r="AA539" s="35" t="n"/>
      <c r="AB539" s="35" t="n"/>
      <c r="AC539" s="35" t="n"/>
      <c r="AD539" s="35" t="n"/>
      <c r="AE539" s="35" t="n"/>
      <c r="AF539" s="35" t="n"/>
      <c r="AG539" s="36">
        <f>IF(A539="","",IF(V539&lt;&gt;"",V539-B539,TODAY()-B539))</f>
        <v/>
      </c>
      <c r="AH539" s="36">
        <f>IF(OR(A539="",I539=""),"",MAX(0,IF(V539&lt;&gt;"",V539-I539,TODAY()-I539)))</f>
        <v/>
      </c>
      <c r="AI539" s="37">
        <f>IF(A539="","",IF(OR(K539="Closed",V539&lt;&gt;""),"Closed",IF(AH539&gt;=AgeCrit,"Critical",IF(AH539&gt;=AgeFu,"For Follow-up",IF(AH539&gt;=AgeMonitor,"Monitor","Within Standard")))))</f>
        <v/>
      </c>
      <c r="AJ539" s="38">
        <f>IF(A539="","",IFERROR(INDEX(StgPct,MATCH(H539,StgList,0)),0))</f>
        <v/>
      </c>
      <c r="AK539" s="38">
        <f>IF(A539="","",IFERROR(COUNTIF(Y539:AF539,"Y")/(COUNTIF(Y539:AF539,"Y")+COUNTIF(Y539:AF539,"N")),0))</f>
        <v/>
      </c>
      <c r="AL539" s="36">
        <f>IF(OR(A539="",X539=""),"",MAX(0,IF(V539&lt;&gt;"",V539,TODAY())-X539))</f>
        <v/>
      </c>
      <c r="AM539" s="32" t="n"/>
      <c r="AN539" s="33">
        <f>IF(A539="","",LOWER(AI539)&amp;"|"&amp;AH539&amp;"|"&amp;AJ539&amp;"|"&amp;AK539)</f>
        <v/>
      </c>
      <c r="AO539" s="33">
        <f>IF(OR(A539="",T539=""),"",T539-TODAY())</f>
        <v/>
      </c>
      <c r="AP539" s="33">
        <f>IF(OR(A539="",V539&lt;&gt;""),"",(TODAY()-B539)+ROW()/1000000)</f>
        <v/>
      </c>
    </row>
    <row r="540" ht="27" customHeight="1">
      <c r="A540" s="30" t="n"/>
      <c r="B540" s="31" t="n"/>
      <c r="C540" s="32" t="n"/>
      <c r="D540" s="32" t="n"/>
      <c r="E540" s="32" t="n"/>
      <c r="F540" s="32" t="n"/>
      <c r="G540" s="33">
        <f>IF(A540="","",IFERROR(INDEX(OffCat,MATCH(F540,OffList,0)),"Unlisted"))</f>
        <v/>
      </c>
      <c r="H540" s="30" t="n"/>
      <c r="I540" s="31" t="n"/>
      <c r="J540" s="34" t="n"/>
      <c r="K540" s="34" t="n"/>
      <c r="L540" s="34" t="n"/>
      <c r="M540" s="30" t="n"/>
      <c r="N540" s="30" t="n"/>
      <c r="O540" s="30" t="n"/>
      <c r="P540" s="30" t="n"/>
      <c r="Q540" s="31" t="n"/>
      <c r="R540" s="31" t="n"/>
      <c r="S540" s="31" t="n"/>
      <c r="T540" s="31" t="n"/>
      <c r="U540" s="31" t="n"/>
      <c r="V540" s="31" t="n"/>
      <c r="W540" s="30" t="n"/>
      <c r="X540" s="31" t="n"/>
      <c r="Y540" s="35" t="n"/>
      <c r="Z540" s="35" t="n"/>
      <c r="AA540" s="35" t="n"/>
      <c r="AB540" s="35" t="n"/>
      <c r="AC540" s="35" t="n"/>
      <c r="AD540" s="35" t="n"/>
      <c r="AE540" s="35" t="n"/>
      <c r="AF540" s="35" t="n"/>
      <c r="AG540" s="36">
        <f>IF(A540="","",IF(V540&lt;&gt;"",V540-B540,TODAY()-B540))</f>
        <v/>
      </c>
      <c r="AH540" s="36">
        <f>IF(OR(A540="",I540=""),"",MAX(0,IF(V540&lt;&gt;"",V540-I540,TODAY()-I540)))</f>
        <v/>
      </c>
      <c r="AI540" s="37">
        <f>IF(A540="","",IF(OR(K540="Closed",V540&lt;&gt;""),"Closed",IF(AH540&gt;=AgeCrit,"Critical",IF(AH540&gt;=AgeFu,"For Follow-up",IF(AH540&gt;=AgeMonitor,"Monitor","Within Standard")))))</f>
        <v/>
      </c>
      <c r="AJ540" s="38">
        <f>IF(A540="","",IFERROR(INDEX(StgPct,MATCH(H540,StgList,0)),0))</f>
        <v/>
      </c>
      <c r="AK540" s="38">
        <f>IF(A540="","",IFERROR(COUNTIF(Y540:AF540,"Y")/(COUNTIF(Y540:AF540,"Y")+COUNTIF(Y540:AF540,"N")),0))</f>
        <v/>
      </c>
      <c r="AL540" s="36">
        <f>IF(OR(A540="",X540=""),"",MAX(0,IF(V540&lt;&gt;"",V540,TODAY())-X540))</f>
        <v/>
      </c>
      <c r="AM540" s="32" t="n"/>
      <c r="AN540" s="33">
        <f>IF(A540="","",LOWER(AI540)&amp;"|"&amp;AH540&amp;"|"&amp;AJ540&amp;"|"&amp;AK540)</f>
        <v/>
      </c>
      <c r="AO540" s="33">
        <f>IF(OR(A540="",T540=""),"",T540-TODAY())</f>
        <v/>
      </c>
      <c r="AP540" s="33">
        <f>IF(OR(A540="",V540&lt;&gt;""),"",(TODAY()-B540)+ROW()/1000000)</f>
        <v/>
      </c>
    </row>
    <row r="541" ht="27" customHeight="1">
      <c r="A541" s="30" t="n"/>
      <c r="B541" s="31" t="n"/>
      <c r="C541" s="32" t="n"/>
      <c r="D541" s="32" t="n"/>
      <c r="E541" s="32" t="n"/>
      <c r="F541" s="32" t="n"/>
      <c r="G541" s="33">
        <f>IF(A541="","",IFERROR(INDEX(OffCat,MATCH(F541,OffList,0)),"Unlisted"))</f>
        <v/>
      </c>
      <c r="H541" s="30" t="n"/>
      <c r="I541" s="31" t="n"/>
      <c r="J541" s="34" t="n"/>
      <c r="K541" s="34" t="n"/>
      <c r="L541" s="34" t="n"/>
      <c r="M541" s="30" t="n"/>
      <c r="N541" s="30" t="n"/>
      <c r="O541" s="30" t="n"/>
      <c r="P541" s="30" t="n"/>
      <c r="Q541" s="31" t="n"/>
      <c r="R541" s="31" t="n"/>
      <c r="S541" s="31" t="n"/>
      <c r="T541" s="31" t="n"/>
      <c r="U541" s="31" t="n"/>
      <c r="V541" s="31" t="n"/>
      <c r="W541" s="30" t="n"/>
      <c r="X541" s="31" t="n"/>
      <c r="Y541" s="35" t="n"/>
      <c r="Z541" s="35" t="n"/>
      <c r="AA541" s="35" t="n"/>
      <c r="AB541" s="35" t="n"/>
      <c r="AC541" s="35" t="n"/>
      <c r="AD541" s="35" t="n"/>
      <c r="AE541" s="35" t="n"/>
      <c r="AF541" s="35" t="n"/>
      <c r="AG541" s="36">
        <f>IF(A541="","",IF(V541&lt;&gt;"",V541-B541,TODAY()-B541))</f>
        <v/>
      </c>
      <c r="AH541" s="36">
        <f>IF(OR(A541="",I541=""),"",MAX(0,IF(V541&lt;&gt;"",V541-I541,TODAY()-I541)))</f>
        <v/>
      </c>
      <c r="AI541" s="37">
        <f>IF(A541="","",IF(OR(K541="Closed",V541&lt;&gt;""),"Closed",IF(AH541&gt;=AgeCrit,"Critical",IF(AH541&gt;=AgeFu,"For Follow-up",IF(AH541&gt;=AgeMonitor,"Monitor","Within Standard")))))</f>
        <v/>
      </c>
      <c r="AJ541" s="38">
        <f>IF(A541="","",IFERROR(INDEX(StgPct,MATCH(H541,StgList,0)),0))</f>
        <v/>
      </c>
      <c r="AK541" s="38">
        <f>IF(A541="","",IFERROR(COUNTIF(Y541:AF541,"Y")/(COUNTIF(Y541:AF541,"Y")+COUNTIF(Y541:AF541,"N")),0))</f>
        <v/>
      </c>
      <c r="AL541" s="36">
        <f>IF(OR(A541="",X541=""),"",MAX(0,IF(V541&lt;&gt;"",V541,TODAY())-X541))</f>
        <v/>
      </c>
      <c r="AM541" s="32" t="n"/>
      <c r="AN541" s="33">
        <f>IF(A541="","",LOWER(AI541)&amp;"|"&amp;AH541&amp;"|"&amp;AJ541&amp;"|"&amp;AK541)</f>
        <v/>
      </c>
      <c r="AO541" s="33">
        <f>IF(OR(A541="",T541=""),"",T541-TODAY())</f>
        <v/>
      </c>
      <c r="AP541" s="33">
        <f>IF(OR(A541="",V541&lt;&gt;""),"",(TODAY()-B541)+ROW()/1000000)</f>
        <v/>
      </c>
    </row>
    <row r="542" ht="27" customHeight="1">
      <c r="A542" s="30" t="n"/>
      <c r="B542" s="31" t="n"/>
      <c r="C542" s="32" t="n"/>
      <c r="D542" s="32" t="n"/>
      <c r="E542" s="32" t="n"/>
      <c r="F542" s="32" t="n"/>
      <c r="G542" s="33">
        <f>IF(A542="","",IFERROR(INDEX(OffCat,MATCH(F542,OffList,0)),"Unlisted"))</f>
        <v/>
      </c>
      <c r="H542" s="30" t="n"/>
      <c r="I542" s="31" t="n"/>
      <c r="J542" s="34" t="n"/>
      <c r="K542" s="34" t="n"/>
      <c r="L542" s="34" t="n"/>
      <c r="M542" s="30" t="n"/>
      <c r="N542" s="30" t="n"/>
      <c r="O542" s="30" t="n"/>
      <c r="P542" s="30" t="n"/>
      <c r="Q542" s="31" t="n"/>
      <c r="R542" s="31" t="n"/>
      <c r="S542" s="31" t="n"/>
      <c r="T542" s="31" t="n"/>
      <c r="U542" s="31" t="n"/>
      <c r="V542" s="31" t="n"/>
      <c r="W542" s="30" t="n"/>
      <c r="X542" s="31" t="n"/>
      <c r="Y542" s="35" t="n"/>
      <c r="Z542" s="35" t="n"/>
      <c r="AA542" s="35" t="n"/>
      <c r="AB542" s="35" t="n"/>
      <c r="AC542" s="35" t="n"/>
      <c r="AD542" s="35" t="n"/>
      <c r="AE542" s="35" t="n"/>
      <c r="AF542" s="35" t="n"/>
      <c r="AG542" s="36">
        <f>IF(A542="","",IF(V542&lt;&gt;"",V542-B542,TODAY()-B542))</f>
        <v/>
      </c>
      <c r="AH542" s="36">
        <f>IF(OR(A542="",I542=""),"",MAX(0,IF(V542&lt;&gt;"",V542-I542,TODAY()-I542)))</f>
        <v/>
      </c>
      <c r="AI542" s="37">
        <f>IF(A542="","",IF(OR(K542="Closed",V542&lt;&gt;""),"Closed",IF(AH542&gt;=AgeCrit,"Critical",IF(AH542&gt;=AgeFu,"For Follow-up",IF(AH542&gt;=AgeMonitor,"Monitor","Within Standard")))))</f>
        <v/>
      </c>
      <c r="AJ542" s="38">
        <f>IF(A542="","",IFERROR(INDEX(StgPct,MATCH(H542,StgList,0)),0))</f>
        <v/>
      </c>
      <c r="AK542" s="38">
        <f>IF(A542="","",IFERROR(COUNTIF(Y542:AF542,"Y")/(COUNTIF(Y542:AF542,"Y")+COUNTIF(Y542:AF542,"N")),0))</f>
        <v/>
      </c>
      <c r="AL542" s="36">
        <f>IF(OR(A542="",X542=""),"",MAX(0,IF(V542&lt;&gt;"",V542,TODAY())-X542))</f>
        <v/>
      </c>
      <c r="AM542" s="32" t="n"/>
      <c r="AN542" s="33">
        <f>IF(A542="","",LOWER(AI542)&amp;"|"&amp;AH542&amp;"|"&amp;AJ542&amp;"|"&amp;AK542)</f>
        <v/>
      </c>
      <c r="AO542" s="33">
        <f>IF(OR(A542="",T542=""),"",T542-TODAY())</f>
        <v/>
      </c>
      <c r="AP542" s="33">
        <f>IF(OR(A542="",V542&lt;&gt;""),"",(TODAY()-B542)+ROW()/1000000)</f>
        <v/>
      </c>
    </row>
    <row r="543" ht="27" customHeight="1">
      <c r="A543" s="30" t="n"/>
      <c r="B543" s="31" t="n"/>
      <c r="C543" s="32" t="n"/>
      <c r="D543" s="32" t="n"/>
      <c r="E543" s="32" t="n"/>
      <c r="F543" s="32" t="n"/>
      <c r="G543" s="33">
        <f>IF(A543="","",IFERROR(INDEX(OffCat,MATCH(F543,OffList,0)),"Unlisted"))</f>
        <v/>
      </c>
      <c r="H543" s="30" t="n"/>
      <c r="I543" s="31" t="n"/>
      <c r="J543" s="34" t="n"/>
      <c r="K543" s="34" t="n"/>
      <c r="L543" s="34" t="n"/>
      <c r="M543" s="30" t="n"/>
      <c r="N543" s="30" t="n"/>
      <c r="O543" s="30" t="n"/>
      <c r="P543" s="30" t="n"/>
      <c r="Q543" s="31" t="n"/>
      <c r="R543" s="31" t="n"/>
      <c r="S543" s="31" t="n"/>
      <c r="T543" s="31" t="n"/>
      <c r="U543" s="31" t="n"/>
      <c r="V543" s="31" t="n"/>
      <c r="W543" s="30" t="n"/>
      <c r="X543" s="31" t="n"/>
      <c r="Y543" s="35" t="n"/>
      <c r="Z543" s="35" t="n"/>
      <c r="AA543" s="35" t="n"/>
      <c r="AB543" s="35" t="n"/>
      <c r="AC543" s="35" t="n"/>
      <c r="AD543" s="35" t="n"/>
      <c r="AE543" s="35" t="n"/>
      <c r="AF543" s="35" t="n"/>
      <c r="AG543" s="36">
        <f>IF(A543="","",IF(V543&lt;&gt;"",V543-B543,TODAY()-B543))</f>
        <v/>
      </c>
      <c r="AH543" s="36">
        <f>IF(OR(A543="",I543=""),"",MAX(0,IF(V543&lt;&gt;"",V543-I543,TODAY()-I543)))</f>
        <v/>
      </c>
      <c r="AI543" s="37">
        <f>IF(A543="","",IF(OR(K543="Closed",V543&lt;&gt;""),"Closed",IF(AH543&gt;=AgeCrit,"Critical",IF(AH543&gt;=AgeFu,"For Follow-up",IF(AH543&gt;=AgeMonitor,"Monitor","Within Standard")))))</f>
        <v/>
      </c>
      <c r="AJ543" s="38">
        <f>IF(A543="","",IFERROR(INDEX(StgPct,MATCH(H543,StgList,0)),0))</f>
        <v/>
      </c>
      <c r="AK543" s="38">
        <f>IF(A543="","",IFERROR(COUNTIF(Y543:AF543,"Y")/(COUNTIF(Y543:AF543,"Y")+COUNTIF(Y543:AF543,"N")),0))</f>
        <v/>
      </c>
      <c r="AL543" s="36">
        <f>IF(OR(A543="",X543=""),"",MAX(0,IF(V543&lt;&gt;"",V543,TODAY())-X543))</f>
        <v/>
      </c>
      <c r="AM543" s="32" t="n"/>
      <c r="AN543" s="33">
        <f>IF(A543="","",LOWER(AI543)&amp;"|"&amp;AH543&amp;"|"&amp;AJ543&amp;"|"&amp;AK543)</f>
        <v/>
      </c>
      <c r="AO543" s="33">
        <f>IF(OR(A543="",T543=""),"",T543-TODAY())</f>
        <v/>
      </c>
      <c r="AP543" s="33">
        <f>IF(OR(A543="",V543&lt;&gt;""),"",(TODAY()-B543)+ROW()/1000000)</f>
        <v/>
      </c>
    </row>
    <row r="544" ht="27" customHeight="1">
      <c r="A544" s="30" t="n"/>
      <c r="B544" s="31" t="n"/>
      <c r="C544" s="32" t="n"/>
      <c r="D544" s="32" t="n"/>
      <c r="E544" s="32" t="n"/>
      <c r="F544" s="32" t="n"/>
      <c r="G544" s="33">
        <f>IF(A544="","",IFERROR(INDEX(OffCat,MATCH(F544,OffList,0)),"Unlisted"))</f>
        <v/>
      </c>
      <c r="H544" s="30" t="n"/>
      <c r="I544" s="31" t="n"/>
      <c r="J544" s="34" t="n"/>
      <c r="K544" s="34" t="n"/>
      <c r="L544" s="34" t="n"/>
      <c r="M544" s="30" t="n"/>
      <c r="N544" s="30" t="n"/>
      <c r="O544" s="30" t="n"/>
      <c r="P544" s="30" t="n"/>
      <c r="Q544" s="31" t="n"/>
      <c r="R544" s="31" t="n"/>
      <c r="S544" s="31" t="n"/>
      <c r="T544" s="31" t="n"/>
      <c r="U544" s="31" t="n"/>
      <c r="V544" s="31" t="n"/>
      <c r="W544" s="30" t="n"/>
      <c r="X544" s="31" t="n"/>
      <c r="Y544" s="35" t="n"/>
      <c r="Z544" s="35" t="n"/>
      <c r="AA544" s="35" t="n"/>
      <c r="AB544" s="35" t="n"/>
      <c r="AC544" s="35" t="n"/>
      <c r="AD544" s="35" t="n"/>
      <c r="AE544" s="35" t="n"/>
      <c r="AF544" s="35" t="n"/>
      <c r="AG544" s="36">
        <f>IF(A544="","",IF(V544&lt;&gt;"",V544-B544,TODAY()-B544))</f>
        <v/>
      </c>
      <c r="AH544" s="36">
        <f>IF(OR(A544="",I544=""),"",MAX(0,IF(V544&lt;&gt;"",V544-I544,TODAY()-I544)))</f>
        <v/>
      </c>
      <c r="AI544" s="37">
        <f>IF(A544="","",IF(OR(K544="Closed",V544&lt;&gt;""),"Closed",IF(AH544&gt;=AgeCrit,"Critical",IF(AH544&gt;=AgeFu,"For Follow-up",IF(AH544&gt;=AgeMonitor,"Monitor","Within Standard")))))</f>
        <v/>
      </c>
      <c r="AJ544" s="38">
        <f>IF(A544="","",IFERROR(INDEX(StgPct,MATCH(H544,StgList,0)),0))</f>
        <v/>
      </c>
      <c r="AK544" s="38">
        <f>IF(A544="","",IFERROR(COUNTIF(Y544:AF544,"Y")/(COUNTIF(Y544:AF544,"Y")+COUNTIF(Y544:AF544,"N")),0))</f>
        <v/>
      </c>
      <c r="AL544" s="36">
        <f>IF(OR(A544="",X544=""),"",MAX(0,IF(V544&lt;&gt;"",V544,TODAY())-X544))</f>
        <v/>
      </c>
      <c r="AM544" s="32" t="n"/>
      <c r="AN544" s="33">
        <f>IF(A544="","",LOWER(AI544)&amp;"|"&amp;AH544&amp;"|"&amp;AJ544&amp;"|"&amp;AK544)</f>
        <v/>
      </c>
      <c r="AO544" s="33">
        <f>IF(OR(A544="",T544=""),"",T544-TODAY())</f>
        <v/>
      </c>
      <c r="AP544" s="33">
        <f>IF(OR(A544="",V544&lt;&gt;""),"",(TODAY()-B544)+ROW()/1000000)</f>
        <v/>
      </c>
    </row>
    <row r="545" ht="27" customHeight="1">
      <c r="A545" s="30" t="n"/>
      <c r="B545" s="31" t="n"/>
      <c r="C545" s="32" t="n"/>
      <c r="D545" s="32" t="n"/>
      <c r="E545" s="32" t="n"/>
      <c r="F545" s="32" t="n"/>
      <c r="G545" s="33">
        <f>IF(A545="","",IFERROR(INDEX(OffCat,MATCH(F545,OffList,0)),"Unlisted"))</f>
        <v/>
      </c>
      <c r="H545" s="30" t="n"/>
      <c r="I545" s="31" t="n"/>
      <c r="J545" s="34" t="n"/>
      <c r="K545" s="34" t="n"/>
      <c r="L545" s="34" t="n"/>
      <c r="M545" s="30" t="n"/>
      <c r="N545" s="30" t="n"/>
      <c r="O545" s="30" t="n"/>
      <c r="P545" s="30" t="n"/>
      <c r="Q545" s="31" t="n"/>
      <c r="R545" s="31" t="n"/>
      <c r="S545" s="31" t="n"/>
      <c r="T545" s="31" t="n"/>
      <c r="U545" s="31" t="n"/>
      <c r="V545" s="31" t="n"/>
      <c r="W545" s="30" t="n"/>
      <c r="X545" s="31" t="n"/>
      <c r="Y545" s="35" t="n"/>
      <c r="Z545" s="35" t="n"/>
      <c r="AA545" s="35" t="n"/>
      <c r="AB545" s="35" t="n"/>
      <c r="AC545" s="35" t="n"/>
      <c r="AD545" s="35" t="n"/>
      <c r="AE545" s="35" t="n"/>
      <c r="AF545" s="35" t="n"/>
      <c r="AG545" s="36">
        <f>IF(A545="","",IF(V545&lt;&gt;"",V545-B545,TODAY()-B545))</f>
        <v/>
      </c>
      <c r="AH545" s="36">
        <f>IF(OR(A545="",I545=""),"",MAX(0,IF(V545&lt;&gt;"",V545-I545,TODAY()-I545)))</f>
        <v/>
      </c>
      <c r="AI545" s="37">
        <f>IF(A545="","",IF(OR(K545="Closed",V545&lt;&gt;""),"Closed",IF(AH545&gt;=AgeCrit,"Critical",IF(AH545&gt;=AgeFu,"For Follow-up",IF(AH545&gt;=AgeMonitor,"Monitor","Within Standard")))))</f>
        <v/>
      </c>
      <c r="AJ545" s="38">
        <f>IF(A545="","",IFERROR(INDEX(StgPct,MATCH(H545,StgList,0)),0))</f>
        <v/>
      </c>
      <c r="AK545" s="38">
        <f>IF(A545="","",IFERROR(COUNTIF(Y545:AF545,"Y")/(COUNTIF(Y545:AF545,"Y")+COUNTIF(Y545:AF545,"N")),0))</f>
        <v/>
      </c>
      <c r="AL545" s="36">
        <f>IF(OR(A545="",X545=""),"",MAX(0,IF(V545&lt;&gt;"",V545,TODAY())-X545))</f>
        <v/>
      </c>
      <c r="AM545" s="32" t="n"/>
      <c r="AN545" s="33">
        <f>IF(A545="","",LOWER(AI545)&amp;"|"&amp;AH545&amp;"|"&amp;AJ545&amp;"|"&amp;AK545)</f>
        <v/>
      </c>
      <c r="AO545" s="33">
        <f>IF(OR(A545="",T545=""),"",T545-TODAY())</f>
        <v/>
      </c>
      <c r="AP545" s="33">
        <f>IF(OR(A545="",V545&lt;&gt;""),"",(TODAY()-B545)+ROW()/1000000)</f>
        <v/>
      </c>
    </row>
    <row r="546" ht="27" customHeight="1">
      <c r="A546" s="30" t="n"/>
      <c r="B546" s="31" t="n"/>
      <c r="C546" s="32" t="n"/>
      <c r="D546" s="32" t="n"/>
      <c r="E546" s="32" t="n"/>
      <c r="F546" s="32" t="n"/>
      <c r="G546" s="33">
        <f>IF(A546="","",IFERROR(INDEX(OffCat,MATCH(F546,OffList,0)),"Unlisted"))</f>
        <v/>
      </c>
      <c r="H546" s="30" t="n"/>
      <c r="I546" s="31" t="n"/>
      <c r="J546" s="34" t="n"/>
      <c r="K546" s="34" t="n"/>
      <c r="L546" s="34" t="n"/>
      <c r="M546" s="30" t="n"/>
      <c r="N546" s="30" t="n"/>
      <c r="O546" s="30" t="n"/>
      <c r="P546" s="30" t="n"/>
      <c r="Q546" s="31" t="n"/>
      <c r="R546" s="31" t="n"/>
      <c r="S546" s="31" t="n"/>
      <c r="T546" s="31" t="n"/>
      <c r="U546" s="31" t="n"/>
      <c r="V546" s="31" t="n"/>
      <c r="W546" s="30" t="n"/>
      <c r="X546" s="31" t="n"/>
      <c r="Y546" s="35" t="n"/>
      <c r="Z546" s="35" t="n"/>
      <c r="AA546" s="35" t="n"/>
      <c r="AB546" s="35" t="n"/>
      <c r="AC546" s="35" t="n"/>
      <c r="AD546" s="35" t="n"/>
      <c r="AE546" s="35" t="n"/>
      <c r="AF546" s="35" t="n"/>
      <c r="AG546" s="36">
        <f>IF(A546="","",IF(V546&lt;&gt;"",V546-B546,TODAY()-B546))</f>
        <v/>
      </c>
      <c r="AH546" s="36">
        <f>IF(OR(A546="",I546=""),"",MAX(0,IF(V546&lt;&gt;"",V546-I546,TODAY()-I546)))</f>
        <v/>
      </c>
      <c r="AI546" s="37">
        <f>IF(A546="","",IF(OR(K546="Closed",V546&lt;&gt;""),"Closed",IF(AH546&gt;=AgeCrit,"Critical",IF(AH546&gt;=AgeFu,"For Follow-up",IF(AH546&gt;=AgeMonitor,"Monitor","Within Standard")))))</f>
        <v/>
      </c>
      <c r="AJ546" s="38">
        <f>IF(A546="","",IFERROR(INDEX(StgPct,MATCH(H546,StgList,0)),0))</f>
        <v/>
      </c>
      <c r="AK546" s="38">
        <f>IF(A546="","",IFERROR(COUNTIF(Y546:AF546,"Y")/(COUNTIF(Y546:AF546,"Y")+COUNTIF(Y546:AF546,"N")),0))</f>
        <v/>
      </c>
      <c r="AL546" s="36">
        <f>IF(OR(A546="",X546=""),"",MAX(0,IF(V546&lt;&gt;"",V546,TODAY())-X546))</f>
        <v/>
      </c>
      <c r="AM546" s="32" t="n"/>
      <c r="AN546" s="33">
        <f>IF(A546="","",LOWER(AI546)&amp;"|"&amp;AH546&amp;"|"&amp;AJ546&amp;"|"&amp;AK546)</f>
        <v/>
      </c>
      <c r="AO546" s="33">
        <f>IF(OR(A546="",T546=""),"",T546-TODAY())</f>
        <v/>
      </c>
      <c r="AP546" s="33">
        <f>IF(OR(A546="",V546&lt;&gt;""),"",(TODAY()-B546)+ROW()/1000000)</f>
        <v/>
      </c>
    </row>
    <row r="547" ht="27" customHeight="1">
      <c r="A547" s="30" t="n"/>
      <c r="B547" s="31" t="n"/>
      <c r="C547" s="32" t="n"/>
      <c r="D547" s="32" t="n"/>
      <c r="E547" s="32" t="n"/>
      <c r="F547" s="32" t="n"/>
      <c r="G547" s="33">
        <f>IF(A547="","",IFERROR(INDEX(OffCat,MATCH(F547,OffList,0)),"Unlisted"))</f>
        <v/>
      </c>
      <c r="H547" s="30" t="n"/>
      <c r="I547" s="31" t="n"/>
      <c r="J547" s="34" t="n"/>
      <c r="K547" s="34" t="n"/>
      <c r="L547" s="34" t="n"/>
      <c r="M547" s="30" t="n"/>
      <c r="N547" s="30" t="n"/>
      <c r="O547" s="30" t="n"/>
      <c r="P547" s="30" t="n"/>
      <c r="Q547" s="31" t="n"/>
      <c r="R547" s="31" t="n"/>
      <c r="S547" s="31" t="n"/>
      <c r="T547" s="31" t="n"/>
      <c r="U547" s="31" t="n"/>
      <c r="V547" s="31" t="n"/>
      <c r="W547" s="30" t="n"/>
      <c r="X547" s="31" t="n"/>
      <c r="Y547" s="35" t="n"/>
      <c r="Z547" s="35" t="n"/>
      <c r="AA547" s="35" t="n"/>
      <c r="AB547" s="35" t="n"/>
      <c r="AC547" s="35" t="n"/>
      <c r="AD547" s="35" t="n"/>
      <c r="AE547" s="35" t="n"/>
      <c r="AF547" s="35" t="n"/>
      <c r="AG547" s="36">
        <f>IF(A547="","",IF(V547&lt;&gt;"",V547-B547,TODAY()-B547))</f>
        <v/>
      </c>
      <c r="AH547" s="36">
        <f>IF(OR(A547="",I547=""),"",MAX(0,IF(V547&lt;&gt;"",V547-I547,TODAY()-I547)))</f>
        <v/>
      </c>
      <c r="AI547" s="37">
        <f>IF(A547="","",IF(OR(K547="Closed",V547&lt;&gt;""),"Closed",IF(AH547&gt;=AgeCrit,"Critical",IF(AH547&gt;=AgeFu,"For Follow-up",IF(AH547&gt;=AgeMonitor,"Monitor","Within Standard")))))</f>
        <v/>
      </c>
      <c r="AJ547" s="38">
        <f>IF(A547="","",IFERROR(INDEX(StgPct,MATCH(H547,StgList,0)),0))</f>
        <v/>
      </c>
      <c r="AK547" s="38">
        <f>IF(A547="","",IFERROR(COUNTIF(Y547:AF547,"Y")/(COUNTIF(Y547:AF547,"Y")+COUNTIF(Y547:AF547,"N")),0))</f>
        <v/>
      </c>
      <c r="AL547" s="36">
        <f>IF(OR(A547="",X547=""),"",MAX(0,IF(V547&lt;&gt;"",V547,TODAY())-X547))</f>
        <v/>
      </c>
      <c r="AM547" s="32" t="n"/>
      <c r="AN547" s="33">
        <f>IF(A547="","",LOWER(AI547)&amp;"|"&amp;AH547&amp;"|"&amp;AJ547&amp;"|"&amp;AK547)</f>
        <v/>
      </c>
      <c r="AO547" s="33">
        <f>IF(OR(A547="",T547=""),"",T547-TODAY())</f>
        <v/>
      </c>
      <c r="AP547" s="33">
        <f>IF(OR(A547="",V547&lt;&gt;""),"",(TODAY()-B547)+ROW()/1000000)</f>
        <v/>
      </c>
    </row>
    <row r="548" ht="27" customHeight="1">
      <c r="A548" s="30" t="n"/>
      <c r="B548" s="31" t="n"/>
      <c r="C548" s="32" t="n"/>
      <c r="D548" s="32" t="n"/>
      <c r="E548" s="32" t="n"/>
      <c r="F548" s="32" t="n"/>
      <c r="G548" s="33">
        <f>IF(A548="","",IFERROR(INDEX(OffCat,MATCH(F548,OffList,0)),"Unlisted"))</f>
        <v/>
      </c>
      <c r="H548" s="30" t="n"/>
      <c r="I548" s="31" t="n"/>
      <c r="J548" s="34" t="n"/>
      <c r="K548" s="34" t="n"/>
      <c r="L548" s="34" t="n"/>
      <c r="M548" s="30" t="n"/>
      <c r="N548" s="30" t="n"/>
      <c r="O548" s="30" t="n"/>
      <c r="P548" s="30" t="n"/>
      <c r="Q548" s="31" t="n"/>
      <c r="R548" s="31" t="n"/>
      <c r="S548" s="31" t="n"/>
      <c r="T548" s="31" t="n"/>
      <c r="U548" s="31" t="n"/>
      <c r="V548" s="31" t="n"/>
      <c r="W548" s="30" t="n"/>
      <c r="X548" s="31" t="n"/>
      <c r="Y548" s="35" t="n"/>
      <c r="Z548" s="35" t="n"/>
      <c r="AA548" s="35" t="n"/>
      <c r="AB548" s="35" t="n"/>
      <c r="AC548" s="35" t="n"/>
      <c r="AD548" s="35" t="n"/>
      <c r="AE548" s="35" t="n"/>
      <c r="AF548" s="35" t="n"/>
      <c r="AG548" s="36">
        <f>IF(A548="","",IF(V548&lt;&gt;"",V548-B548,TODAY()-B548))</f>
        <v/>
      </c>
      <c r="AH548" s="36">
        <f>IF(OR(A548="",I548=""),"",MAX(0,IF(V548&lt;&gt;"",V548-I548,TODAY()-I548)))</f>
        <v/>
      </c>
      <c r="AI548" s="37">
        <f>IF(A548="","",IF(OR(K548="Closed",V548&lt;&gt;""),"Closed",IF(AH548&gt;=AgeCrit,"Critical",IF(AH548&gt;=AgeFu,"For Follow-up",IF(AH548&gt;=AgeMonitor,"Monitor","Within Standard")))))</f>
        <v/>
      </c>
      <c r="AJ548" s="38">
        <f>IF(A548="","",IFERROR(INDEX(StgPct,MATCH(H548,StgList,0)),0))</f>
        <v/>
      </c>
      <c r="AK548" s="38">
        <f>IF(A548="","",IFERROR(COUNTIF(Y548:AF548,"Y")/(COUNTIF(Y548:AF548,"Y")+COUNTIF(Y548:AF548,"N")),0))</f>
        <v/>
      </c>
      <c r="AL548" s="36">
        <f>IF(OR(A548="",X548=""),"",MAX(0,IF(V548&lt;&gt;"",V548,TODAY())-X548))</f>
        <v/>
      </c>
      <c r="AM548" s="32" t="n"/>
      <c r="AN548" s="33">
        <f>IF(A548="","",LOWER(AI548)&amp;"|"&amp;AH548&amp;"|"&amp;AJ548&amp;"|"&amp;AK548)</f>
        <v/>
      </c>
      <c r="AO548" s="33">
        <f>IF(OR(A548="",T548=""),"",T548-TODAY())</f>
        <v/>
      </c>
      <c r="AP548" s="33">
        <f>IF(OR(A548="",V548&lt;&gt;""),"",(TODAY()-B548)+ROW()/1000000)</f>
        <v/>
      </c>
    </row>
    <row r="549" ht="27" customHeight="1">
      <c r="A549" s="30" t="n"/>
      <c r="B549" s="31" t="n"/>
      <c r="C549" s="32" t="n"/>
      <c r="D549" s="32" t="n"/>
      <c r="E549" s="32" t="n"/>
      <c r="F549" s="32" t="n"/>
      <c r="G549" s="33">
        <f>IF(A549="","",IFERROR(INDEX(OffCat,MATCH(F549,OffList,0)),"Unlisted"))</f>
        <v/>
      </c>
      <c r="H549" s="30" t="n"/>
      <c r="I549" s="31" t="n"/>
      <c r="J549" s="34" t="n"/>
      <c r="K549" s="34" t="n"/>
      <c r="L549" s="34" t="n"/>
      <c r="M549" s="30" t="n"/>
      <c r="N549" s="30" t="n"/>
      <c r="O549" s="30" t="n"/>
      <c r="P549" s="30" t="n"/>
      <c r="Q549" s="31" t="n"/>
      <c r="R549" s="31" t="n"/>
      <c r="S549" s="31" t="n"/>
      <c r="T549" s="31" t="n"/>
      <c r="U549" s="31" t="n"/>
      <c r="V549" s="31" t="n"/>
      <c r="W549" s="30" t="n"/>
      <c r="X549" s="31" t="n"/>
      <c r="Y549" s="35" t="n"/>
      <c r="Z549" s="35" t="n"/>
      <c r="AA549" s="35" t="n"/>
      <c r="AB549" s="35" t="n"/>
      <c r="AC549" s="35" t="n"/>
      <c r="AD549" s="35" t="n"/>
      <c r="AE549" s="35" t="n"/>
      <c r="AF549" s="35" t="n"/>
      <c r="AG549" s="36">
        <f>IF(A549="","",IF(V549&lt;&gt;"",V549-B549,TODAY()-B549))</f>
        <v/>
      </c>
      <c r="AH549" s="36">
        <f>IF(OR(A549="",I549=""),"",MAX(0,IF(V549&lt;&gt;"",V549-I549,TODAY()-I549)))</f>
        <v/>
      </c>
      <c r="AI549" s="37">
        <f>IF(A549="","",IF(OR(K549="Closed",V549&lt;&gt;""),"Closed",IF(AH549&gt;=AgeCrit,"Critical",IF(AH549&gt;=AgeFu,"For Follow-up",IF(AH549&gt;=AgeMonitor,"Monitor","Within Standard")))))</f>
        <v/>
      </c>
      <c r="AJ549" s="38">
        <f>IF(A549="","",IFERROR(INDEX(StgPct,MATCH(H549,StgList,0)),0))</f>
        <v/>
      </c>
      <c r="AK549" s="38">
        <f>IF(A549="","",IFERROR(COUNTIF(Y549:AF549,"Y")/(COUNTIF(Y549:AF549,"Y")+COUNTIF(Y549:AF549,"N")),0))</f>
        <v/>
      </c>
      <c r="AL549" s="36">
        <f>IF(OR(A549="",X549=""),"",MAX(0,IF(V549&lt;&gt;"",V549,TODAY())-X549))</f>
        <v/>
      </c>
      <c r="AM549" s="32" t="n"/>
      <c r="AN549" s="33">
        <f>IF(A549="","",LOWER(AI549)&amp;"|"&amp;AH549&amp;"|"&amp;AJ549&amp;"|"&amp;AK549)</f>
        <v/>
      </c>
      <c r="AO549" s="33">
        <f>IF(OR(A549="",T549=""),"",T549-TODAY())</f>
        <v/>
      </c>
      <c r="AP549" s="33">
        <f>IF(OR(A549="",V549&lt;&gt;""),"",(TODAY()-B549)+ROW()/1000000)</f>
        <v/>
      </c>
    </row>
    <row r="550" ht="27" customHeight="1">
      <c r="A550" s="30" t="n"/>
      <c r="B550" s="31" t="n"/>
      <c r="C550" s="32" t="n"/>
      <c r="D550" s="32" t="n"/>
      <c r="E550" s="32" t="n"/>
      <c r="F550" s="32" t="n"/>
      <c r="G550" s="33">
        <f>IF(A550="","",IFERROR(INDEX(OffCat,MATCH(F550,OffList,0)),"Unlisted"))</f>
        <v/>
      </c>
      <c r="H550" s="30" t="n"/>
      <c r="I550" s="31" t="n"/>
      <c r="J550" s="34" t="n"/>
      <c r="K550" s="34" t="n"/>
      <c r="L550" s="34" t="n"/>
      <c r="M550" s="30" t="n"/>
      <c r="N550" s="30" t="n"/>
      <c r="O550" s="30" t="n"/>
      <c r="P550" s="30" t="n"/>
      <c r="Q550" s="31" t="n"/>
      <c r="R550" s="31" t="n"/>
      <c r="S550" s="31" t="n"/>
      <c r="T550" s="31" t="n"/>
      <c r="U550" s="31" t="n"/>
      <c r="V550" s="31" t="n"/>
      <c r="W550" s="30" t="n"/>
      <c r="X550" s="31" t="n"/>
      <c r="Y550" s="35" t="n"/>
      <c r="Z550" s="35" t="n"/>
      <c r="AA550" s="35" t="n"/>
      <c r="AB550" s="35" t="n"/>
      <c r="AC550" s="35" t="n"/>
      <c r="AD550" s="35" t="n"/>
      <c r="AE550" s="35" t="n"/>
      <c r="AF550" s="35" t="n"/>
      <c r="AG550" s="36">
        <f>IF(A550="","",IF(V550&lt;&gt;"",V550-B550,TODAY()-B550))</f>
        <v/>
      </c>
      <c r="AH550" s="36">
        <f>IF(OR(A550="",I550=""),"",MAX(0,IF(V550&lt;&gt;"",V550-I550,TODAY()-I550)))</f>
        <v/>
      </c>
      <c r="AI550" s="37">
        <f>IF(A550="","",IF(OR(K550="Closed",V550&lt;&gt;""),"Closed",IF(AH550&gt;=AgeCrit,"Critical",IF(AH550&gt;=AgeFu,"For Follow-up",IF(AH550&gt;=AgeMonitor,"Monitor","Within Standard")))))</f>
        <v/>
      </c>
      <c r="AJ550" s="38">
        <f>IF(A550="","",IFERROR(INDEX(StgPct,MATCH(H550,StgList,0)),0))</f>
        <v/>
      </c>
      <c r="AK550" s="38">
        <f>IF(A550="","",IFERROR(COUNTIF(Y550:AF550,"Y")/(COUNTIF(Y550:AF550,"Y")+COUNTIF(Y550:AF550,"N")),0))</f>
        <v/>
      </c>
      <c r="AL550" s="36">
        <f>IF(OR(A550="",X550=""),"",MAX(0,IF(V550&lt;&gt;"",V550,TODAY())-X550))</f>
        <v/>
      </c>
      <c r="AM550" s="32" t="n"/>
      <c r="AN550" s="33">
        <f>IF(A550="","",LOWER(AI550)&amp;"|"&amp;AH550&amp;"|"&amp;AJ550&amp;"|"&amp;AK550)</f>
        <v/>
      </c>
      <c r="AO550" s="33">
        <f>IF(OR(A550="",T550=""),"",T550-TODAY())</f>
        <v/>
      </c>
      <c r="AP550" s="33">
        <f>IF(OR(A550="",V550&lt;&gt;""),"",(TODAY()-B550)+ROW()/1000000)</f>
        <v/>
      </c>
    </row>
    <row r="551" ht="27" customHeight="1">
      <c r="A551" s="30" t="n"/>
      <c r="B551" s="31" t="n"/>
      <c r="C551" s="32" t="n"/>
      <c r="D551" s="32" t="n"/>
      <c r="E551" s="32" t="n"/>
      <c r="F551" s="32" t="n"/>
      <c r="G551" s="33">
        <f>IF(A551="","",IFERROR(INDEX(OffCat,MATCH(F551,OffList,0)),"Unlisted"))</f>
        <v/>
      </c>
      <c r="H551" s="30" t="n"/>
      <c r="I551" s="31" t="n"/>
      <c r="J551" s="34" t="n"/>
      <c r="K551" s="34" t="n"/>
      <c r="L551" s="34" t="n"/>
      <c r="M551" s="30" t="n"/>
      <c r="N551" s="30" t="n"/>
      <c r="O551" s="30" t="n"/>
      <c r="P551" s="30" t="n"/>
      <c r="Q551" s="31" t="n"/>
      <c r="R551" s="31" t="n"/>
      <c r="S551" s="31" t="n"/>
      <c r="T551" s="31" t="n"/>
      <c r="U551" s="31" t="n"/>
      <c r="V551" s="31" t="n"/>
      <c r="W551" s="30" t="n"/>
      <c r="X551" s="31" t="n"/>
      <c r="Y551" s="35" t="n"/>
      <c r="Z551" s="35" t="n"/>
      <c r="AA551" s="35" t="n"/>
      <c r="AB551" s="35" t="n"/>
      <c r="AC551" s="35" t="n"/>
      <c r="AD551" s="35" t="n"/>
      <c r="AE551" s="35" t="n"/>
      <c r="AF551" s="35" t="n"/>
      <c r="AG551" s="36">
        <f>IF(A551="","",IF(V551&lt;&gt;"",V551-B551,TODAY()-B551))</f>
        <v/>
      </c>
      <c r="AH551" s="36">
        <f>IF(OR(A551="",I551=""),"",MAX(0,IF(V551&lt;&gt;"",V551-I551,TODAY()-I551)))</f>
        <v/>
      </c>
      <c r="AI551" s="37">
        <f>IF(A551="","",IF(OR(K551="Closed",V551&lt;&gt;""),"Closed",IF(AH551&gt;=AgeCrit,"Critical",IF(AH551&gt;=AgeFu,"For Follow-up",IF(AH551&gt;=AgeMonitor,"Monitor","Within Standard")))))</f>
        <v/>
      </c>
      <c r="AJ551" s="38">
        <f>IF(A551="","",IFERROR(INDEX(StgPct,MATCH(H551,StgList,0)),0))</f>
        <v/>
      </c>
      <c r="AK551" s="38">
        <f>IF(A551="","",IFERROR(COUNTIF(Y551:AF551,"Y")/(COUNTIF(Y551:AF551,"Y")+COUNTIF(Y551:AF551,"N")),0))</f>
        <v/>
      </c>
      <c r="AL551" s="36">
        <f>IF(OR(A551="",X551=""),"",MAX(0,IF(V551&lt;&gt;"",V551,TODAY())-X551))</f>
        <v/>
      </c>
      <c r="AM551" s="32" t="n"/>
      <c r="AN551" s="33">
        <f>IF(A551="","",LOWER(AI551)&amp;"|"&amp;AH551&amp;"|"&amp;AJ551&amp;"|"&amp;AK551)</f>
        <v/>
      </c>
      <c r="AO551" s="33">
        <f>IF(OR(A551="",T551=""),"",T551-TODAY())</f>
        <v/>
      </c>
      <c r="AP551" s="33">
        <f>IF(OR(A551="",V551&lt;&gt;""),"",(TODAY()-B551)+ROW()/1000000)</f>
        <v/>
      </c>
    </row>
    <row r="552" ht="27" customHeight="1">
      <c r="A552" s="30" t="n"/>
      <c r="B552" s="31" t="n"/>
      <c r="C552" s="32" t="n"/>
      <c r="D552" s="32" t="n"/>
      <c r="E552" s="32" t="n"/>
      <c r="F552" s="32" t="n"/>
      <c r="G552" s="33">
        <f>IF(A552="","",IFERROR(INDEX(OffCat,MATCH(F552,OffList,0)),"Unlisted"))</f>
        <v/>
      </c>
      <c r="H552" s="30" t="n"/>
      <c r="I552" s="31" t="n"/>
      <c r="J552" s="34" t="n"/>
      <c r="K552" s="34" t="n"/>
      <c r="L552" s="34" t="n"/>
      <c r="M552" s="30" t="n"/>
      <c r="N552" s="30" t="n"/>
      <c r="O552" s="30" t="n"/>
      <c r="P552" s="30" t="n"/>
      <c r="Q552" s="31" t="n"/>
      <c r="R552" s="31" t="n"/>
      <c r="S552" s="31" t="n"/>
      <c r="T552" s="31" t="n"/>
      <c r="U552" s="31" t="n"/>
      <c r="V552" s="31" t="n"/>
      <c r="W552" s="30" t="n"/>
      <c r="X552" s="31" t="n"/>
      <c r="Y552" s="35" t="n"/>
      <c r="Z552" s="35" t="n"/>
      <c r="AA552" s="35" t="n"/>
      <c r="AB552" s="35" t="n"/>
      <c r="AC552" s="35" t="n"/>
      <c r="AD552" s="35" t="n"/>
      <c r="AE552" s="35" t="n"/>
      <c r="AF552" s="35" t="n"/>
      <c r="AG552" s="36">
        <f>IF(A552="","",IF(V552&lt;&gt;"",V552-B552,TODAY()-B552))</f>
        <v/>
      </c>
      <c r="AH552" s="36">
        <f>IF(OR(A552="",I552=""),"",MAX(0,IF(V552&lt;&gt;"",V552-I552,TODAY()-I552)))</f>
        <v/>
      </c>
      <c r="AI552" s="37">
        <f>IF(A552="","",IF(OR(K552="Closed",V552&lt;&gt;""),"Closed",IF(AH552&gt;=AgeCrit,"Critical",IF(AH552&gt;=AgeFu,"For Follow-up",IF(AH552&gt;=AgeMonitor,"Monitor","Within Standard")))))</f>
        <v/>
      </c>
      <c r="AJ552" s="38">
        <f>IF(A552="","",IFERROR(INDEX(StgPct,MATCH(H552,StgList,0)),0))</f>
        <v/>
      </c>
      <c r="AK552" s="38">
        <f>IF(A552="","",IFERROR(COUNTIF(Y552:AF552,"Y")/(COUNTIF(Y552:AF552,"Y")+COUNTIF(Y552:AF552,"N")),0))</f>
        <v/>
      </c>
      <c r="AL552" s="36">
        <f>IF(OR(A552="",X552=""),"",MAX(0,IF(V552&lt;&gt;"",V552,TODAY())-X552))</f>
        <v/>
      </c>
      <c r="AM552" s="32" t="n"/>
      <c r="AN552" s="33">
        <f>IF(A552="","",LOWER(AI552)&amp;"|"&amp;AH552&amp;"|"&amp;AJ552&amp;"|"&amp;AK552)</f>
        <v/>
      </c>
      <c r="AO552" s="33">
        <f>IF(OR(A552="",T552=""),"",T552-TODAY())</f>
        <v/>
      </c>
      <c r="AP552" s="33">
        <f>IF(OR(A552="",V552&lt;&gt;""),"",(TODAY()-B552)+ROW()/1000000)</f>
        <v/>
      </c>
    </row>
    <row r="553" ht="27" customHeight="1">
      <c r="A553" s="30" t="n"/>
      <c r="B553" s="31" t="n"/>
      <c r="C553" s="32" t="n"/>
      <c r="D553" s="32" t="n"/>
      <c r="E553" s="32" t="n"/>
      <c r="F553" s="32" t="n"/>
      <c r="G553" s="33">
        <f>IF(A553="","",IFERROR(INDEX(OffCat,MATCH(F553,OffList,0)),"Unlisted"))</f>
        <v/>
      </c>
      <c r="H553" s="30" t="n"/>
      <c r="I553" s="31" t="n"/>
      <c r="J553" s="34" t="n"/>
      <c r="K553" s="34" t="n"/>
      <c r="L553" s="34" t="n"/>
      <c r="M553" s="30" t="n"/>
      <c r="N553" s="30" t="n"/>
      <c r="O553" s="30" t="n"/>
      <c r="P553" s="30" t="n"/>
      <c r="Q553" s="31" t="n"/>
      <c r="R553" s="31" t="n"/>
      <c r="S553" s="31" t="n"/>
      <c r="T553" s="31" t="n"/>
      <c r="U553" s="31" t="n"/>
      <c r="V553" s="31" t="n"/>
      <c r="W553" s="30" t="n"/>
      <c r="X553" s="31" t="n"/>
      <c r="Y553" s="35" t="n"/>
      <c r="Z553" s="35" t="n"/>
      <c r="AA553" s="35" t="n"/>
      <c r="AB553" s="35" t="n"/>
      <c r="AC553" s="35" t="n"/>
      <c r="AD553" s="35" t="n"/>
      <c r="AE553" s="35" t="n"/>
      <c r="AF553" s="35" t="n"/>
      <c r="AG553" s="36">
        <f>IF(A553="","",IF(V553&lt;&gt;"",V553-B553,TODAY()-B553))</f>
        <v/>
      </c>
      <c r="AH553" s="36">
        <f>IF(OR(A553="",I553=""),"",MAX(0,IF(V553&lt;&gt;"",V553-I553,TODAY()-I553)))</f>
        <v/>
      </c>
      <c r="AI553" s="37">
        <f>IF(A553="","",IF(OR(K553="Closed",V553&lt;&gt;""),"Closed",IF(AH553&gt;=AgeCrit,"Critical",IF(AH553&gt;=AgeFu,"For Follow-up",IF(AH553&gt;=AgeMonitor,"Monitor","Within Standard")))))</f>
        <v/>
      </c>
      <c r="AJ553" s="38">
        <f>IF(A553="","",IFERROR(INDEX(StgPct,MATCH(H553,StgList,0)),0))</f>
        <v/>
      </c>
      <c r="AK553" s="38">
        <f>IF(A553="","",IFERROR(COUNTIF(Y553:AF553,"Y")/(COUNTIF(Y553:AF553,"Y")+COUNTIF(Y553:AF553,"N")),0))</f>
        <v/>
      </c>
      <c r="AL553" s="36">
        <f>IF(OR(A553="",X553=""),"",MAX(0,IF(V553&lt;&gt;"",V553,TODAY())-X553))</f>
        <v/>
      </c>
      <c r="AM553" s="32" t="n"/>
      <c r="AN553" s="33">
        <f>IF(A553="","",LOWER(AI553)&amp;"|"&amp;AH553&amp;"|"&amp;AJ553&amp;"|"&amp;AK553)</f>
        <v/>
      </c>
      <c r="AO553" s="33">
        <f>IF(OR(A553="",T553=""),"",T553-TODAY())</f>
        <v/>
      </c>
      <c r="AP553" s="33">
        <f>IF(OR(A553="",V553&lt;&gt;""),"",(TODAY()-B553)+ROW()/1000000)</f>
        <v/>
      </c>
    </row>
    <row r="554" ht="27" customHeight="1">
      <c r="A554" s="30" t="n"/>
      <c r="B554" s="31" t="n"/>
      <c r="C554" s="32" t="n"/>
      <c r="D554" s="32" t="n"/>
      <c r="E554" s="32" t="n"/>
      <c r="F554" s="32" t="n"/>
      <c r="G554" s="33">
        <f>IF(A554="","",IFERROR(INDEX(OffCat,MATCH(F554,OffList,0)),"Unlisted"))</f>
        <v/>
      </c>
      <c r="H554" s="30" t="n"/>
      <c r="I554" s="31" t="n"/>
      <c r="J554" s="34" t="n"/>
      <c r="K554" s="34" t="n"/>
      <c r="L554" s="34" t="n"/>
      <c r="M554" s="30" t="n"/>
      <c r="N554" s="30" t="n"/>
      <c r="O554" s="30" t="n"/>
      <c r="P554" s="30" t="n"/>
      <c r="Q554" s="31" t="n"/>
      <c r="R554" s="31" t="n"/>
      <c r="S554" s="31" t="n"/>
      <c r="T554" s="31" t="n"/>
      <c r="U554" s="31" t="n"/>
      <c r="V554" s="31" t="n"/>
      <c r="W554" s="30" t="n"/>
      <c r="X554" s="31" t="n"/>
      <c r="Y554" s="35" t="n"/>
      <c r="Z554" s="35" t="n"/>
      <c r="AA554" s="35" t="n"/>
      <c r="AB554" s="35" t="n"/>
      <c r="AC554" s="35" t="n"/>
      <c r="AD554" s="35" t="n"/>
      <c r="AE554" s="35" t="n"/>
      <c r="AF554" s="35" t="n"/>
      <c r="AG554" s="36">
        <f>IF(A554="","",IF(V554&lt;&gt;"",V554-B554,TODAY()-B554))</f>
        <v/>
      </c>
      <c r="AH554" s="36">
        <f>IF(OR(A554="",I554=""),"",MAX(0,IF(V554&lt;&gt;"",V554-I554,TODAY()-I554)))</f>
        <v/>
      </c>
      <c r="AI554" s="37">
        <f>IF(A554="","",IF(OR(K554="Closed",V554&lt;&gt;""),"Closed",IF(AH554&gt;=AgeCrit,"Critical",IF(AH554&gt;=AgeFu,"For Follow-up",IF(AH554&gt;=AgeMonitor,"Monitor","Within Standard")))))</f>
        <v/>
      </c>
      <c r="AJ554" s="38">
        <f>IF(A554="","",IFERROR(INDEX(StgPct,MATCH(H554,StgList,0)),0))</f>
        <v/>
      </c>
      <c r="AK554" s="38">
        <f>IF(A554="","",IFERROR(COUNTIF(Y554:AF554,"Y")/(COUNTIF(Y554:AF554,"Y")+COUNTIF(Y554:AF554,"N")),0))</f>
        <v/>
      </c>
      <c r="AL554" s="36">
        <f>IF(OR(A554="",X554=""),"",MAX(0,IF(V554&lt;&gt;"",V554,TODAY())-X554))</f>
        <v/>
      </c>
      <c r="AM554" s="32" t="n"/>
      <c r="AN554" s="33">
        <f>IF(A554="","",LOWER(AI554)&amp;"|"&amp;AH554&amp;"|"&amp;AJ554&amp;"|"&amp;AK554)</f>
        <v/>
      </c>
      <c r="AO554" s="33">
        <f>IF(OR(A554="",T554=""),"",T554-TODAY())</f>
        <v/>
      </c>
      <c r="AP554" s="33">
        <f>IF(OR(A554="",V554&lt;&gt;""),"",(TODAY()-B554)+ROW()/1000000)</f>
        <v/>
      </c>
    </row>
    <row r="555" ht="27" customHeight="1">
      <c r="A555" s="30" t="n"/>
      <c r="B555" s="31" t="n"/>
      <c r="C555" s="32" t="n"/>
      <c r="D555" s="32" t="n"/>
      <c r="E555" s="32" t="n"/>
      <c r="F555" s="32" t="n"/>
      <c r="G555" s="33">
        <f>IF(A555="","",IFERROR(INDEX(OffCat,MATCH(F555,OffList,0)),"Unlisted"))</f>
        <v/>
      </c>
      <c r="H555" s="30" t="n"/>
      <c r="I555" s="31" t="n"/>
      <c r="J555" s="34" t="n"/>
      <c r="K555" s="34" t="n"/>
      <c r="L555" s="34" t="n"/>
      <c r="M555" s="30" t="n"/>
      <c r="N555" s="30" t="n"/>
      <c r="O555" s="30" t="n"/>
      <c r="P555" s="30" t="n"/>
      <c r="Q555" s="31" t="n"/>
      <c r="R555" s="31" t="n"/>
      <c r="S555" s="31" t="n"/>
      <c r="T555" s="31" t="n"/>
      <c r="U555" s="31" t="n"/>
      <c r="V555" s="31" t="n"/>
      <c r="W555" s="30" t="n"/>
      <c r="X555" s="31" t="n"/>
      <c r="Y555" s="35" t="n"/>
      <c r="Z555" s="35" t="n"/>
      <c r="AA555" s="35" t="n"/>
      <c r="AB555" s="35" t="n"/>
      <c r="AC555" s="35" t="n"/>
      <c r="AD555" s="35" t="n"/>
      <c r="AE555" s="35" t="n"/>
      <c r="AF555" s="35" t="n"/>
      <c r="AG555" s="36">
        <f>IF(A555="","",IF(V555&lt;&gt;"",V555-B555,TODAY()-B555))</f>
        <v/>
      </c>
      <c r="AH555" s="36">
        <f>IF(OR(A555="",I555=""),"",MAX(0,IF(V555&lt;&gt;"",V555-I555,TODAY()-I555)))</f>
        <v/>
      </c>
      <c r="AI555" s="37">
        <f>IF(A555="","",IF(OR(K555="Closed",V555&lt;&gt;""),"Closed",IF(AH555&gt;=AgeCrit,"Critical",IF(AH555&gt;=AgeFu,"For Follow-up",IF(AH555&gt;=AgeMonitor,"Monitor","Within Standard")))))</f>
        <v/>
      </c>
      <c r="AJ555" s="38">
        <f>IF(A555="","",IFERROR(INDEX(StgPct,MATCH(H555,StgList,0)),0))</f>
        <v/>
      </c>
      <c r="AK555" s="38">
        <f>IF(A555="","",IFERROR(COUNTIF(Y555:AF555,"Y")/(COUNTIF(Y555:AF555,"Y")+COUNTIF(Y555:AF555,"N")),0))</f>
        <v/>
      </c>
      <c r="AL555" s="36">
        <f>IF(OR(A555="",X555=""),"",MAX(0,IF(V555&lt;&gt;"",V555,TODAY())-X555))</f>
        <v/>
      </c>
      <c r="AM555" s="32" t="n"/>
      <c r="AN555" s="33">
        <f>IF(A555="","",LOWER(AI555)&amp;"|"&amp;AH555&amp;"|"&amp;AJ555&amp;"|"&amp;AK555)</f>
        <v/>
      </c>
      <c r="AO555" s="33">
        <f>IF(OR(A555="",T555=""),"",T555-TODAY())</f>
        <v/>
      </c>
      <c r="AP555" s="33">
        <f>IF(OR(A555="",V555&lt;&gt;""),"",(TODAY()-B555)+ROW()/1000000)</f>
        <v/>
      </c>
    </row>
    <row r="556" ht="27" customHeight="1">
      <c r="A556" s="30" t="n"/>
      <c r="B556" s="31" t="n"/>
      <c r="C556" s="32" t="n"/>
      <c r="D556" s="32" t="n"/>
      <c r="E556" s="32" t="n"/>
      <c r="F556" s="32" t="n"/>
      <c r="G556" s="33">
        <f>IF(A556="","",IFERROR(INDEX(OffCat,MATCH(F556,OffList,0)),"Unlisted"))</f>
        <v/>
      </c>
      <c r="H556" s="30" t="n"/>
      <c r="I556" s="31" t="n"/>
      <c r="J556" s="34" t="n"/>
      <c r="K556" s="34" t="n"/>
      <c r="L556" s="34" t="n"/>
      <c r="M556" s="30" t="n"/>
      <c r="N556" s="30" t="n"/>
      <c r="O556" s="30" t="n"/>
      <c r="P556" s="30" t="n"/>
      <c r="Q556" s="31" t="n"/>
      <c r="R556" s="31" t="n"/>
      <c r="S556" s="31" t="n"/>
      <c r="T556" s="31" t="n"/>
      <c r="U556" s="31" t="n"/>
      <c r="V556" s="31" t="n"/>
      <c r="W556" s="30" t="n"/>
      <c r="X556" s="31" t="n"/>
      <c r="Y556" s="35" t="n"/>
      <c r="Z556" s="35" t="n"/>
      <c r="AA556" s="35" t="n"/>
      <c r="AB556" s="35" t="n"/>
      <c r="AC556" s="35" t="n"/>
      <c r="AD556" s="35" t="n"/>
      <c r="AE556" s="35" t="n"/>
      <c r="AF556" s="35" t="n"/>
      <c r="AG556" s="36">
        <f>IF(A556="","",IF(V556&lt;&gt;"",V556-B556,TODAY()-B556))</f>
        <v/>
      </c>
      <c r="AH556" s="36">
        <f>IF(OR(A556="",I556=""),"",MAX(0,IF(V556&lt;&gt;"",V556-I556,TODAY()-I556)))</f>
        <v/>
      </c>
      <c r="AI556" s="37">
        <f>IF(A556="","",IF(OR(K556="Closed",V556&lt;&gt;""),"Closed",IF(AH556&gt;=AgeCrit,"Critical",IF(AH556&gt;=AgeFu,"For Follow-up",IF(AH556&gt;=AgeMonitor,"Monitor","Within Standard")))))</f>
        <v/>
      </c>
      <c r="AJ556" s="38">
        <f>IF(A556="","",IFERROR(INDEX(StgPct,MATCH(H556,StgList,0)),0))</f>
        <v/>
      </c>
      <c r="AK556" s="38">
        <f>IF(A556="","",IFERROR(COUNTIF(Y556:AF556,"Y")/(COUNTIF(Y556:AF556,"Y")+COUNTIF(Y556:AF556,"N")),0))</f>
        <v/>
      </c>
      <c r="AL556" s="36">
        <f>IF(OR(A556="",X556=""),"",MAX(0,IF(V556&lt;&gt;"",V556,TODAY())-X556))</f>
        <v/>
      </c>
      <c r="AM556" s="32" t="n"/>
      <c r="AN556" s="33">
        <f>IF(A556="","",LOWER(AI556)&amp;"|"&amp;AH556&amp;"|"&amp;AJ556&amp;"|"&amp;AK556)</f>
        <v/>
      </c>
      <c r="AO556" s="33">
        <f>IF(OR(A556="",T556=""),"",T556-TODAY())</f>
        <v/>
      </c>
      <c r="AP556" s="33">
        <f>IF(OR(A556="",V556&lt;&gt;""),"",(TODAY()-B556)+ROW()/1000000)</f>
        <v/>
      </c>
    </row>
    <row r="557" ht="27" customHeight="1">
      <c r="A557" s="30" t="n"/>
      <c r="B557" s="31" t="n"/>
      <c r="C557" s="32" t="n"/>
      <c r="D557" s="32" t="n"/>
      <c r="E557" s="32" t="n"/>
      <c r="F557" s="32" t="n"/>
      <c r="G557" s="33">
        <f>IF(A557="","",IFERROR(INDEX(OffCat,MATCH(F557,OffList,0)),"Unlisted"))</f>
        <v/>
      </c>
      <c r="H557" s="30" t="n"/>
      <c r="I557" s="31" t="n"/>
      <c r="J557" s="34" t="n"/>
      <c r="K557" s="34" t="n"/>
      <c r="L557" s="34" t="n"/>
      <c r="M557" s="30" t="n"/>
      <c r="N557" s="30" t="n"/>
      <c r="O557" s="30" t="n"/>
      <c r="P557" s="30" t="n"/>
      <c r="Q557" s="31" t="n"/>
      <c r="R557" s="31" t="n"/>
      <c r="S557" s="31" t="n"/>
      <c r="T557" s="31" t="n"/>
      <c r="U557" s="31" t="n"/>
      <c r="V557" s="31" t="n"/>
      <c r="W557" s="30" t="n"/>
      <c r="X557" s="31" t="n"/>
      <c r="Y557" s="35" t="n"/>
      <c r="Z557" s="35" t="n"/>
      <c r="AA557" s="35" t="n"/>
      <c r="AB557" s="35" t="n"/>
      <c r="AC557" s="35" t="n"/>
      <c r="AD557" s="35" t="n"/>
      <c r="AE557" s="35" t="n"/>
      <c r="AF557" s="35" t="n"/>
      <c r="AG557" s="36">
        <f>IF(A557="","",IF(V557&lt;&gt;"",V557-B557,TODAY()-B557))</f>
        <v/>
      </c>
      <c r="AH557" s="36">
        <f>IF(OR(A557="",I557=""),"",MAX(0,IF(V557&lt;&gt;"",V557-I557,TODAY()-I557)))</f>
        <v/>
      </c>
      <c r="AI557" s="37">
        <f>IF(A557="","",IF(OR(K557="Closed",V557&lt;&gt;""),"Closed",IF(AH557&gt;=AgeCrit,"Critical",IF(AH557&gt;=AgeFu,"For Follow-up",IF(AH557&gt;=AgeMonitor,"Monitor","Within Standard")))))</f>
        <v/>
      </c>
      <c r="AJ557" s="38">
        <f>IF(A557="","",IFERROR(INDEX(StgPct,MATCH(H557,StgList,0)),0))</f>
        <v/>
      </c>
      <c r="AK557" s="38">
        <f>IF(A557="","",IFERROR(COUNTIF(Y557:AF557,"Y")/(COUNTIF(Y557:AF557,"Y")+COUNTIF(Y557:AF557,"N")),0))</f>
        <v/>
      </c>
      <c r="AL557" s="36">
        <f>IF(OR(A557="",X557=""),"",MAX(0,IF(V557&lt;&gt;"",V557,TODAY())-X557))</f>
        <v/>
      </c>
      <c r="AM557" s="32" t="n"/>
      <c r="AN557" s="33">
        <f>IF(A557="","",LOWER(AI557)&amp;"|"&amp;AH557&amp;"|"&amp;AJ557&amp;"|"&amp;AK557)</f>
        <v/>
      </c>
      <c r="AO557" s="33">
        <f>IF(OR(A557="",T557=""),"",T557-TODAY())</f>
        <v/>
      </c>
      <c r="AP557" s="33">
        <f>IF(OR(A557="",V557&lt;&gt;""),"",(TODAY()-B557)+ROW()/1000000)</f>
        <v/>
      </c>
    </row>
    <row r="558" ht="27" customHeight="1">
      <c r="A558" s="30" t="n"/>
      <c r="B558" s="31" t="n"/>
      <c r="C558" s="32" t="n"/>
      <c r="D558" s="32" t="n"/>
      <c r="E558" s="32" t="n"/>
      <c r="F558" s="32" t="n"/>
      <c r="G558" s="33">
        <f>IF(A558="","",IFERROR(INDEX(OffCat,MATCH(F558,OffList,0)),"Unlisted"))</f>
        <v/>
      </c>
      <c r="H558" s="30" t="n"/>
      <c r="I558" s="31" t="n"/>
      <c r="J558" s="34" t="n"/>
      <c r="K558" s="34" t="n"/>
      <c r="L558" s="34" t="n"/>
      <c r="M558" s="30" t="n"/>
      <c r="N558" s="30" t="n"/>
      <c r="O558" s="30" t="n"/>
      <c r="P558" s="30" t="n"/>
      <c r="Q558" s="31" t="n"/>
      <c r="R558" s="31" t="n"/>
      <c r="S558" s="31" t="n"/>
      <c r="T558" s="31" t="n"/>
      <c r="U558" s="31" t="n"/>
      <c r="V558" s="31" t="n"/>
      <c r="W558" s="30" t="n"/>
      <c r="X558" s="31" t="n"/>
      <c r="Y558" s="35" t="n"/>
      <c r="Z558" s="35" t="n"/>
      <c r="AA558" s="35" t="n"/>
      <c r="AB558" s="35" t="n"/>
      <c r="AC558" s="35" t="n"/>
      <c r="AD558" s="35" t="n"/>
      <c r="AE558" s="35" t="n"/>
      <c r="AF558" s="35" t="n"/>
      <c r="AG558" s="36">
        <f>IF(A558="","",IF(V558&lt;&gt;"",V558-B558,TODAY()-B558))</f>
        <v/>
      </c>
      <c r="AH558" s="36">
        <f>IF(OR(A558="",I558=""),"",MAX(0,IF(V558&lt;&gt;"",V558-I558,TODAY()-I558)))</f>
        <v/>
      </c>
      <c r="AI558" s="37">
        <f>IF(A558="","",IF(OR(K558="Closed",V558&lt;&gt;""),"Closed",IF(AH558&gt;=AgeCrit,"Critical",IF(AH558&gt;=AgeFu,"For Follow-up",IF(AH558&gt;=AgeMonitor,"Monitor","Within Standard")))))</f>
        <v/>
      </c>
      <c r="AJ558" s="38">
        <f>IF(A558="","",IFERROR(INDEX(StgPct,MATCH(H558,StgList,0)),0))</f>
        <v/>
      </c>
      <c r="AK558" s="38">
        <f>IF(A558="","",IFERROR(COUNTIF(Y558:AF558,"Y")/(COUNTIF(Y558:AF558,"Y")+COUNTIF(Y558:AF558,"N")),0))</f>
        <v/>
      </c>
      <c r="AL558" s="36">
        <f>IF(OR(A558="",X558=""),"",MAX(0,IF(V558&lt;&gt;"",V558,TODAY())-X558))</f>
        <v/>
      </c>
      <c r="AM558" s="32" t="n"/>
      <c r="AN558" s="33">
        <f>IF(A558="","",LOWER(AI558)&amp;"|"&amp;AH558&amp;"|"&amp;AJ558&amp;"|"&amp;AK558)</f>
        <v/>
      </c>
      <c r="AO558" s="33">
        <f>IF(OR(A558="",T558=""),"",T558-TODAY())</f>
        <v/>
      </c>
      <c r="AP558" s="33">
        <f>IF(OR(A558="",V558&lt;&gt;""),"",(TODAY()-B558)+ROW()/1000000)</f>
        <v/>
      </c>
    </row>
    <row r="559" ht="27" customHeight="1">
      <c r="A559" s="30" t="n"/>
      <c r="B559" s="31" t="n"/>
      <c r="C559" s="32" t="n"/>
      <c r="D559" s="32" t="n"/>
      <c r="E559" s="32" t="n"/>
      <c r="F559" s="32" t="n"/>
      <c r="G559" s="33">
        <f>IF(A559="","",IFERROR(INDEX(OffCat,MATCH(F559,OffList,0)),"Unlisted"))</f>
        <v/>
      </c>
      <c r="H559" s="30" t="n"/>
      <c r="I559" s="31" t="n"/>
      <c r="J559" s="34" t="n"/>
      <c r="K559" s="34" t="n"/>
      <c r="L559" s="34" t="n"/>
      <c r="M559" s="30" t="n"/>
      <c r="N559" s="30" t="n"/>
      <c r="O559" s="30" t="n"/>
      <c r="P559" s="30" t="n"/>
      <c r="Q559" s="31" t="n"/>
      <c r="R559" s="31" t="n"/>
      <c r="S559" s="31" t="n"/>
      <c r="T559" s="31" t="n"/>
      <c r="U559" s="31" t="n"/>
      <c r="V559" s="31" t="n"/>
      <c r="W559" s="30" t="n"/>
      <c r="X559" s="31" t="n"/>
      <c r="Y559" s="35" t="n"/>
      <c r="Z559" s="35" t="n"/>
      <c r="AA559" s="35" t="n"/>
      <c r="AB559" s="35" t="n"/>
      <c r="AC559" s="35" t="n"/>
      <c r="AD559" s="35" t="n"/>
      <c r="AE559" s="35" t="n"/>
      <c r="AF559" s="35" t="n"/>
      <c r="AG559" s="36">
        <f>IF(A559="","",IF(V559&lt;&gt;"",V559-B559,TODAY()-B559))</f>
        <v/>
      </c>
      <c r="AH559" s="36">
        <f>IF(OR(A559="",I559=""),"",MAX(0,IF(V559&lt;&gt;"",V559-I559,TODAY()-I559)))</f>
        <v/>
      </c>
      <c r="AI559" s="37">
        <f>IF(A559="","",IF(OR(K559="Closed",V559&lt;&gt;""),"Closed",IF(AH559&gt;=AgeCrit,"Critical",IF(AH559&gt;=AgeFu,"For Follow-up",IF(AH559&gt;=AgeMonitor,"Monitor","Within Standard")))))</f>
        <v/>
      </c>
      <c r="AJ559" s="38">
        <f>IF(A559="","",IFERROR(INDEX(StgPct,MATCH(H559,StgList,0)),0))</f>
        <v/>
      </c>
      <c r="AK559" s="38">
        <f>IF(A559="","",IFERROR(COUNTIF(Y559:AF559,"Y")/(COUNTIF(Y559:AF559,"Y")+COUNTIF(Y559:AF559,"N")),0))</f>
        <v/>
      </c>
      <c r="AL559" s="36">
        <f>IF(OR(A559="",X559=""),"",MAX(0,IF(V559&lt;&gt;"",V559,TODAY())-X559))</f>
        <v/>
      </c>
      <c r="AM559" s="32" t="n"/>
      <c r="AN559" s="33">
        <f>IF(A559="","",LOWER(AI559)&amp;"|"&amp;AH559&amp;"|"&amp;AJ559&amp;"|"&amp;AK559)</f>
        <v/>
      </c>
      <c r="AO559" s="33">
        <f>IF(OR(A559="",T559=""),"",T559-TODAY())</f>
        <v/>
      </c>
      <c r="AP559" s="33">
        <f>IF(OR(A559="",V559&lt;&gt;""),"",(TODAY()-B559)+ROW()/1000000)</f>
        <v/>
      </c>
    </row>
    <row r="560" ht="27" customHeight="1">
      <c r="A560" s="30" t="n"/>
      <c r="B560" s="31" t="n"/>
      <c r="C560" s="32" t="n"/>
      <c r="D560" s="32" t="n"/>
      <c r="E560" s="32" t="n"/>
      <c r="F560" s="32" t="n"/>
      <c r="G560" s="33">
        <f>IF(A560="","",IFERROR(INDEX(OffCat,MATCH(F560,OffList,0)),"Unlisted"))</f>
        <v/>
      </c>
      <c r="H560" s="30" t="n"/>
      <c r="I560" s="31" t="n"/>
      <c r="J560" s="34" t="n"/>
      <c r="K560" s="34" t="n"/>
      <c r="L560" s="34" t="n"/>
      <c r="M560" s="30" t="n"/>
      <c r="N560" s="30" t="n"/>
      <c r="O560" s="30" t="n"/>
      <c r="P560" s="30" t="n"/>
      <c r="Q560" s="31" t="n"/>
      <c r="R560" s="31" t="n"/>
      <c r="S560" s="31" t="n"/>
      <c r="T560" s="31" t="n"/>
      <c r="U560" s="31" t="n"/>
      <c r="V560" s="31" t="n"/>
      <c r="W560" s="30" t="n"/>
      <c r="X560" s="31" t="n"/>
      <c r="Y560" s="35" t="n"/>
      <c r="Z560" s="35" t="n"/>
      <c r="AA560" s="35" t="n"/>
      <c r="AB560" s="35" t="n"/>
      <c r="AC560" s="35" t="n"/>
      <c r="AD560" s="35" t="n"/>
      <c r="AE560" s="35" t="n"/>
      <c r="AF560" s="35" t="n"/>
      <c r="AG560" s="36">
        <f>IF(A560="","",IF(V560&lt;&gt;"",V560-B560,TODAY()-B560))</f>
        <v/>
      </c>
      <c r="AH560" s="36">
        <f>IF(OR(A560="",I560=""),"",MAX(0,IF(V560&lt;&gt;"",V560-I560,TODAY()-I560)))</f>
        <v/>
      </c>
      <c r="AI560" s="37">
        <f>IF(A560="","",IF(OR(K560="Closed",V560&lt;&gt;""),"Closed",IF(AH560&gt;=AgeCrit,"Critical",IF(AH560&gt;=AgeFu,"For Follow-up",IF(AH560&gt;=AgeMonitor,"Monitor","Within Standard")))))</f>
        <v/>
      </c>
      <c r="AJ560" s="38">
        <f>IF(A560="","",IFERROR(INDEX(StgPct,MATCH(H560,StgList,0)),0))</f>
        <v/>
      </c>
      <c r="AK560" s="38">
        <f>IF(A560="","",IFERROR(COUNTIF(Y560:AF560,"Y")/(COUNTIF(Y560:AF560,"Y")+COUNTIF(Y560:AF560,"N")),0))</f>
        <v/>
      </c>
      <c r="AL560" s="36">
        <f>IF(OR(A560="",X560=""),"",MAX(0,IF(V560&lt;&gt;"",V560,TODAY())-X560))</f>
        <v/>
      </c>
      <c r="AM560" s="32" t="n"/>
      <c r="AN560" s="33">
        <f>IF(A560="","",LOWER(AI560)&amp;"|"&amp;AH560&amp;"|"&amp;AJ560&amp;"|"&amp;AK560)</f>
        <v/>
      </c>
      <c r="AO560" s="33">
        <f>IF(OR(A560="",T560=""),"",T560-TODAY())</f>
        <v/>
      </c>
      <c r="AP560" s="33">
        <f>IF(OR(A560="",V560&lt;&gt;""),"",(TODAY()-B560)+ROW()/1000000)</f>
        <v/>
      </c>
    </row>
    <row r="561" ht="27" customHeight="1">
      <c r="A561" s="30" t="n"/>
      <c r="B561" s="31" t="n"/>
      <c r="C561" s="32" t="n"/>
      <c r="D561" s="32" t="n"/>
      <c r="E561" s="32" t="n"/>
      <c r="F561" s="32" t="n"/>
      <c r="G561" s="33">
        <f>IF(A561="","",IFERROR(INDEX(OffCat,MATCH(F561,OffList,0)),"Unlisted"))</f>
        <v/>
      </c>
      <c r="H561" s="30" t="n"/>
      <c r="I561" s="31" t="n"/>
      <c r="J561" s="34" t="n"/>
      <c r="K561" s="34" t="n"/>
      <c r="L561" s="34" t="n"/>
      <c r="M561" s="30" t="n"/>
      <c r="N561" s="30" t="n"/>
      <c r="O561" s="30" t="n"/>
      <c r="P561" s="30" t="n"/>
      <c r="Q561" s="31" t="n"/>
      <c r="R561" s="31" t="n"/>
      <c r="S561" s="31" t="n"/>
      <c r="T561" s="31" t="n"/>
      <c r="U561" s="31" t="n"/>
      <c r="V561" s="31" t="n"/>
      <c r="W561" s="30" t="n"/>
      <c r="X561" s="31" t="n"/>
      <c r="Y561" s="35" t="n"/>
      <c r="Z561" s="35" t="n"/>
      <c r="AA561" s="35" t="n"/>
      <c r="AB561" s="35" t="n"/>
      <c r="AC561" s="35" t="n"/>
      <c r="AD561" s="35" t="n"/>
      <c r="AE561" s="35" t="n"/>
      <c r="AF561" s="35" t="n"/>
      <c r="AG561" s="36">
        <f>IF(A561="","",IF(V561&lt;&gt;"",V561-B561,TODAY()-B561))</f>
        <v/>
      </c>
      <c r="AH561" s="36">
        <f>IF(OR(A561="",I561=""),"",MAX(0,IF(V561&lt;&gt;"",V561-I561,TODAY()-I561)))</f>
        <v/>
      </c>
      <c r="AI561" s="37">
        <f>IF(A561="","",IF(OR(K561="Closed",V561&lt;&gt;""),"Closed",IF(AH561&gt;=AgeCrit,"Critical",IF(AH561&gt;=AgeFu,"For Follow-up",IF(AH561&gt;=AgeMonitor,"Monitor","Within Standard")))))</f>
        <v/>
      </c>
      <c r="AJ561" s="38">
        <f>IF(A561="","",IFERROR(INDEX(StgPct,MATCH(H561,StgList,0)),0))</f>
        <v/>
      </c>
      <c r="AK561" s="38">
        <f>IF(A561="","",IFERROR(COUNTIF(Y561:AF561,"Y")/(COUNTIF(Y561:AF561,"Y")+COUNTIF(Y561:AF561,"N")),0))</f>
        <v/>
      </c>
      <c r="AL561" s="36">
        <f>IF(OR(A561="",X561=""),"",MAX(0,IF(V561&lt;&gt;"",V561,TODAY())-X561))</f>
        <v/>
      </c>
      <c r="AM561" s="32" t="n"/>
      <c r="AN561" s="33">
        <f>IF(A561="","",LOWER(AI561)&amp;"|"&amp;AH561&amp;"|"&amp;AJ561&amp;"|"&amp;AK561)</f>
        <v/>
      </c>
      <c r="AO561" s="33">
        <f>IF(OR(A561="",T561=""),"",T561-TODAY())</f>
        <v/>
      </c>
      <c r="AP561" s="33">
        <f>IF(OR(A561="",V561&lt;&gt;""),"",(TODAY()-B561)+ROW()/1000000)</f>
        <v/>
      </c>
    </row>
    <row r="562" ht="27" customHeight="1">
      <c r="A562" s="30" t="n"/>
      <c r="B562" s="31" t="n"/>
      <c r="C562" s="32" t="n"/>
      <c r="D562" s="32" t="n"/>
      <c r="E562" s="32" t="n"/>
      <c r="F562" s="32" t="n"/>
      <c r="G562" s="33">
        <f>IF(A562="","",IFERROR(INDEX(OffCat,MATCH(F562,OffList,0)),"Unlisted"))</f>
        <v/>
      </c>
      <c r="H562" s="30" t="n"/>
      <c r="I562" s="31" t="n"/>
      <c r="J562" s="34" t="n"/>
      <c r="K562" s="34" t="n"/>
      <c r="L562" s="34" t="n"/>
      <c r="M562" s="30" t="n"/>
      <c r="N562" s="30" t="n"/>
      <c r="O562" s="30" t="n"/>
      <c r="P562" s="30" t="n"/>
      <c r="Q562" s="31" t="n"/>
      <c r="R562" s="31" t="n"/>
      <c r="S562" s="31" t="n"/>
      <c r="T562" s="31" t="n"/>
      <c r="U562" s="31" t="n"/>
      <c r="V562" s="31" t="n"/>
      <c r="W562" s="30" t="n"/>
      <c r="X562" s="31" t="n"/>
      <c r="Y562" s="35" t="n"/>
      <c r="Z562" s="35" t="n"/>
      <c r="AA562" s="35" t="n"/>
      <c r="AB562" s="35" t="n"/>
      <c r="AC562" s="35" t="n"/>
      <c r="AD562" s="35" t="n"/>
      <c r="AE562" s="35" t="n"/>
      <c r="AF562" s="35" t="n"/>
      <c r="AG562" s="36">
        <f>IF(A562="","",IF(V562&lt;&gt;"",V562-B562,TODAY()-B562))</f>
        <v/>
      </c>
      <c r="AH562" s="36">
        <f>IF(OR(A562="",I562=""),"",MAX(0,IF(V562&lt;&gt;"",V562-I562,TODAY()-I562)))</f>
        <v/>
      </c>
      <c r="AI562" s="37">
        <f>IF(A562="","",IF(OR(K562="Closed",V562&lt;&gt;""),"Closed",IF(AH562&gt;=AgeCrit,"Critical",IF(AH562&gt;=AgeFu,"For Follow-up",IF(AH562&gt;=AgeMonitor,"Monitor","Within Standard")))))</f>
        <v/>
      </c>
      <c r="AJ562" s="38">
        <f>IF(A562="","",IFERROR(INDEX(StgPct,MATCH(H562,StgList,0)),0))</f>
        <v/>
      </c>
      <c r="AK562" s="38">
        <f>IF(A562="","",IFERROR(COUNTIF(Y562:AF562,"Y")/(COUNTIF(Y562:AF562,"Y")+COUNTIF(Y562:AF562,"N")),0))</f>
        <v/>
      </c>
      <c r="AL562" s="36">
        <f>IF(OR(A562="",X562=""),"",MAX(0,IF(V562&lt;&gt;"",V562,TODAY())-X562))</f>
        <v/>
      </c>
      <c r="AM562" s="32" t="n"/>
      <c r="AN562" s="33">
        <f>IF(A562="","",LOWER(AI562)&amp;"|"&amp;AH562&amp;"|"&amp;AJ562&amp;"|"&amp;AK562)</f>
        <v/>
      </c>
      <c r="AO562" s="33">
        <f>IF(OR(A562="",T562=""),"",T562-TODAY())</f>
        <v/>
      </c>
      <c r="AP562" s="33">
        <f>IF(OR(A562="",V562&lt;&gt;""),"",(TODAY()-B562)+ROW()/1000000)</f>
        <v/>
      </c>
    </row>
    <row r="563" ht="27" customHeight="1">
      <c r="A563" s="30" t="n"/>
      <c r="B563" s="31" t="n"/>
      <c r="C563" s="32" t="n"/>
      <c r="D563" s="32" t="n"/>
      <c r="E563" s="32" t="n"/>
      <c r="F563" s="32" t="n"/>
      <c r="G563" s="33">
        <f>IF(A563="","",IFERROR(INDEX(OffCat,MATCH(F563,OffList,0)),"Unlisted"))</f>
        <v/>
      </c>
      <c r="H563" s="30" t="n"/>
      <c r="I563" s="31" t="n"/>
      <c r="J563" s="34" t="n"/>
      <c r="K563" s="34" t="n"/>
      <c r="L563" s="34" t="n"/>
      <c r="M563" s="30" t="n"/>
      <c r="N563" s="30" t="n"/>
      <c r="O563" s="30" t="n"/>
      <c r="P563" s="30" t="n"/>
      <c r="Q563" s="31" t="n"/>
      <c r="R563" s="31" t="n"/>
      <c r="S563" s="31" t="n"/>
      <c r="T563" s="31" t="n"/>
      <c r="U563" s="31" t="n"/>
      <c r="V563" s="31" t="n"/>
      <c r="W563" s="30" t="n"/>
      <c r="X563" s="31" t="n"/>
      <c r="Y563" s="35" t="n"/>
      <c r="Z563" s="35" t="n"/>
      <c r="AA563" s="35" t="n"/>
      <c r="AB563" s="35" t="n"/>
      <c r="AC563" s="35" t="n"/>
      <c r="AD563" s="35" t="n"/>
      <c r="AE563" s="35" t="n"/>
      <c r="AF563" s="35" t="n"/>
      <c r="AG563" s="36">
        <f>IF(A563="","",IF(V563&lt;&gt;"",V563-B563,TODAY()-B563))</f>
        <v/>
      </c>
      <c r="AH563" s="36">
        <f>IF(OR(A563="",I563=""),"",MAX(0,IF(V563&lt;&gt;"",V563-I563,TODAY()-I563)))</f>
        <v/>
      </c>
      <c r="AI563" s="37">
        <f>IF(A563="","",IF(OR(K563="Closed",V563&lt;&gt;""),"Closed",IF(AH563&gt;=AgeCrit,"Critical",IF(AH563&gt;=AgeFu,"For Follow-up",IF(AH563&gt;=AgeMonitor,"Monitor","Within Standard")))))</f>
        <v/>
      </c>
      <c r="AJ563" s="38">
        <f>IF(A563="","",IFERROR(INDEX(StgPct,MATCH(H563,StgList,0)),0))</f>
        <v/>
      </c>
      <c r="AK563" s="38">
        <f>IF(A563="","",IFERROR(COUNTIF(Y563:AF563,"Y")/(COUNTIF(Y563:AF563,"Y")+COUNTIF(Y563:AF563,"N")),0))</f>
        <v/>
      </c>
      <c r="AL563" s="36">
        <f>IF(OR(A563="",X563=""),"",MAX(0,IF(V563&lt;&gt;"",V563,TODAY())-X563))</f>
        <v/>
      </c>
      <c r="AM563" s="32" t="n"/>
      <c r="AN563" s="33">
        <f>IF(A563="","",LOWER(AI563)&amp;"|"&amp;AH563&amp;"|"&amp;AJ563&amp;"|"&amp;AK563)</f>
        <v/>
      </c>
      <c r="AO563" s="33">
        <f>IF(OR(A563="",T563=""),"",T563-TODAY())</f>
        <v/>
      </c>
      <c r="AP563" s="33">
        <f>IF(OR(A563="",V563&lt;&gt;""),"",(TODAY()-B563)+ROW()/1000000)</f>
        <v/>
      </c>
    </row>
    <row r="564" ht="27" customHeight="1">
      <c r="A564" s="30" t="n"/>
      <c r="B564" s="31" t="n"/>
      <c r="C564" s="32" t="n"/>
      <c r="D564" s="32" t="n"/>
      <c r="E564" s="32" t="n"/>
      <c r="F564" s="32" t="n"/>
      <c r="G564" s="33">
        <f>IF(A564="","",IFERROR(INDEX(OffCat,MATCH(F564,OffList,0)),"Unlisted"))</f>
        <v/>
      </c>
      <c r="H564" s="30" t="n"/>
      <c r="I564" s="31" t="n"/>
      <c r="J564" s="34" t="n"/>
      <c r="K564" s="34" t="n"/>
      <c r="L564" s="34" t="n"/>
      <c r="M564" s="30" t="n"/>
      <c r="N564" s="30" t="n"/>
      <c r="O564" s="30" t="n"/>
      <c r="P564" s="30" t="n"/>
      <c r="Q564" s="31" t="n"/>
      <c r="R564" s="31" t="n"/>
      <c r="S564" s="31" t="n"/>
      <c r="T564" s="31" t="n"/>
      <c r="U564" s="31" t="n"/>
      <c r="V564" s="31" t="n"/>
      <c r="W564" s="30" t="n"/>
      <c r="X564" s="31" t="n"/>
      <c r="Y564" s="35" t="n"/>
      <c r="Z564" s="35" t="n"/>
      <c r="AA564" s="35" t="n"/>
      <c r="AB564" s="35" t="n"/>
      <c r="AC564" s="35" t="n"/>
      <c r="AD564" s="35" t="n"/>
      <c r="AE564" s="35" t="n"/>
      <c r="AF564" s="35" t="n"/>
      <c r="AG564" s="36">
        <f>IF(A564="","",IF(V564&lt;&gt;"",V564-B564,TODAY()-B564))</f>
        <v/>
      </c>
      <c r="AH564" s="36">
        <f>IF(OR(A564="",I564=""),"",MAX(0,IF(V564&lt;&gt;"",V564-I564,TODAY()-I564)))</f>
        <v/>
      </c>
      <c r="AI564" s="37">
        <f>IF(A564="","",IF(OR(K564="Closed",V564&lt;&gt;""),"Closed",IF(AH564&gt;=AgeCrit,"Critical",IF(AH564&gt;=AgeFu,"For Follow-up",IF(AH564&gt;=AgeMonitor,"Monitor","Within Standard")))))</f>
        <v/>
      </c>
      <c r="AJ564" s="38">
        <f>IF(A564="","",IFERROR(INDEX(StgPct,MATCH(H564,StgList,0)),0))</f>
        <v/>
      </c>
      <c r="AK564" s="38">
        <f>IF(A564="","",IFERROR(COUNTIF(Y564:AF564,"Y")/(COUNTIF(Y564:AF564,"Y")+COUNTIF(Y564:AF564,"N")),0))</f>
        <v/>
      </c>
      <c r="AL564" s="36">
        <f>IF(OR(A564="",X564=""),"",MAX(0,IF(V564&lt;&gt;"",V564,TODAY())-X564))</f>
        <v/>
      </c>
      <c r="AM564" s="32" t="n"/>
      <c r="AN564" s="33">
        <f>IF(A564="","",LOWER(AI564)&amp;"|"&amp;AH564&amp;"|"&amp;AJ564&amp;"|"&amp;AK564)</f>
        <v/>
      </c>
      <c r="AO564" s="33">
        <f>IF(OR(A564="",T564=""),"",T564-TODAY())</f>
        <v/>
      </c>
      <c r="AP564" s="33">
        <f>IF(OR(A564="",V564&lt;&gt;""),"",(TODAY()-B564)+ROW()/1000000)</f>
        <v/>
      </c>
    </row>
    <row r="565" ht="27" customHeight="1">
      <c r="A565" s="30" t="n"/>
      <c r="B565" s="31" t="n"/>
      <c r="C565" s="32" t="n"/>
      <c r="D565" s="32" t="n"/>
      <c r="E565" s="32" t="n"/>
      <c r="F565" s="32" t="n"/>
      <c r="G565" s="33">
        <f>IF(A565="","",IFERROR(INDEX(OffCat,MATCH(F565,OffList,0)),"Unlisted"))</f>
        <v/>
      </c>
      <c r="H565" s="30" t="n"/>
      <c r="I565" s="31" t="n"/>
      <c r="J565" s="34" t="n"/>
      <c r="K565" s="34" t="n"/>
      <c r="L565" s="34" t="n"/>
      <c r="M565" s="30" t="n"/>
      <c r="N565" s="30" t="n"/>
      <c r="O565" s="30" t="n"/>
      <c r="P565" s="30" t="n"/>
      <c r="Q565" s="31" t="n"/>
      <c r="R565" s="31" t="n"/>
      <c r="S565" s="31" t="n"/>
      <c r="T565" s="31" t="n"/>
      <c r="U565" s="31" t="n"/>
      <c r="V565" s="31" t="n"/>
      <c r="W565" s="30" t="n"/>
      <c r="X565" s="31" t="n"/>
      <c r="Y565" s="35" t="n"/>
      <c r="Z565" s="35" t="n"/>
      <c r="AA565" s="35" t="n"/>
      <c r="AB565" s="35" t="n"/>
      <c r="AC565" s="35" t="n"/>
      <c r="AD565" s="35" t="n"/>
      <c r="AE565" s="35" t="n"/>
      <c r="AF565" s="35" t="n"/>
      <c r="AG565" s="36">
        <f>IF(A565="","",IF(V565&lt;&gt;"",V565-B565,TODAY()-B565))</f>
        <v/>
      </c>
      <c r="AH565" s="36">
        <f>IF(OR(A565="",I565=""),"",MAX(0,IF(V565&lt;&gt;"",V565-I565,TODAY()-I565)))</f>
        <v/>
      </c>
      <c r="AI565" s="37">
        <f>IF(A565="","",IF(OR(K565="Closed",V565&lt;&gt;""),"Closed",IF(AH565&gt;=AgeCrit,"Critical",IF(AH565&gt;=AgeFu,"For Follow-up",IF(AH565&gt;=AgeMonitor,"Monitor","Within Standard")))))</f>
        <v/>
      </c>
      <c r="AJ565" s="38">
        <f>IF(A565="","",IFERROR(INDEX(StgPct,MATCH(H565,StgList,0)),0))</f>
        <v/>
      </c>
      <c r="AK565" s="38">
        <f>IF(A565="","",IFERROR(COUNTIF(Y565:AF565,"Y")/(COUNTIF(Y565:AF565,"Y")+COUNTIF(Y565:AF565,"N")),0))</f>
        <v/>
      </c>
      <c r="AL565" s="36">
        <f>IF(OR(A565="",X565=""),"",MAX(0,IF(V565&lt;&gt;"",V565,TODAY())-X565))</f>
        <v/>
      </c>
      <c r="AM565" s="32" t="n"/>
      <c r="AN565" s="33">
        <f>IF(A565="","",LOWER(AI565)&amp;"|"&amp;AH565&amp;"|"&amp;AJ565&amp;"|"&amp;AK565)</f>
        <v/>
      </c>
      <c r="AO565" s="33">
        <f>IF(OR(A565="",T565=""),"",T565-TODAY())</f>
        <v/>
      </c>
      <c r="AP565" s="33">
        <f>IF(OR(A565="",V565&lt;&gt;""),"",(TODAY()-B565)+ROW()/1000000)</f>
        <v/>
      </c>
    </row>
    <row r="566" ht="27" customHeight="1">
      <c r="A566" s="30" t="n"/>
      <c r="B566" s="31" t="n"/>
      <c r="C566" s="32" t="n"/>
      <c r="D566" s="32" t="n"/>
      <c r="E566" s="32" t="n"/>
      <c r="F566" s="32" t="n"/>
      <c r="G566" s="33">
        <f>IF(A566="","",IFERROR(INDEX(OffCat,MATCH(F566,OffList,0)),"Unlisted"))</f>
        <v/>
      </c>
      <c r="H566" s="30" t="n"/>
      <c r="I566" s="31" t="n"/>
      <c r="J566" s="34" t="n"/>
      <c r="K566" s="34" t="n"/>
      <c r="L566" s="34" t="n"/>
      <c r="M566" s="30" t="n"/>
      <c r="N566" s="30" t="n"/>
      <c r="O566" s="30" t="n"/>
      <c r="P566" s="30" t="n"/>
      <c r="Q566" s="31" t="n"/>
      <c r="R566" s="31" t="n"/>
      <c r="S566" s="31" t="n"/>
      <c r="T566" s="31" t="n"/>
      <c r="U566" s="31" t="n"/>
      <c r="V566" s="31" t="n"/>
      <c r="W566" s="30" t="n"/>
      <c r="X566" s="31" t="n"/>
      <c r="Y566" s="35" t="n"/>
      <c r="Z566" s="35" t="n"/>
      <c r="AA566" s="35" t="n"/>
      <c r="AB566" s="35" t="n"/>
      <c r="AC566" s="35" t="n"/>
      <c r="AD566" s="35" t="n"/>
      <c r="AE566" s="35" t="n"/>
      <c r="AF566" s="35" t="n"/>
      <c r="AG566" s="36">
        <f>IF(A566="","",IF(V566&lt;&gt;"",V566-B566,TODAY()-B566))</f>
        <v/>
      </c>
      <c r="AH566" s="36">
        <f>IF(OR(A566="",I566=""),"",MAX(0,IF(V566&lt;&gt;"",V566-I566,TODAY()-I566)))</f>
        <v/>
      </c>
      <c r="AI566" s="37">
        <f>IF(A566="","",IF(OR(K566="Closed",V566&lt;&gt;""),"Closed",IF(AH566&gt;=AgeCrit,"Critical",IF(AH566&gt;=AgeFu,"For Follow-up",IF(AH566&gt;=AgeMonitor,"Monitor","Within Standard")))))</f>
        <v/>
      </c>
      <c r="AJ566" s="38">
        <f>IF(A566="","",IFERROR(INDEX(StgPct,MATCH(H566,StgList,0)),0))</f>
        <v/>
      </c>
      <c r="AK566" s="38">
        <f>IF(A566="","",IFERROR(COUNTIF(Y566:AF566,"Y")/(COUNTIF(Y566:AF566,"Y")+COUNTIF(Y566:AF566,"N")),0))</f>
        <v/>
      </c>
      <c r="AL566" s="36">
        <f>IF(OR(A566="",X566=""),"",MAX(0,IF(V566&lt;&gt;"",V566,TODAY())-X566))</f>
        <v/>
      </c>
      <c r="AM566" s="32" t="n"/>
      <c r="AN566" s="33">
        <f>IF(A566="","",LOWER(AI566)&amp;"|"&amp;AH566&amp;"|"&amp;AJ566&amp;"|"&amp;AK566)</f>
        <v/>
      </c>
      <c r="AO566" s="33">
        <f>IF(OR(A566="",T566=""),"",T566-TODAY())</f>
        <v/>
      </c>
      <c r="AP566" s="33">
        <f>IF(OR(A566="",V566&lt;&gt;""),"",(TODAY()-B566)+ROW()/1000000)</f>
        <v/>
      </c>
    </row>
    <row r="567" ht="27" customHeight="1">
      <c r="A567" s="30" t="n"/>
      <c r="B567" s="31" t="n"/>
      <c r="C567" s="32" t="n"/>
      <c r="D567" s="32" t="n"/>
      <c r="E567" s="32" t="n"/>
      <c r="F567" s="32" t="n"/>
      <c r="G567" s="33">
        <f>IF(A567="","",IFERROR(INDEX(OffCat,MATCH(F567,OffList,0)),"Unlisted"))</f>
        <v/>
      </c>
      <c r="H567" s="30" t="n"/>
      <c r="I567" s="31" t="n"/>
      <c r="J567" s="34" t="n"/>
      <c r="K567" s="34" t="n"/>
      <c r="L567" s="34" t="n"/>
      <c r="M567" s="30" t="n"/>
      <c r="N567" s="30" t="n"/>
      <c r="O567" s="30" t="n"/>
      <c r="P567" s="30" t="n"/>
      <c r="Q567" s="31" t="n"/>
      <c r="R567" s="31" t="n"/>
      <c r="S567" s="31" t="n"/>
      <c r="T567" s="31" t="n"/>
      <c r="U567" s="31" t="n"/>
      <c r="V567" s="31" t="n"/>
      <c r="W567" s="30" t="n"/>
      <c r="X567" s="31" t="n"/>
      <c r="Y567" s="35" t="n"/>
      <c r="Z567" s="35" t="n"/>
      <c r="AA567" s="35" t="n"/>
      <c r="AB567" s="35" t="n"/>
      <c r="AC567" s="35" t="n"/>
      <c r="AD567" s="35" t="n"/>
      <c r="AE567" s="35" t="n"/>
      <c r="AF567" s="35" t="n"/>
      <c r="AG567" s="36">
        <f>IF(A567="","",IF(V567&lt;&gt;"",V567-B567,TODAY()-B567))</f>
        <v/>
      </c>
      <c r="AH567" s="36">
        <f>IF(OR(A567="",I567=""),"",MAX(0,IF(V567&lt;&gt;"",V567-I567,TODAY()-I567)))</f>
        <v/>
      </c>
      <c r="AI567" s="37">
        <f>IF(A567="","",IF(OR(K567="Closed",V567&lt;&gt;""),"Closed",IF(AH567&gt;=AgeCrit,"Critical",IF(AH567&gt;=AgeFu,"For Follow-up",IF(AH567&gt;=AgeMonitor,"Monitor","Within Standard")))))</f>
        <v/>
      </c>
      <c r="AJ567" s="38">
        <f>IF(A567="","",IFERROR(INDEX(StgPct,MATCH(H567,StgList,0)),0))</f>
        <v/>
      </c>
      <c r="AK567" s="38">
        <f>IF(A567="","",IFERROR(COUNTIF(Y567:AF567,"Y")/(COUNTIF(Y567:AF567,"Y")+COUNTIF(Y567:AF567,"N")),0))</f>
        <v/>
      </c>
      <c r="AL567" s="36">
        <f>IF(OR(A567="",X567=""),"",MAX(0,IF(V567&lt;&gt;"",V567,TODAY())-X567))</f>
        <v/>
      </c>
      <c r="AM567" s="32" t="n"/>
      <c r="AN567" s="33">
        <f>IF(A567="","",LOWER(AI567)&amp;"|"&amp;AH567&amp;"|"&amp;AJ567&amp;"|"&amp;AK567)</f>
        <v/>
      </c>
      <c r="AO567" s="33">
        <f>IF(OR(A567="",T567=""),"",T567-TODAY())</f>
        <v/>
      </c>
      <c r="AP567" s="33">
        <f>IF(OR(A567="",V567&lt;&gt;""),"",(TODAY()-B567)+ROW()/1000000)</f>
        <v/>
      </c>
    </row>
    <row r="568" ht="27" customHeight="1">
      <c r="A568" s="30" t="n"/>
      <c r="B568" s="31" t="n"/>
      <c r="C568" s="32" t="n"/>
      <c r="D568" s="32" t="n"/>
      <c r="E568" s="32" t="n"/>
      <c r="F568" s="32" t="n"/>
      <c r="G568" s="33">
        <f>IF(A568="","",IFERROR(INDEX(OffCat,MATCH(F568,OffList,0)),"Unlisted"))</f>
        <v/>
      </c>
      <c r="H568" s="30" t="n"/>
      <c r="I568" s="31" t="n"/>
      <c r="J568" s="34" t="n"/>
      <c r="K568" s="34" t="n"/>
      <c r="L568" s="34" t="n"/>
      <c r="M568" s="30" t="n"/>
      <c r="N568" s="30" t="n"/>
      <c r="O568" s="30" t="n"/>
      <c r="P568" s="30" t="n"/>
      <c r="Q568" s="31" t="n"/>
      <c r="R568" s="31" t="n"/>
      <c r="S568" s="31" t="n"/>
      <c r="T568" s="31" t="n"/>
      <c r="U568" s="31" t="n"/>
      <c r="V568" s="31" t="n"/>
      <c r="W568" s="30" t="n"/>
      <c r="X568" s="31" t="n"/>
      <c r="Y568" s="35" t="n"/>
      <c r="Z568" s="35" t="n"/>
      <c r="AA568" s="35" t="n"/>
      <c r="AB568" s="35" t="n"/>
      <c r="AC568" s="35" t="n"/>
      <c r="AD568" s="35" t="n"/>
      <c r="AE568" s="35" t="n"/>
      <c r="AF568" s="35" t="n"/>
      <c r="AG568" s="36">
        <f>IF(A568="","",IF(V568&lt;&gt;"",V568-B568,TODAY()-B568))</f>
        <v/>
      </c>
      <c r="AH568" s="36">
        <f>IF(OR(A568="",I568=""),"",MAX(0,IF(V568&lt;&gt;"",V568-I568,TODAY()-I568)))</f>
        <v/>
      </c>
      <c r="AI568" s="37">
        <f>IF(A568="","",IF(OR(K568="Closed",V568&lt;&gt;""),"Closed",IF(AH568&gt;=AgeCrit,"Critical",IF(AH568&gt;=AgeFu,"For Follow-up",IF(AH568&gt;=AgeMonitor,"Monitor","Within Standard")))))</f>
        <v/>
      </c>
      <c r="AJ568" s="38">
        <f>IF(A568="","",IFERROR(INDEX(StgPct,MATCH(H568,StgList,0)),0))</f>
        <v/>
      </c>
      <c r="AK568" s="38">
        <f>IF(A568="","",IFERROR(COUNTIF(Y568:AF568,"Y")/(COUNTIF(Y568:AF568,"Y")+COUNTIF(Y568:AF568,"N")),0))</f>
        <v/>
      </c>
      <c r="AL568" s="36">
        <f>IF(OR(A568="",X568=""),"",MAX(0,IF(V568&lt;&gt;"",V568,TODAY())-X568))</f>
        <v/>
      </c>
      <c r="AM568" s="32" t="n"/>
      <c r="AN568" s="33">
        <f>IF(A568="","",LOWER(AI568)&amp;"|"&amp;AH568&amp;"|"&amp;AJ568&amp;"|"&amp;AK568)</f>
        <v/>
      </c>
      <c r="AO568" s="33">
        <f>IF(OR(A568="",T568=""),"",T568-TODAY())</f>
        <v/>
      </c>
      <c r="AP568" s="33">
        <f>IF(OR(A568="",V568&lt;&gt;""),"",(TODAY()-B568)+ROW()/1000000)</f>
        <v/>
      </c>
    </row>
    <row r="569" ht="27" customHeight="1">
      <c r="A569" s="30" t="n"/>
      <c r="B569" s="31" t="n"/>
      <c r="C569" s="32" t="n"/>
      <c r="D569" s="32" t="n"/>
      <c r="E569" s="32" t="n"/>
      <c r="F569" s="32" t="n"/>
      <c r="G569" s="33">
        <f>IF(A569="","",IFERROR(INDEX(OffCat,MATCH(F569,OffList,0)),"Unlisted"))</f>
        <v/>
      </c>
      <c r="H569" s="30" t="n"/>
      <c r="I569" s="31" t="n"/>
      <c r="J569" s="34" t="n"/>
      <c r="K569" s="34" t="n"/>
      <c r="L569" s="34" t="n"/>
      <c r="M569" s="30" t="n"/>
      <c r="N569" s="30" t="n"/>
      <c r="O569" s="30" t="n"/>
      <c r="P569" s="30" t="n"/>
      <c r="Q569" s="31" t="n"/>
      <c r="R569" s="31" t="n"/>
      <c r="S569" s="31" t="n"/>
      <c r="T569" s="31" t="n"/>
      <c r="U569" s="31" t="n"/>
      <c r="V569" s="31" t="n"/>
      <c r="W569" s="30" t="n"/>
      <c r="X569" s="31" t="n"/>
      <c r="Y569" s="35" t="n"/>
      <c r="Z569" s="35" t="n"/>
      <c r="AA569" s="35" t="n"/>
      <c r="AB569" s="35" t="n"/>
      <c r="AC569" s="35" t="n"/>
      <c r="AD569" s="35" t="n"/>
      <c r="AE569" s="35" t="n"/>
      <c r="AF569" s="35" t="n"/>
      <c r="AG569" s="36">
        <f>IF(A569="","",IF(V569&lt;&gt;"",V569-B569,TODAY()-B569))</f>
        <v/>
      </c>
      <c r="AH569" s="36">
        <f>IF(OR(A569="",I569=""),"",MAX(0,IF(V569&lt;&gt;"",V569-I569,TODAY()-I569)))</f>
        <v/>
      </c>
      <c r="AI569" s="37">
        <f>IF(A569="","",IF(OR(K569="Closed",V569&lt;&gt;""),"Closed",IF(AH569&gt;=AgeCrit,"Critical",IF(AH569&gt;=AgeFu,"For Follow-up",IF(AH569&gt;=AgeMonitor,"Monitor","Within Standard")))))</f>
        <v/>
      </c>
      <c r="AJ569" s="38">
        <f>IF(A569="","",IFERROR(INDEX(StgPct,MATCH(H569,StgList,0)),0))</f>
        <v/>
      </c>
      <c r="AK569" s="38">
        <f>IF(A569="","",IFERROR(COUNTIF(Y569:AF569,"Y")/(COUNTIF(Y569:AF569,"Y")+COUNTIF(Y569:AF569,"N")),0))</f>
        <v/>
      </c>
      <c r="AL569" s="36">
        <f>IF(OR(A569="",X569=""),"",MAX(0,IF(V569&lt;&gt;"",V569,TODAY())-X569))</f>
        <v/>
      </c>
      <c r="AM569" s="32" t="n"/>
      <c r="AN569" s="33">
        <f>IF(A569="","",LOWER(AI569)&amp;"|"&amp;AH569&amp;"|"&amp;AJ569&amp;"|"&amp;AK569)</f>
        <v/>
      </c>
      <c r="AO569" s="33">
        <f>IF(OR(A569="",T569=""),"",T569-TODAY())</f>
        <v/>
      </c>
      <c r="AP569" s="33">
        <f>IF(OR(A569="",V569&lt;&gt;""),"",(TODAY()-B569)+ROW()/1000000)</f>
        <v/>
      </c>
    </row>
    <row r="570" ht="27" customHeight="1">
      <c r="A570" s="30" t="n"/>
      <c r="B570" s="31" t="n"/>
      <c r="C570" s="32" t="n"/>
      <c r="D570" s="32" t="n"/>
      <c r="E570" s="32" t="n"/>
      <c r="F570" s="32" t="n"/>
      <c r="G570" s="33">
        <f>IF(A570="","",IFERROR(INDEX(OffCat,MATCH(F570,OffList,0)),"Unlisted"))</f>
        <v/>
      </c>
      <c r="H570" s="30" t="n"/>
      <c r="I570" s="31" t="n"/>
      <c r="J570" s="34" t="n"/>
      <c r="K570" s="34" t="n"/>
      <c r="L570" s="34" t="n"/>
      <c r="M570" s="30" t="n"/>
      <c r="N570" s="30" t="n"/>
      <c r="O570" s="30" t="n"/>
      <c r="P570" s="30" t="n"/>
      <c r="Q570" s="31" t="n"/>
      <c r="R570" s="31" t="n"/>
      <c r="S570" s="31" t="n"/>
      <c r="T570" s="31" t="n"/>
      <c r="U570" s="31" t="n"/>
      <c r="V570" s="31" t="n"/>
      <c r="W570" s="30" t="n"/>
      <c r="X570" s="31" t="n"/>
      <c r="Y570" s="35" t="n"/>
      <c r="Z570" s="35" t="n"/>
      <c r="AA570" s="35" t="n"/>
      <c r="AB570" s="35" t="n"/>
      <c r="AC570" s="35" t="n"/>
      <c r="AD570" s="35" t="n"/>
      <c r="AE570" s="35" t="n"/>
      <c r="AF570" s="35" t="n"/>
      <c r="AG570" s="36">
        <f>IF(A570="","",IF(V570&lt;&gt;"",V570-B570,TODAY()-B570))</f>
        <v/>
      </c>
      <c r="AH570" s="36">
        <f>IF(OR(A570="",I570=""),"",MAX(0,IF(V570&lt;&gt;"",V570-I570,TODAY()-I570)))</f>
        <v/>
      </c>
      <c r="AI570" s="37">
        <f>IF(A570="","",IF(OR(K570="Closed",V570&lt;&gt;""),"Closed",IF(AH570&gt;=AgeCrit,"Critical",IF(AH570&gt;=AgeFu,"For Follow-up",IF(AH570&gt;=AgeMonitor,"Monitor","Within Standard")))))</f>
        <v/>
      </c>
      <c r="AJ570" s="38">
        <f>IF(A570="","",IFERROR(INDEX(StgPct,MATCH(H570,StgList,0)),0))</f>
        <v/>
      </c>
      <c r="AK570" s="38">
        <f>IF(A570="","",IFERROR(COUNTIF(Y570:AF570,"Y")/(COUNTIF(Y570:AF570,"Y")+COUNTIF(Y570:AF570,"N")),0))</f>
        <v/>
      </c>
      <c r="AL570" s="36">
        <f>IF(OR(A570="",X570=""),"",MAX(0,IF(V570&lt;&gt;"",V570,TODAY())-X570))</f>
        <v/>
      </c>
      <c r="AM570" s="32" t="n"/>
      <c r="AN570" s="33">
        <f>IF(A570="","",LOWER(AI570)&amp;"|"&amp;AH570&amp;"|"&amp;AJ570&amp;"|"&amp;AK570)</f>
        <v/>
      </c>
      <c r="AO570" s="33">
        <f>IF(OR(A570="",T570=""),"",T570-TODAY())</f>
        <v/>
      </c>
      <c r="AP570" s="33">
        <f>IF(OR(A570="",V570&lt;&gt;""),"",(TODAY()-B570)+ROW()/1000000)</f>
        <v/>
      </c>
    </row>
    <row r="571" ht="27" customHeight="1">
      <c r="A571" s="30" t="n"/>
      <c r="B571" s="31" t="n"/>
      <c r="C571" s="32" t="n"/>
      <c r="D571" s="32" t="n"/>
      <c r="E571" s="32" t="n"/>
      <c r="F571" s="32" t="n"/>
      <c r="G571" s="33">
        <f>IF(A571="","",IFERROR(INDEX(OffCat,MATCH(F571,OffList,0)),"Unlisted"))</f>
        <v/>
      </c>
      <c r="H571" s="30" t="n"/>
      <c r="I571" s="31" t="n"/>
      <c r="J571" s="34" t="n"/>
      <c r="K571" s="34" t="n"/>
      <c r="L571" s="34" t="n"/>
      <c r="M571" s="30" t="n"/>
      <c r="N571" s="30" t="n"/>
      <c r="O571" s="30" t="n"/>
      <c r="P571" s="30" t="n"/>
      <c r="Q571" s="31" t="n"/>
      <c r="R571" s="31" t="n"/>
      <c r="S571" s="31" t="n"/>
      <c r="T571" s="31" t="n"/>
      <c r="U571" s="31" t="n"/>
      <c r="V571" s="31" t="n"/>
      <c r="W571" s="30" t="n"/>
      <c r="X571" s="31" t="n"/>
      <c r="Y571" s="35" t="n"/>
      <c r="Z571" s="35" t="n"/>
      <c r="AA571" s="35" t="n"/>
      <c r="AB571" s="35" t="n"/>
      <c r="AC571" s="35" t="n"/>
      <c r="AD571" s="35" t="n"/>
      <c r="AE571" s="35" t="n"/>
      <c r="AF571" s="35" t="n"/>
      <c r="AG571" s="36">
        <f>IF(A571="","",IF(V571&lt;&gt;"",V571-B571,TODAY()-B571))</f>
        <v/>
      </c>
      <c r="AH571" s="36">
        <f>IF(OR(A571="",I571=""),"",MAX(0,IF(V571&lt;&gt;"",V571-I571,TODAY()-I571)))</f>
        <v/>
      </c>
      <c r="AI571" s="37">
        <f>IF(A571="","",IF(OR(K571="Closed",V571&lt;&gt;""),"Closed",IF(AH571&gt;=AgeCrit,"Critical",IF(AH571&gt;=AgeFu,"For Follow-up",IF(AH571&gt;=AgeMonitor,"Monitor","Within Standard")))))</f>
        <v/>
      </c>
      <c r="AJ571" s="38">
        <f>IF(A571="","",IFERROR(INDEX(StgPct,MATCH(H571,StgList,0)),0))</f>
        <v/>
      </c>
      <c r="AK571" s="38">
        <f>IF(A571="","",IFERROR(COUNTIF(Y571:AF571,"Y")/(COUNTIF(Y571:AF571,"Y")+COUNTIF(Y571:AF571,"N")),0))</f>
        <v/>
      </c>
      <c r="AL571" s="36">
        <f>IF(OR(A571="",X571=""),"",MAX(0,IF(V571&lt;&gt;"",V571,TODAY())-X571))</f>
        <v/>
      </c>
      <c r="AM571" s="32" t="n"/>
      <c r="AN571" s="33">
        <f>IF(A571="","",LOWER(AI571)&amp;"|"&amp;AH571&amp;"|"&amp;AJ571&amp;"|"&amp;AK571)</f>
        <v/>
      </c>
      <c r="AO571" s="33">
        <f>IF(OR(A571="",T571=""),"",T571-TODAY())</f>
        <v/>
      </c>
      <c r="AP571" s="33">
        <f>IF(OR(A571="",V571&lt;&gt;""),"",(TODAY()-B571)+ROW()/1000000)</f>
        <v/>
      </c>
    </row>
    <row r="572" ht="27" customHeight="1">
      <c r="A572" s="30" t="n"/>
      <c r="B572" s="31" t="n"/>
      <c r="C572" s="32" t="n"/>
      <c r="D572" s="32" t="n"/>
      <c r="E572" s="32" t="n"/>
      <c r="F572" s="32" t="n"/>
      <c r="G572" s="33">
        <f>IF(A572="","",IFERROR(INDEX(OffCat,MATCH(F572,OffList,0)),"Unlisted"))</f>
        <v/>
      </c>
      <c r="H572" s="30" t="n"/>
      <c r="I572" s="31" t="n"/>
      <c r="J572" s="34" t="n"/>
      <c r="K572" s="34" t="n"/>
      <c r="L572" s="34" t="n"/>
      <c r="M572" s="30" t="n"/>
      <c r="N572" s="30" t="n"/>
      <c r="O572" s="30" t="n"/>
      <c r="P572" s="30" t="n"/>
      <c r="Q572" s="31" t="n"/>
      <c r="R572" s="31" t="n"/>
      <c r="S572" s="31" t="n"/>
      <c r="T572" s="31" t="n"/>
      <c r="U572" s="31" t="n"/>
      <c r="V572" s="31" t="n"/>
      <c r="W572" s="30" t="n"/>
      <c r="X572" s="31" t="n"/>
      <c r="Y572" s="35" t="n"/>
      <c r="Z572" s="35" t="n"/>
      <c r="AA572" s="35" t="n"/>
      <c r="AB572" s="35" t="n"/>
      <c r="AC572" s="35" t="n"/>
      <c r="AD572" s="35" t="n"/>
      <c r="AE572" s="35" t="n"/>
      <c r="AF572" s="35" t="n"/>
      <c r="AG572" s="36">
        <f>IF(A572="","",IF(V572&lt;&gt;"",V572-B572,TODAY()-B572))</f>
        <v/>
      </c>
      <c r="AH572" s="36">
        <f>IF(OR(A572="",I572=""),"",MAX(0,IF(V572&lt;&gt;"",V572-I572,TODAY()-I572)))</f>
        <v/>
      </c>
      <c r="AI572" s="37">
        <f>IF(A572="","",IF(OR(K572="Closed",V572&lt;&gt;""),"Closed",IF(AH572&gt;=AgeCrit,"Critical",IF(AH572&gt;=AgeFu,"For Follow-up",IF(AH572&gt;=AgeMonitor,"Monitor","Within Standard")))))</f>
        <v/>
      </c>
      <c r="AJ572" s="38">
        <f>IF(A572="","",IFERROR(INDEX(StgPct,MATCH(H572,StgList,0)),0))</f>
        <v/>
      </c>
      <c r="AK572" s="38">
        <f>IF(A572="","",IFERROR(COUNTIF(Y572:AF572,"Y")/(COUNTIF(Y572:AF572,"Y")+COUNTIF(Y572:AF572,"N")),0))</f>
        <v/>
      </c>
      <c r="AL572" s="36">
        <f>IF(OR(A572="",X572=""),"",MAX(0,IF(V572&lt;&gt;"",V572,TODAY())-X572))</f>
        <v/>
      </c>
      <c r="AM572" s="32" t="n"/>
      <c r="AN572" s="33">
        <f>IF(A572="","",LOWER(AI572)&amp;"|"&amp;AH572&amp;"|"&amp;AJ572&amp;"|"&amp;AK572)</f>
        <v/>
      </c>
      <c r="AO572" s="33">
        <f>IF(OR(A572="",T572=""),"",T572-TODAY())</f>
        <v/>
      </c>
      <c r="AP572" s="33">
        <f>IF(OR(A572="",V572&lt;&gt;""),"",(TODAY()-B572)+ROW()/1000000)</f>
        <v/>
      </c>
    </row>
    <row r="573" ht="27" customHeight="1">
      <c r="A573" s="30" t="n"/>
      <c r="B573" s="31" t="n"/>
      <c r="C573" s="32" t="n"/>
      <c r="D573" s="32" t="n"/>
      <c r="E573" s="32" t="n"/>
      <c r="F573" s="32" t="n"/>
      <c r="G573" s="33">
        <f>IF(A573="","",IFERROR(INDEX(OffCat,MATCH(F573,OffList,0)),"Unlisted"))</f>
        <v/>
      </c>
      <c r="H573" s="30" t="n"/>
      <c r="I573" s="31" t="n"/>
      <c r="J573" s="34" t="n"/>
      <c r="K573" s="34" t="n"/>
      <c r="L573" s="34" t="n"/>
      <c r="M573" s="30" t="n"/>
      <c r="N573" s="30" t="n"/>
      <c r="O573" s="30" t="n"/>
      <c r="P573" s="30" t="n"/>
      <c r="Q573" s="31" t="n"/>
      <c r="R573" s="31" t="n"/>
      <c r="S573" s="31" t="n"/>
      <c r="T573" s="31" t="n"/>
      <c r="U573" s="31" t="n"/>
      <c r="V573" s="31" t="n"/>
      <c r="W573" s="30" t="n"/>
      <c r="X573" s="31" t="n"/>
      <c r="Y573" s="35" t="n"/>
      <c r="Z573" s="35" t="n"/>
      <c r="AA573" s="35" t="n"/>
      <c r="AB573" s="35" t="n"/>
      <c r="AC573" s="35" t="n"/>
      <c r="AD573" s="35" t="n"/>
      <c r="AE573" s="35" t="n"/>
      <c r="AF573" s="35" t="n"/>
      <c r="AG573" s="36">
        <f>IF(A573="","",IF(V573&lt;&gt;"",V573-B573,TODAY()-B573))</f>
        <v/>
      </c>
      <c r="AH573" s="36">
        <f>IF(OR(A573="",I573=""),"",MAX(0,IF(V573&lt;&gt;"",V573-I573,TODAY()-I573)))</f>
        <v/>
      </c>
      <c r="AI573" s="37">
        <f>IF(A573="","",IF(OR(K573="Closed",V573&lt;&gt;""),"Closed",IF(AH573&gt;=AgeCrit,"Critical",IF(AH573&gt;=AgeFu,"For Follow-up",IF(AH573&gt;=AgeMonitor,"Monitor","Within Standard")))))</f>
        <v/>
      </c>
      <c r="AJ573" s="38">
        <f>IF(A573="","",IFERROR(INDEX(StgPct,MATCH(H573,StgList,0)),0))</f>
        <v/>
      </c>
      <c r="AK573" s="38">
        <f>IF(A573="","",IFERROR(COUNTIF(Y573:AF573,"Y")/(COUNTIF(Y573:AF573,"Y")+COUNTIF(Y573:AF573,"N")),0))</f>
        <v/>
      </c>
      <c r="AL573" s="36">
        <f>IF(OR(A573="",X573=""),"",MAX(0,IF(V573&lt;&gt;"",V573,TODAY())-X573))</f>
        <v/>
      </c>
      <c r="AM573" s="32" t="n"/>
      <c r="AN573" s="33">
        <f>IF(A573="","",LOWER(AI573)&amp;"|"&amp;AH573&amp;"|"&amp;AJ573&amp;"|"&amp;AK573)</f>
        <v/>
      </c>
      <c r="AO573" s="33">
        <f>IF(OR(A573="",T573=""),"",T573-TODAY())</f>
        <v/>
      </c>
      <c r="AP573" s="33">
        <f>IF(OR(A573="",V573&lt;&gt;""),"",(TODAY()-B573)+ROW()/1000000)</f>
        <v/>
      </c>
    </row>
    <row r="574" ht="27" customHeight="1">
      <c r="A574" s="30" t="n"/>
      <c r="B574" s="31" t="n"/>
      <c r="C574" s="32" t="n"/>
      <c r="D574" s="32" t="n"/>
      <c r="E574" s="32" t="n"/>
      <c r="F574" s="32" t="n"/>
      <c r="G574" s="33">
        <f>IF(A574="","",IFERROR(INDEX(OffCat,MATCH(F574,OffList,0)),"Unlisted"))</f>
        <v/>
      </c>
      <c r="H574" s="30" t="n"/>
      <c r="I574" s="31" t="n"/>
      <c r="J574" s="34" t="n"/>
      <c r="K574" s="34" t="n"/>
      <c r="L574" s="34" t="n"/>
      <c r="M574" s="30" t="n"/>
      <c r="N574" s="30" t="n"/>
      <c r="O574" s="30" t="n"/>
      <c r="P574" s="30" t="n"/>
      <c r="Q574" s="31" t="n"/>
      <c r="R574" s="31" t="n"/>
      <c r="S574" s="31" t="n"/>
      <c r="T574" s="31" t="n"/>
      <c r="U574" s="31" t="n"/>
      <c r="V574" s="31" t="n"/>
      <c r="W574" s="30" t="n"/>
      <c r="X574" s="31" t="n"/>
      <c r="Y574" s="35" t="n"/>
      <c r="Z574" s="35" t="n"/>
      <c r="AA574" s="35" t="n"/>
      <c r="AB574" s="35" t="n"/>
      <c r="AC574" s="35" t="n"/>
      <c r="AD574" s="35" t="n"/>
      <c r="AE574" s="35" t="n"/>
      <c r="AF574" s="35" t="n"/>
      <c r="AG574" s="36">
        <f>IF(A574="","",IF(V574&lt;&gt;"",V574-B574,TODAY()-B574))</f>
        <v/>
      </c>
      <c r="AH574" s="36">
        <f>IF(OR(A574="",I574=""),"",MAX(0,IF(V574&lt;&gt;"",V574-I574,TODAY()-I574)))</f>
        <v/>
      </c>
      <c r="AI574" s="37">
        <f>IF(A574="","",IF(OR(K574="Closed",V574&lt;&gt;""),"Closed",IF(AH574&gt;=AgeCrit,"Critical",IF(AH574&gt;=AgeFu,"For Follow-up",IF(AH574&gt;=AgeMonitor,"Monitor","Within Standard")))))</f>
        <v/>
      </c>
      <c r="AJ574" s="38">
        <f>IF(A574="","",IFERROR(INDEX(StgPct,MATCH(H574,StgList,0)),0))</f>
        <v/>
      </c>
      <c r="AK574" s="38">
        <f>IF(A574="","",IFERROR(COUNTIF(Y574:AF574,"Y")/(COUNTIF(Y574:AF574,"Y")+COUNTIF(Y574:AF574,"N")),0))</f>
        <v/>
      </c>
      <c r="AL574" s="36">
        <f>IF(OR(A574="",X574=""),"",MAX(0,IF(V574&lt;&gt;"",V574,TODAY())-X574))</f>
        <v/>
      </c>
      <c r="AM574" s="32" t="n"/>
      <c r="AN574" s="33">
        <f>IF(A574="","",LOWER(AI574)&amp;"|"&amp;AH574&amp;"|"&amp;AJ574&amp;"|"&amp;AK574)</f>
        <v/>
      </c>
      <c r="AO574" s="33">
        <f>IF(OR(A574="",T574=""),"",T574-TODAY())</f>
        <v/>
      </c>
      <c r="AP574" s="33">
        <f>IF(OR(A574="",V574&lt;&gt;""),"",(TODAY()-B574)+ROW()/1000000)</f>
        <v/>
      </c>
    </row>
    <row r="575" ht="27" customHeight="1">
      <c r="A575" s="30" t="n"/>
      <c r="B575" s="31" t="n"/>
      <c r="C575" s="32" t="n"/>
      <c r="D575" s="32" t="n"/>
      <c r="E575" s="32" t="n"/>
      <c r="F575" s="32" t="n"/>
      <c r="G575" s="33">
        <f>IF(A575="","",IFERROR(INDEX(OffCat,MATCH(F575,OffList,0)),"Unlisted"))</f>
        <v/>
      </c>
      <c r="H575" s="30" t="n"/>
      <c r="I575" s="31" t="n"/>
      <c r="J575" s="34" t="n"/>
      <c r="K575" s="34" t="n"/>
      <c r="L575" s="34" t="n"/>
      <c r="M575" s="30" t="n"/>
      <c r="N575" s="30" t="n"/>
      <c r="O575" s="30" t="n"/>
      <c r="P575" s="30" t="n"/>
      <c r="Q575" s="31" t="n"/>
      <c r="R575" s="31" t="n"/>
      <c r="S575" s="31" t="n"/>
      <c r="T575" s="31" t="n"/>
      <c r="U575" s="31" t="n"/>
      <c r="V575" s="31" t="n"/>
      <c r="W575" s="30" t="n"/>
      <c r="X575" s="31" t="n"/>
      <c r="Y575" s="35" t="n"/>
      <c r="Z575" s="35" t="n"/>
      <c r="AA575" s="35" t="n"/>
      <c r="AB575" s="35" t="n"/>
      <c r="AC575" s="35" t="n"/>
      <c r="AD575" s="35" t="n"/>
      <c r="AE575" s="35" t="n"/>
      <c r="AF575" s="35" t="n"/>
      <c r="AG575" s="36">
        <f>IF(A575="","",IF(V575&lt;&gt;"",V575-B575,TODAY()-B575))</f>
        <v/>
      </c>
      <c r="AH575" s="36">
        <f>IF(OR(A575="",I575=""),"",MAX(0,IF(V575&lt;&gt;"",V575-I575,TODAY()-I575)))</f>
        <v/>
      </c>
      <c r="AI575" s="37">
        <f>IF(A575="","",IF(OR(K575="Closed",V575&lt;&gt;""),"Closed",IF(AH575&gt;=AgeCrit,"Critical",IF(AH575&gt;=AgeFu,"For Follow-up",IF(AH575&gt;=AgeMonitor,"Monitor","Within Standard")))))</f>
        <v/>
      </c>
      <c r="AJ575" s="38">
        <f>IF(A575="","",IFERROR(INDEX(StgPct,MATCH(H575,StgList,0)),0))</f>
        <v/>
      </c>
      <c r="AK575" s="38">
        <f>IF(A575="","",IFERROR(COUNTIF(Y575:AF575,"Y")/(COUNTIF(Y575:AF575,"Y")+COUNTIF(Y575:AF575,"N")),0))</f>
        <v/>
      </c>
      <c r="AL575" s="36">
        <f>IF(OR(A575="",X575=""),"",MAX(0,IF(V575&lt;&gt;"",V575,TODAY())-X575))</f>
        <v/>
      </c>
      <c r="AM575" s="32" t="n"/>
      <c r="AN575" s="33">
        <f>IF(A575="","",LOWER(AI575)&amp;"|"&amp;AH575&amp;"|"&amp;AJ575&amp;"|"&amp;AK575)</f>
        <v/>
      </c>
      <c r="AO575" s="33">
        <f>IF(OR(A575="",T575=""),"",T575-TODAY())</f>
        <v/>
      </c>
      <c r="AP575" s="33">
        <f>IF(OR(A575="",V575&lt;&gt;""),"",(TODAY()-B575)+ROW()/1000000)</f>
        <v/>
      </c>
    </row>
    <row r="576" ht="27" customHeight="1">
      <c r="A576" s="30" t="n"/>
      <c r="B576" s="31" t="n"/>
      <c r="C576" s="32" t="n"/>
      <c r="D576" s="32" t="n"/>
      <c r="E576" s="32" t="n"/>
      <c r="F576" s="32" t="n"/>
      <c r="G576" s="33">
        <f>IF(A576="","",IFERROR(INDEX(OffCat,MATCH(F576,OffList,0)),"Unlisted"))</f>
        <v/>
      </c>
      <c r="H576" s="30" t="n"/>
      <c r="I576" s="31" t="n"/>
      <c r="J576" s="34" t="n"/>
      <c r="K576" s="34" t="n"/>
      <c r="L576" s="34" t="n"/>
      <c r="M576" s="30" t="n"/>
      <c r="N576" s="30" t="n"/>
      <c r="O576" s="30" t="n"/>
      <c r="P576" s="30" t="n"/>
      <c r="Q576" s="31" t="n"/>
      <c r="R576" s="31" t="n"/>
      <c r="S576" s="31" t="n"/>
      <c r="T576" s="31" t="n"/>
      <c r="U576" s="31" t="n"/>
      <c r="V576" s="31" t="n"/>
      <c r="W576" s="30" t="n"/>
      <c r="X576" s="31" t="n"/>
      <c r="Y576" s="35" t="n"/>
      <c r="Z576" s="35" t="n"/>
      <c r="AA576" s="35" t="n"/>
      <c r="AB576" s="35" t="n"/>
      <c r="AC576" s="35" t="n"/>
      <c r="AD576" s="35" t="n"/>
      <c r="AE576" s="35" t="n"/>
      <c r="AF576" s="35" t="n"/>
      <c r="AG576" s="36">
        <f>IF(A576="","",IF(V576&lt;&gt;"",V576-B576,TODAY()-B576))</f>
        <v/>
      </c>
      <c r="AH576" s="36">
        <f>IF(OR(A576="",I576=""),"",MAX(0,IF(V576&lt;&gt;"",V576-I576,TODAY()-I576)))</f>
        <v/>
      </c>
      <c r="AI576" s="37">
        <f>IF(A576="","",IF(OR(K576="Closed",V576&lt;&gt;""),"Closed",IF(AH576&gt;=AgeCrit,"Critical",IF(AH576&gt;=AgeFu,"For Follow-up",IF(AH576&gt;=AgeMonitor,"Monitor","Within Standard")))))</f>
        <v/>
      </c>
      <c r="AJ576" s="38">
        <f>IF(A576="","",IFERROR(INDEX(StgPct,MATCH(H576,StgList,0)),0))</f>
        <v/>
      </c>
      <c r="AK576" s="38">
        <f>IF(A576="","",IFERROR(COUNTIF(Y576:AF576,"Y")/(COUNTIF(Y576:AF576,"Y")+COUNTIF(Y576:AF576,"N")),0))</f>
        <v/>
      </c>
      <c r="AL576" s="36">
        <f>IF(OR(A576="",X576=""),"",MAX(0,IF(V576&lt;&gt;"",V576,TODAY())-X576))</f>
        <v/>
      </c>
      <c r="AM576" s="32" t="n"/>
      <c r="AN576" s="33">
        <f>IF(A576="","",LOWER(AI576)&amp;"|"&amp;AH576&amp;"|"&amp;AJ576&amp;"|"&amp;AK576)</f>
        <v/>
      </c>
      <c r="AO576" s="33">
        <f>IF(OR(A576="",T576=""),"",T576-TODAY())</f>
        <v/>
      </c>
      <c r="AP576" s="33">
        <f>IF(OR(A576="",V576&lt;&gt;""),"",(TODAY()-B576)+ROW()/1000000)</f>
        <v/>
      </c>
    </row>
    <row r="577" ht="27" customHeight="1">
      <c r="A577" s="30" t="n"/>
      <c r="B577" s="31" t="n"/>
      <c r="C577" s="32" t="n"/>
      <c r="D577" s="32" t="n"/>
      <c r="E577" s="32" t="n"/>
      <c r="F577" s="32" t="n"/>
      <c r="G577" s="33">
        <f>IF(A577="","",IFERROR(INDEX(OffCat,MATCH(F577,OffList,0)),"Unlisted"))</f>
        <v/>
      </c>
      <c r="H577" s="30" t="n"/>
      <c r="I577" s="31" t="n"/>
      <c r="J577" s="34" t="n"/>
      <c r="K577" s="34" t="n"/>
      <c r="L577" s="34" t="n"/>
      <c r="M577" s="30" t="n"/>
      <c r="N577" s="30" t="n"/>
      <c r="O577" s="30" t="n"/>
      <c r="P577" s="30" t="n"/>
      <c r="Q577" s="31" t="n"/>
      <c r="R577" s="31" t="n"/>
      <c r="S577" s="31" t="n"/>
      <c r="T577" s="31" t="n"/>
      <c r="U577" s="31" t="n"/>
      <c r="V577" s="31" t="n"/>
      <c r="W577" s="30" t="n"/>
      <c r="X577" s="31" t="n"/>
      <c r="Y577" s="35" t="n"/>
      <c r="Z577" s="35" t="n"/>
      <c r="AA577" s="35" t="n"/>
      <c r="AB577" s="35" t="n"/>
      <c r="AC577" s="35" t="n"/>
      <c r="AD577" s="35" t="n"/>
      <c r="AE577" s="35" t="n"/>
      <c r="AF577" s="35" t="n"/>
      <c r="AG577" s="36">
        <f>IF(A577="","",IF(V577&lt;&gt;"",V577-B577,TODAY()-B577))</f>
        <v/>
      </c>
      <c r="AH577" s="36">
        <f>IF(OR(A577="",I577=""),"",MAX(0,IF(V577&lt;&gt;"",V577-I577,TODAY()-I577)))</f>
        <v/>
      </c>
      <c r="AI577" s="37">
        <f>IF(A577="","",IF(OR(K577="Closed",V577&lt;&gt;""),"Closed",IF(AH577&gt;=AgeCrit,"Critical",IF(AH577&gt;=AgeFu,"For Follow-up",IF(AH577&gt;=AgeMonitor,"Monitor","Within Standard")))))</f>
        <v/>
      </c>
      <c r="AJ577" s="38">
        <f>IF(A577="","",IFERROR(INDEX(StgPct,MATCH(H577,StgList,0)),0))</f>
        <v/>
      </c>
      <c r="AK577" s="38">
        <f>IF(A577="","",IFERROR(COUNTIF(Y577:AF577,"Y")/(COUNTIF(Y577:AF577,"Y")+COUNTIF(Y577:AF577,"N")),0))</f>
        <v/>
      </c>
      <c r="AL577" s="36">
        <f>IF(OR(A577="",X577=""),"",MAX(0,IF(V577&lt;&gt;"",V577,TODAY())-X577))</f>
        <v/>
      </c>
      <c r="AM577" s="32" t="n"/>
      <c r="AN577" s="33">
        <f>IF(A577="","",LOWER(AI577)&amp;"|"&amp;AH577&amp;"|"&amp;AJ577&amp;"|"&amp;AK577)</f>
        <v/>
      </c>
      <c r="AO577" s="33">
        <f>IF(OR(A577="",T577=""),"",T577-TODAY())</f>
        <v/>
      </c>
      <c r="AP577" s="33">
        <f>IF(OR(A577="",V577&lt;&gt;""),"",(TODAY()-B577)+ROW()/1000000)</f>
        <v/>
      </c>
    </row>
    <row r="578" ht="27" customHeight="1">
      <c r="A578" s="30" t="n"/>
      <c r="B578" s="31" t="n"/>
      <c r="C578" s="32" t="n"/>
      <c r="D578" s="32" t="n"/>
      <c r="E578" s="32" t="n"/>
      <c r="F578" s="32" t="n"/>
      <c r="G578" s="33">
        <f>IF(A578="","",IFERROR(INDEX(OffCat,MATCH(F578,OffList,0)),"Unlisted"))</f>
        <v/>
      </c>
      <c r="H578" s="30" t="n"/>
      <c r="I578" s="31" t="n"/>
      <c r="J578" s="34" t="n"/>
      <c r="K578" s="34" t="n"/>
      <c r="L578" s="34" t="n"/>
      <c r="M578" s="30" t="n"/>
      <c r="N578" s="30" t="n"/>
      <c r="O578" s="30" t="n"/>
      <c r="P578" s="30" t="n"/>
      <c r="Q578" s="31" t="n"/>
      <c r="R578" s="31" t="n"/>
      <c r="S578" s="31" t="n"/>
      <c r="T578" s="31" t="n"/>
      <c r="U578" s="31" t="n"/>
      <c r="V578" s="31" t="n"/>
      <c r="W578" s="30" t="n"/>
      <c r="X578" s="31" t="n"/>
      <c r="Y578" s="35" t="n"/>
      <c r="Z578" s="35" t="n"/>
      <c r="AA578" s="35" t="n"/>
      <c r="AB578" s="35" t="n"/>
      <c r="AC578" s="35" t="n"/>
      <c r="AD578" s="35" t="n"/>
      <c r="AE578" s="35" t="n"/>
      <c r="AF578" s="35" t="n"/>
      <c r="AG578" s="36">
        <f>IF(A578="","",IF(V578&lt;&gt;"",V578-B578,TODAY()-B578))</f>
        <v/>
      </c>
      <c r="AH578" s="36">
        <f>IF(OR(A578="",I578=""),"",MAX(0,IF(V578&lt;&gt;"",V578-I578,TODAY()-I578)))</f>
        <v/>
      </c>
      <c r="AI578" s="37">
        <f>IF(A578="","",IF(OR(K578="Closed",V578&lt;&gt;""),"Closed",IF(AH578&gt;=AgeCrit,"Critical",IF(AH578&gt;=AgeFu,"For Follow-up",IF(AH578&gt;=AgeMonitor,"Monitor","Within Standard")))))</f>
        <v/>
      </c>
      <c r="AJ578" s="38">
        <f>IF(A578="","",IFERROR(INDEX(StgPct,MATCH(H578,StgList,0)),0))</f>
        <v/>
      </c>
      <c r="AK578" s="38">
        <f>IF(A578="","",IFERROR(COUNTIF(Y578:AF578,"Y")/(COUNTIF(Y578:AF578,"Y")+COUNTIF(Y578:AF578,"N")),0))</f>
        <v/>
      </c>
      <c r="AL578" s="36">
        <f>IF(OR(A578="",X578=""),"",MAX(0,IF(V578&lt;&gt;"",V578,TODAY())-X578))</f>
        <v/>
      </c>
      <c r="AM578" s="32" t="n"/>
      <c r="AN578" s="33">
        <f>IF(A578="","",LOWER(AI578)&amp;"|"&amp;AH578&amp;"|"&amp;AJ578&amp;"|"&amp;AK578)</f>
        <v/>
      </c>
      <c r="AO578" s="33">
        <f>IF(OR(A578="",T578=""),"",T578-TODAY())</f>
        <v/>
      </c>
      <c r="AP578" s="33">
        <f>IF(OR(A578="",V578&lt;&gt;""),"",(TODAY()-B578)+ROW()/1000000)</f>
        <v/>
      </c>
    </row>
    <row r="579" ht="27" customHeight="1">
      <c r="A579" s="30" t="n"/>
      <c r="B579" s="31" t="n"/>
      <c r="C579" s="32" t="n"/>
      <c r="D579" s="32" t="n"/>
      <c r="E579" s="32" t="n"/>
      <c r="F579" s="32" t="n"/>
      <c r="G579" s="33">
        <f>IF(A579="","",IFERROR(INDEX(OffCat,MATCH(F579,OffList,0)),"Unlisted"))</f>
        <v/>
      </c>
      <c r="H579" s="30" t="n"/>
      <c r="I579" s="31" t="n"/>
      <c r="J579" s="34" t="n"/>
      <c r="K579" s="34" t="n"/>
      <c r="L579" s="34" t="n"/>
      <c r="M579" s="30" t="n"/>
      <c r="N579" s="30" t="n"/>
      <c r="O579" s="30" t="n"/>
      <c r="P579" s="30" t="n"/>
      <c r="Q579" s="31" t="n"/>
      <c r="R579" s="31" t="n"/>
      <c r="S579" s="31" t="n"/>
      <c r="T579" s="31" t="n"/>
      <c r="U579" s="31" t="n"/>
      <c r="V579" s="31" t="n"/>
      <c r="W579" s="30" t="n"/>
      <c r="X579" s="31" t="n"/>
      <c r="Y579" s="35" t="n"/>
      <c r="Z579" s="35" t="n"/>
      <c r="AA579" s="35" t="n"/>
      <c r="AB579" s="35" t="n"/>
      <c r="AC579" s="35" t="n"/>
      <c r="AD579" s="35" t="n"/>
      <c r="AE579" s="35" t="n"/>
      <c r="AF579" s="35" t="n"/>
      <c r="AG579" s="36">
        <f>IF(A579="","",IF(V579&lt;&gt;"",V579-B579,TODAY()-B579))</f>
        <v/>
      </c>
      <c r="AH579" s="36">
        <f>IF(OR(A579="",I579=""),"",MAX(0,IF(V579&lt;&gt;"",V579-I579,TODAY()-I579)))</f>
        <v/>
      </c>
      <c r="AI579" s="37">
        <f>IF(A579="","",IF(OR(K579="Closed",V579&lt;&gt;""),"Closed",IF(AH579&gt;=AgeCrit,"Critical",IF(AH579&gt;=AgeFu,"For Follow-up",IF(AH579&gt;=AgeMonitor,"Monitor","Within Standard")))))</f>
        <v/>
      </c>
      <c r="AJ579" s="38">
        <f>IF(A579="","",IFERROR(INDEX(StgPct,MATCH(H579,StgList,0)),0))</f>
        <v/>
      </c>
      <c r="AK579" s="38">
        <f>IF(A579="","",IFERROR(COUNTIF(Y579:AF579,"Y")/(COUNTIF(Y579:AF579,"Y")+COUNTIF(Y579:AF579,"N")),0))</f>
        <v/>
      </c>
      <c r="AL579" s="36">
        <f>IF(OR(A579="",X579=""),"",MAX(0,IF(V579&lt;&gt;"",V579,TODAY())-X579))</f>
        <v/>
      </c>
      <c r="AM579" s="32" t="n"/>
      <c r="AN579" s="33">
        <f>IF(A579="","",LOWER(AI579)&amp;"|"&amp;AH579&amp;"|"&amp;AJ579&amp;"|"&amp;AK579)</f>
        <v/>
      </c>
      <c r="AO579" s="33">
        <f>IF(OR(A579="",T579=""),"",T579-TODAY())</f>
        <v/>
      </c>
      <c r="AP579" s="33">
        <f>IF(OR(A579="",V579&lt;&gt;""),"",(TODAY()-B579)+ROW()/1000000)</f>
        <v/>
      </c>
    </row>
    <row r="580" ht="27" customHeight="1">
      <c r="A580" s="30" t="n"/>
      <c r="B580" s="31" t="n"/>
      <c r="C580" s="32" t="n"/>
      <c r="D580" s="32" t="n"/>
      <c r="E580" s="32" t="n"/>
      <c r="F580" s="32" t="n"/>
      <c r="G580" s="33">
        <f>IF(A580="","",IFERROR(INDEX(OffCat,MATCH(F580,OffList,0)),"Unlisted"))</f>
        <v/>
      </c>
      <c r="H580" s="30" t="n"/>
      <c r="I580" s="31" t="n"/>
      <c r="J580" s="34" t="n"/>
      <c r="K580" s="34" t="n"/>
      <c r="L580" s="34" t="n"/>
      <c r="M580" s="30" t="n"/>
      <c r="N580" s="30" t="n"/>
      <c r="O580" s="30" t="n"/>
      <c r="P580" s="30" t="n"/>
      <c r="Q580" s="31" t="n"/>
      <c r="R580" s="31" t="n"/>
      <c r="S580" s="31" t="n"/>
      <c r="T580" s="31" t="n"/>
      <c r="U580" s="31" t="n"/>
      <c r="V580" s="31" t="n"/>
      <c r="W580" s="30" t="n"/>
      <c r="X580" s="31" t="n"/>
      <c r="Y580" s="35" t="n"/>
      <c r="Z580" s="35" t="n"/>
      <c r="AA580" s="35" t="n"/>
      <c r="AB580" s="35" t="n"/>
      <c r="AC580" s="35" t="n"/>
      <c r="AD580" s="35" t="n"/>
      <c r="AE580" s="35" t="n"/>
      <c r="AF580" s="35" t="n"/>
      <c r="AG580" s="36">
        <f>IF(A580="","",IF(V580&lt;&gt;"",V580-B580,TODAY()-B580))</f>
        <v/>
      </c>
      <c r="AH580" s="36">
        <f>IF(OR(A580="",I580=""),"",MAX(0,IF(V580&lt;&gt;"",V580-I580,TODAY()-I580)))</f>
        <v/>
      </c>
      <c r="AI580" s="37">
        <f>IF(A580="","",IF(OR(K580="Closed",V580&lt;&gt;""),"Closed",IF(AH580&gt;=AgeCrit,"Critical",IF(AH580&gt;=AgeFu,"For Follow-up",IF(AH580&gt;=AgeMonitor,"Monitor","Within Standard")))))</f>
        <v/>
      </c>
      <c r="AJ580" s="38">
        <f>IF(A580="","",IFERROR(INDEX(StgPct,MATCH(H580,StgList,0)),0))</f>
        <v/>
      </c>
      <c r="AK580" s="38">
        <f>IF(A580="","",IFERROR(COUNTIF(Y580:AF580,"Y")/(COUNTIF(Y580:AF580,"Y")+COUNTIF(Y580:AF580,"N")),0))</f>
        <v/>
      </c>
      <c r="AL580" s="36">
        <f>IF(OR(A580="",X580=""),"",MAX(0,IF(V580&lt;&gt;"",V580,TODAY())-X580))</f>
        <v/>
      </c>
      <c r="AM580" s="32" t="n"/>
      <c r="AN580" s="33">
        <f>IF(A580="","",LOWER(AI580)&amp;"|"&amp;AH580&amp;"|"&amp;AJ580&amp;"|"&amp;AK580)</f>
        <v/>
      </c>
      <c r="AO580" s="33">
        <f>IF(OR(A580="",T580=""),"",T580-TODAY())</f>
        <v/>
      </c>
      <c r="AP580" s="33">
        <f>IF(OR(A580="",V580&lt;&gt;""),"",(TODAY()-B580)+ROW()/1000000)</f>
        <v/>
      </c>
    </row>
    <row r="581" ht="27" customHeight="1">
      <c r="A581" s="30" t="n"/>
      <c r="B581" s="31" t="n"/>
      <c r="C581" s="32" t="n"/>
      <c r="D581" s="32" t="n"/>
      <c r="E581" s="32" t="n"/>
      <c r="F581" s="32" t="n"/>
      <c r="G581" s="33">
        <f>IF(A581="","",IFERROR(INDEX(OffCat,MATCH(F581,OffList,0)),"Unlisted"))</f>
        <v/>
      </c>
      <c r="H581" s="30" t="n"/>
      <c r="I581" s="31" t="n"/>
      <c r="J581" s="34" t="n"/>
      <c r="K581" s="34" t="n"/>
      <c r="L581" s="34" t="n"/>
      <c r="M581" s="30" t="n"/>
      <c r="N581" s="30" t="n"/>
      <c r="O581" s="30" t="n"/>
      <c r="P581" s="30" t="n"/>
      <c r="Q581" s="31" t="n"/>
      <c r="R581" s="31" t="n"/>
      <c r="S581" s="31" t="n"/>
      <c r="T581" s="31" t="n"/>
      <c r="U581" s="31" t="n"/>
      <c r="V581" s="31" t="n"/>
      <c r="W581" s="30" t="n"/>
      <c r="X581" s="31" t="n"/>
      <c r="Y581" s="35" t="n"/>
      <c r="Z581" s="35" t="n"/>
      <c r="AA581" s="35" t="n"/>
      <c r="AB581" s="35" t="n"/>
      <c r="AC581" s="35" t="n"/>
      <c r="AD581" s="35" t="n"/>
      <c r="AE581" s="35" t="n"/>
      <c r="AF581" s="35" t="n"/>
      <c r="AG581" s="36">
        <f>IF(A581="","",IF(V581&lt;&gt;"",V581-B581,TODAY()-B581))</f>
        <v/>
      </c>
      <c r="AH581" s="36">
        <f>IF(OR(A581="",I581=""),"",MAX(0,IF(V581&lt;&gt;"",V581-I581,TODAY()-I581)))</f>
        <v/>
      </c>
      <c r="AI581" s="37">
        <f>IF(A581="","",IF(OR(K581="Closed",V581&lt;&gt;""),"Closed",IF(AH581&gt;=AgeCrit,"Critical",IF(AH581&gt;=AgeFu,"For Follow-up",IF(AH581&gt;=AgeMonitor,"Monitor","Within Standard")))))</f>
        <v/>
      </c>
      <c r="AJ581" s="38">
        <f>IF(A581="","",IFERROR(INDEX(StgPct,MATCH(H581,StgList,0)),0))</f>
        <v/>
      </c>
      <c r="AK581" s="38">
        <f>IF(A581="","",IFERROR(COUNTIF(Y581:AF581,"Y")/(COUNTIF(Y581:AF581,"Y")+COUNTIF(Y581:AF581,"N")),0))</f>
        <v/>
      </c>
      <c r="AL581" s="36">
        <f>IF(OR(A581="",X581=""),"",MAX(0,IF(V581&lt;&gt;"",V581,TODAY())-X581))</f>
        <v/>
      </c>
      <c r="AM581" s="32" t="n"/>
      <c r="AN581" s="33">
        <f>IF(A581="","",LOWER(AI581)&amp;"|"&amp;AH581&amp;"|"&amp;AJ581&amp;"|"&amp;AK581)</f>
        <v/>
      </c>
      <c r="AO581" s="33">
        <f>IF(OR(A581="",T581=""),"",T581-TODAY())</f>
        <v/>
      </c>
      <c r="AP581" s="33">
        <f>IF(OR(A581="",V581&lt;&gt;""),"",(TODAY()-B581)+ROW()/1000000)</f>
        <v/>
      </c>
    </row>
    <row r="582" ht="27" customHeight="1">
      <c r="A582" s="30" t="n"/>
      <c r="B582" s="31" t="n"/>
      <c r="C582" s="32" t="n"/>
      <c r="D582" s="32" t="n"/>
      <c r="E582" s="32" t="n"/>
      <c r="F582" s="32" t="n"/>
      <c r="G582" s="33">
        <f>IF(A582="","",IFERROR(INDEX(OffCat,MATCH(F582,OffList,0)),"Unlisted"))</f>
        <v/>
      </c>
      <c r="H582" s="30" t="n"/>
      <c r="I582" s="31" t="n"/>
      <c r="J582" s="34" t="n"/>
      <c r="K582" s="34" t="n"/>
      <c r="L582" s="34" t="n"/>
      <c r="M582" s="30" t="n"/>
      <c r="N582" s="30" t="n"/>
      <c r="O582" s="30" t="n"/>
      <c r="P582" s="30" t="n"/>
      <c r="Q582" s="31" t="n"/>
      <c r="R582" s="31" t="n"/>
      <c r="S582" s="31" t="n"/>
      <c r="T582" s="31" t="n"/>
      <c r="U582" s="31" t="n"/>
      <c r="V582" s="31" t="n"/>
      <c r="W582" s="30" t="n"/>
      <c r="X582" s="31" t="n"/>
      <c r="Y582" s="35" t="n"/>
      <c r="Z582" s="35" t="n"/>
      <c r="AA582" s="35" t="n"/>
      <c r="AB582" s="35" t="n"/>
      <c r="AC582" s="35" t="n"/>
      <c r="AD582" s="35" t="n"/>
      <c r="AE582" s="35" t="n"/>
      <c r="AF582" s="35" t="n"/>
      <c r="AG582" s="36">
        <f>IF(A582="","",IF(V582&lt;&gt;"",V582-B582,TODAY()-B582))</f>
        <v/>
      </c>
      <c r="AH582" s="36">
        <f>IF(OR(A582="",I582=""),"",MAX(0,IF(V582&lt;&gt;"",V582-I582,TODAY()-I582)))</f>
        <v/>
      </c>
      <c r="AI582" s="37">
        <f>IF(A582="","",IF(OR(K582="Closed",V582&lt;&gt;""),"Closed",IF(AH582&gt;=AgeCrit,"Critical",IF(AH582&gt;=AgeFu,"For Follow-up",IF(AH582&gt;=AgeMonitor,"Monitor","Within Standard")))))</f>
        <v/>
      </c>
      <c r="AJ582" s="38">
        <f>IF(A582="","",IFERROR(INDEX(StgPct,MATCH(H582,StgList,0)),0))</f>
        <v/>
      </c>
      <c r="AK582" s="38">
        <f>IF(A582="","",IFERROR(COUNTIF(Y582:AF582,"Y")/(COUNTIF(Y582:AF582,"Y")+COUNTIF(Y582:AF582,"N")),0))</f>
        <v/>
      </c>
      <c r="AL582" s="36">
        <f>IF(OR(A582="",X582=""),"",MAX(0,IF(V582&lt;&gt;"",V582,TODAY())-X582))</f>
        <v/>
      </c>
      <c r="AM582" s="32" t="n"/>
      <c r="AN582" s="33">
        <f>IF(A582="","",LOWER(AI582)&amp;"|"&amp;AH582&amp;"|"&amp;AJ582&amp;"|"&amp;AK582)</f>
        <v/>
      </c>
      <c r="AO582" s="33">
        <f>IF(OR(A582="",T582=""),"",T582-TODAY())</f>
        <v/>
      </c>
      <c r="AP582" s="33">
        <f>IF(OR(A582="",V582&lt;&gt;""),"",(TODAY()-B582)+ROW()/1000000)</f>
        <v/>
      </c>
    </row>
    <row r="583" ht="27" customHeight="1">
      <c r="A583" s="30" t="n"/>
      <c r="B583" s="31" t="n"/>
      <c r="C583" s="32" t="n"/>
      <c r="D583" s="32" t="n"/>
      <c r="E583" s="32" t="n"/>
      <c r="F583" s="32" t="n"/>
      <c r="G583" s="33">
        <f>IF(A583="","",IFERROR(INDEX(OffCat,MATCH(F583,OffList,0)),"Unlisted"))</f>
        <v/>
      </c>
      <c r="H583" s="30" t="n"/>
      <c r="I583" s="31" t="n"/>
      <c r="J583" s="34" t="n"/>
      <c r="K583" s="34" t="n"/>
      <c r="L583" s="34" t="n"/>
      <c r="M583" s="30" t="n"/>
      <c r="N583" s="30" t="n"/>
      <c r="O583" s="30" t="n"/>
      <c r="P583" s="30" t="n"/>
      <c r="Q583" s="31" t="n"/>
      <c r="R583" s="31" t="n"/>
      <c r="S583" s="31" t="n"/>
      <c r="T583" s="31" t="n"/>
      <c r="U583" s="31" t="n"/>
      <c r="V583" s="31" t="n"/>
      <c r="W583" s="30" t="n"/>
      <c r="X583" s="31" t="n"/>
      <c r="Y583" s="35" t="n"/>
      <c r="Z583" s="35" t="n"/>
      <c r="AA583" s="35" t="n"/>
      <c r="AB583" s="35" t="n"/>
      <c r="AC583" s="35" t="n"/>
      <c r="AD583" s="35" t="n"/>
      <c r="AE583" s="35" t="n"/>
      <c r="AF583" s="35" t="n"/>
      <c r="AG583" s="36">
        <f>IF(A583="","",IF(V583&lt;&gt;"",V583-B583,TODAY()-B583))</f>
        <v/>
      </c>
      <c r="AH583" s="36">
        <f>IF(OR(A583="",I583=""),"",MAX(0,IF(V583&lt;&gt;"",V583-I583,TODAY()-I583)))</f>
        <v/>
      </c>
      <c r="AI583" s="37">
        <f>IF(A583="","",IF(OR(K583="Closed",V583&lt;&gt;""),"Closed",IF(AH583&gt;=AgeCrit,"Critical",IF(AH583&gt;=AgeFu,"For Follow-up",IF(AH583&gt;=AgeMonitor,"Monitor","Within Standard")))))</f>
        <v/>
      </c>
      <c r="AJ583" s="38">
        <f>IF(A583="","",IFERROR(INDEX(StgPct,MATCH(H583,StgList,0)),0))</f>
        <v/>
      </c>
      <c r="AK583" s="38">
        <f>IF(A583="","",IFERROR(COUNTIF(Y583:AF583,"Y")/(COUNTIF(Y583:AF583,"Y")+COUNTIF(Y583:AF583,"N")),0))</f>
        <v/>
      </c>
      <c r="AL583" s="36">
        <f>IF(OR(A583="",X583=""),"",MAX(0,IF(V583&lt;&gt;"",V583,TODAY())-X583))</f>
        <v/>
      </c>
      <c r="AM583" s="32" t="n"/>
      <c r="AN583" s="33">
        <f>IF(A583="","",LOWER(AI583)&amp;"|"&amp;AH583&amp;"|"&amp;AJ583&amp;"|"&amp;AK583)</f>
        <v/>
      </c>
      <c r="AO583" s="33">
        <f>IF(OR(A583="",T583=""),"",T583-TODAY())</f>
        <v/>
      </c>
      <c r="AP583" s="33">
        <f>IF(OR(A583="",V583&lt;&gt;""),"",(TODAY()-B583)+ROW()/1000000)</f>
        <v/>
      </c>
    </row>
    <row r="584" ht="27" customHeight="1">
      <c r="A584" s="30" t="n"/>
      <c r="B584" s="31" t="n"/>
      <c r="C584" s="32" t="n"/>
      <c r="D584" s="32" t="n"/>
      <c r="E584" s="32" t="n"/>
      <c r="F584" s="32" t="n"/>
      <c r="G584" s="33">
        <f>IF(A584="","",IFERROR(INDEX(OffCat,MATCH(F584,OffList,0)),"Unlisted"))</f>
        <v/>
      </c>
      <c r="H584" s="30" t="n"/>
      <c r="I584" s="31" t="n"/>
      <c r="J584" s="34" t="n"/>
      <c r="K584" s="34" t="n"/>
      <c r="L584" s="34" t="n"/>
      <c r="M584" s="30" t="n"/>
      <c r="N584" s="30" t="n"/>
      <c r="O584" s="30" t="n"/>
      <c r="P584" s="30" t="n"/>
      <c r="Q584" s="31" t="n"/>
      <c r="R584" s="31" t="n"/>
      <c r="S584" s="31" t="n"/>
      <c r="T584" s="31" t="n"/>
      <c r="U584" s="31" t="n"/>
      <c r="V584" s="31" t="n"/>
      <c r="W584" s="30" t="n"/>
      <c r="X584" s="31" t="n"/>
      <c r="Y584" s="35" t="n"/>
      <c r="Z584" s="35" t="n"/>
      <c r="AA584" s="35" t="n"/>
      <c r="AB584" s="35" t="n"/>
      <c r="AC584" s="35" t="n"/>
      <c r="AD584" s="35" t="n"/>
      <c r="AE584" s="35" t="n"/>
      <c r="AF584" s="35" t="n"/>
      <c r="AG584" s="36">
        <f>IF(A584="","",IF(V584&lt;&gt;"",V584-B584,TODAY()-B584))</f>
        <v/>
      </c>
      <c r="AH584" s="36">
        <f>IF(OR(A584="",I584=""),"",MAX(0,IF(V584&lt;&gt;"",V584-I584,TODAY()-I584)))</f>
        <v/>
      </c>
      <c r="AI584" s="37">
        <f>IF(A584="","",IF(OR(K584="Closed",V584&lt;&gt;""),"Closed",IF(AH584&gt;=AgeCrit,"Critical",IF(AH584&gt;=AgeFu,"For Follow-up",IF(AH584&gt;=AgeMonitor,"Monitor","Within Standard")))))</f>
        <v/>
      </c>
      <c r="AJ584" s="38">
        <f>IF(A584="","",IFERROR(INDEX(StgPct,MATCH(H584,StgList,0)),0))</f>
        <v/>
      </c>
      <c r="AK584" s="38">
        <f>IF(A584="","",IFERROR(COUNTIF(Y584:AF584,"Y")/(COUNTIF(Y584:AF584,"Y")+COUNTIF(Y584:AF584,"N")),0))</f>
        <v/>
      </c>
      <c r="AL584" s="36">
        <f>IF(OR(A584="",X584=""),"",MAX(0,IF(V584&lt;&gt;"",V584,TODAY())-X584))</f>
        <v/>
      </c>
      <c r="AM584" s="32" t="n"/>
      <c r="AN584" s="33">
        <f>IF(A584="","",LOWER(AI584)&amp;"|"&amp;AH584&amp;"|"&amp;AJ584&amp;"|"&amp;AK584)</f>
        <v/>
      </c>
      <c r="AO584" s="33">
        <f>IF(OR(A584="",T584=""),"",T584-TODAY())</f>
        <v/>
      </c>
      <c r="AP584" s="33">
        <f>IF(OR(A584="",V584&lt;&gt;""),"",(TODAY()-B584)+ROW()/1000000)</f>
        <v/>
      </c>
    </row>
    <row r="585" ht="27" customHeight="1">
      <c r="A585" s="30" t="n"/>
      <c r="B585" s="31" t="n"/>
      <c r="C585" s="32" t="n"/>
      <c r="D585" s="32" t="n"/>
      <c r="E585" s="32" t="n"/>
      <c r="F585" s="32" t="n"/>
      <c r="G585" s="33">
        <f>IF(A585="","",IFERROR(INDEX(OffCat,MATCH(F585,OffList,0)),"Unlisted"))</f>
        <v/>
      </c>
      <c r="H585" s="30" t="n"/>
      <c r="I585" s="31" t="n"/>
      <c r="J585" s="34" t="n"/>
      <c r="K585" s="34" t="n"/>
      <c r="L585" s="34" t="n"/>
      <c r="M585" s="30" t="n"/>
      <c r="N585" s="30" t="n"/>
      <c r="O585" s="30" t="n"/>
      <c r="P585" s="30" t="n"/>
      <c r="Q585" s="31" t="n"/>
      <c r="R585" s="31" t="n"/>
      <c r="S585" s="31" t="n"/>
      <c r="T585" s="31" t="n"/>
      <c r="U585" s="31" t="n"/>
      <c r="V585" s="31" t="n"/>
      <c r="W585" s="30" t="n"/>
      <c r="X585" s="31" t="n"/>
      <c r="Y585" s="35" t="n"/>
      <c r="Z585" s="35" t="n"/>
      <c r="AA585" s="35" t="n"/>
      <c r="AB585" s="35" t="n"/>
      <c r="AC585" s="35" t="n"/>
      <c r="AD585" s="35" t="n"/>
      <c r="AE585" s="35" t="n"/>
      <c r="AF585" s="35" t="n"/>
      <c r="AG585" s="36">
        <f>IF(A585="","",IF(V585&lt;&gt;"",V585-B585,TODAY()-B585))</f>
        <v/>
      </c>
      <c r="AH585" s="36">
        <f>IF(OR(A585="",I585=""),"",MAX(0,IF(V585&lt;&gt;"",V585-I585,TODAY()-I585)))</f>
        <v/>
      </c>
      <c r="AI585" s="37">
        <f>IF(A585="","",IF(OR(K585="Closed",V585&lt;&gt;""),"Closed",IF(AH585&gt;=AgeCrit,"Critical",IF(AH585&gt;=AgeFu,"For Follow-up",IF(AH585&gt;=AgeMonitor,"Monitor","Within Standard")))))</f>
        <v/>
      </c>
      <c r="AJ585" s="38">
        <f>IF(A585="","",IFERROR(INDEX(StgPct,MATCH(H585,StgList,0)),0))</f>
        <v/>
      </c>
      <c r="AK585" s="38">
        <f>IF(A585="","",IFERROR(COUNTIF(Y585:AF585,"Y")/(COUNTIF(Y585:AF585,"Y")+COUNTIF(Y585:AF585,"N")),0))</f>
        <v/>
      </c>
      <c r="AL585" s="36">
        <f>IF(OR(A585="",X585=""),"",MAX(0,IF(V585&lt;&gt;"",V585,TODAY())-X585))</f>
        <v/>
      </c>
      <c r="AM585" s="32" t="n"/>
      <c r="AN585" s="33">
        <f>IF(A585="","",LOWER(AI585)&amp;"|"&amp;AH585&amp;"|"&amp;AJ585&amp;"|"&amp;AK585)</f>
        <v/>
      </c>
      <c r="AO585" s="33">
        <f>IF(OR(A585="",T585=""),"",T585-TODAY())</f>
        <v/>
      </c>
      <c r="AP585" s="33">
        <f>IF(OR(A585="",V585&lt;&gt;""),"",(TODAY()-B585)+ROW()/1000000)</f>
        <v/>
      </c>
    </row>
    <row r="586" ht="27" customHeight="1">
      <c r="A586" s="30" t="n"/>
      <c r="B586" s="31" t="n"/>
      <c r="C586" s="32" t="n"/>
      <c r="D586" s="32" t="n"/>
      <c r="E586" s="32" t="n"/>
      <c r="F586" s="32" t="n"/>
      <c r="G586" s="33">
        <f>IF(A586="","",IFERROR(INDEX(OffCat,MATCH(F586,OffList,0)),"Unlisted"))</f>
        <v/>
      </c>
      <c r="H586" s="30" t="n"/>
      <c r="I586" s="31" t="n"/>
      <c r="J586" s="34" t="n"/>
      <c r="K586" s="34" t="n"/>
      <c r="L586" s="34" t="n"/>
      <c r="M586" s="30" t="n"/>
      <c r="N586" s="30" t="n"/>
      <c r="O586" s="30" t="n"/>
      <c r="P586" s="30" t="n"/>
      <c r="Q586" s="31" t="n"/>
      <c r="R586" s="31" t="n"/>
      <c r="S586" s="31" t="n"/>
      <c r="T586" s="31" t="n"/>
      <c r="U586" s="31" t="n"/>
      <c r="V586" s="31" t="n"/>
      <c r="W586" s="30" t="n"/>
      <c r="X586" s="31" t="n"/>
      <c r="Y586" s="35" t="n"/>
      <c r="Z586" s="35" t="n"/>
      <c r="AA586" s="35" t="n"/>
      <c r="AB586" s="35" t="n"/>
      <c r="AC586" s="35" t="n"/>
      <c r="AD586" s="35" t="n"/>
      <c r="AE586" s="35" t="n"/>
      <c r="AF586" s="35" t="n"/>
      <c r="AG586" s="36">
        <f>IF(A586="","",IF(V586&lt;&gt;"",V586-B586,TODAY()-B586))</f>
        <v/>
      </c>
      <c r="AH586" s="36">
        <f>IF(OR(A586="",I586=""),"",MAX(0,IF(V586&lt;&gt;"",V586-I586,TODAY()-I586)))</f>
        <v/>
      </c>
      <c r="AI586" s="37">
        <f>IF(A586="","",IF(OR(K586="Closed",V586&lt;&gt;""),"Closed",IF(AH586&gt;=AgeCrit,"Critical",IF(AH586&gt;=AgeFu,"For Follow-up",IF(AH586&gt;=AgeMonitor,"Monitor","Within Standard")))))</f>
        <v/>
      </c>
      <c r="AJ586" s="38">
        <f>IF(A586="","",IFERROR(INDEX(StgPct,MATCH(H586,StgList,0)),0))</f>
        <v/>
      </c>
      <c r="AK586" s="38">
        <f>IF(A586="","",IFERROR(COUNTIF(Y586:AF586,"Y")/(COUNTIF(Y586:AF586,"Y")+COUNTIF(Y586:AF586,"N")),0))</f>
        <v/>
      </c>
      <c r="AL586" s="36">
        <f>IF(OR(A586="",X586=""),"",MAX(0,IF(V586&lt;&gt;"",V586,TODAY())-X586))</f>
        <v/>
      </c>
      <c r="AM586" s="32" t="n"/>
      <c r="AN586" s="33">
        <f>IF(A586="","",LOWER(AI586)&amp;"|"&amp;AH586&amp;"|"&amp;AJ586&amp;"|"&amp;AK586)</f>
        <v/>
      </c>
      <c r="AO586" s="33">
        <f>IF(OR(A586="",T586=""),"",T586-TODAY())</f>
        <v/>
      </c>
      <c r="AP586" s="33">
        <f>IF(OR(A586="",V586&lt;&gt;""),"",(TODAY()-B586)+ROW()/1000000)</f>
        <v/>
      </c>
    </row>
    <row r="587" ht="27" customHeight="1">
      <c r="A587" s="30" t="n"/>
      <c r="B587" s="31" t="n"/>
      <c r="C587" s="32" t="n"/>
      <c r="D587" s="32" t="n"/>
      <c r="E587" s="32" t="n"/>
      <c r="F587" s="32" t="n"/>
      <c r="G587" s="33">
        <f>IF(A587="","",IFERROR(INDEX(OffCat,MATCH(F587,OffList,0)),"Unlisted"))</f>
        <v/>
      </c>
      <c r="H587" s="30" t="n"/>
      <c r="I587" s="31" t="n"/>
      <c r="J587" s="34" t="n"/>
      <c r="K587" s="34" t="n"/>
      <c r="L587" s="34" t="n"/>
      <c r="M587" s="30" t="n"/>
      <c r="N587" s="30" t="n"/>
      <c r="O587" s="30" t="n"/>
      <c r="P587" s="30" t="n"/>
      <c r="Q587" s="31" t="n"/>
      <c r="R587" s="31" t="n"/>
      <c r="S587" s="31" t="n"/>
      <c r="T587" s="31" t="n"/>
      <c r="U587" s="31" t="n"/>
      <c r="V587" s="31" t="n"/>
      <c r="W587" s="30" t="n"/>
      <c r="X587" s="31" t="n"/>
      <c r="Y587" s="35" t="n"/>
      <c r="Z587" s="35" t="n"/>
      <c r="AA587" s="35" t="n"/>
      <c r="AB587" s="35" t="n"/>
      <c r="AC587" s="35" t="n"/>
      <c r="AD587" s="35" t="n"/>
      <c r="AE587" s="35" t="n"/>
      <c r="AF587" s="35" t="n"/>
      <c r="AG587" s="36">
        <f>IF(A587="","",IF(V587&lt;&gt;"",V587-B587,TODAY()-B587))</f>
        <v/>
      </c>
      <c r="AH587" s="36">
        <f>IF(OR(A587="",I587=""),"",MAX(0,IF(V587&lt;&gt;"",V587-I587,TODAY()-I587)))</f>
        <v/>
      </c>
      <c r="AI587" s="37">
        <f>IF(A587="","",IF(OR(K587="Closed",V587&lt;&gt;""),"Closed",IF(AH587&gt;=AgeCrit,"Critical",IF(AH587&gt;=AgeFu,"For Follow-up",IF(AH587&gt;=AgeMonitor,"Monitor","Within Standard")))))</f>
        <v/>
      </c>
      <c r="AJ587" s="38">
        <f>IF(A587="","",IFERROR(INDEX(StgPct,MATCH(H587,StgList,0)),0))</f>
        <v/>
      </c>
      <c r="AK587" s="38">
        <f>IF(A587="","",IFERROR(COUNTIF(Y587:AF587,"Y")/(COUNTIF(Y587:AF587,"Y")+COUNTIF(Y587:AF587,"N")),0))</f>
        <v/>
      </c>
      <c r="AL587" s="36">
        <f>IF(OR(A587="",X587=""),"",MAX(0,IF(V587&lt;&gt;"",V587,TODAY())-X587))</f>
        <v/>
      </c>
      <c r="AM587" s="32" t="n"/>
      <c r="AN587" s="33">
        <f>IF(A587="","",LOWER(AI587)&amp;"|"&amp;AH587&amp;"|"&amp;AJ587&amp;"|"&amp;AK587)</f>
        <v/>
      </c>
      <c r="AO587" s="33">
        <f>IF(OR(A587="",T587=""),"",T587-TODAY())</f>
        <v/>
      </c>
      <c r="AP587" s="33">
        <f>IF(OR(A587="",V587&lt;&gt;""),"",(TODAY()-B587)+ROW()/1000000)</f>
        <v/>
      </c>
    </row>
    <row r="588" ht="27" customHeight="1">
      <c r="A588" s="30" t="n"/>
      <c r="B588" s="31" t="n"/>
      <c r="C588" s="32" t="n"/>
      <c r="D588" s="32" t="n"/>
      <c r="E588" s="32" t="n"/>
      <c r="F588" s="32" t="n"/>
      <c r="G588" s="33">
        <f>IF(A588="","",IFERROR(INDEX(OffCat,MATCH(F588,OffList,0)),"Unlisted"))</f>
        <v/>
      </c>
      <c r="H588" s="30" t="n"/>
      <c r="I588" s="31" t="n"/>
      <c r="J588" s="34" t="n"/>
      <c r="K588" s="34" t="n"/>
      <c r="L588" s="34" t="n"/>
      <c r="M588" s="30" t="n"/>
      <c r="N588" s="30" t="n"/>
      <c r="O588" s="30" t="n"/>
      <c r="P588" s="30" t="n"/>
      <c r="Q588" s="31" t="n"/>
      <c r="R588" s="31" t="n"/>
      <c r="S588" s="31" t="n"/>
      <c r="T588" s="31" t="n"/>
      <c r="U588" s="31" t="n"/>
      <c r="V588" s="31" t="n"/>
      <c r="W588" s="30" t="n"/>
      <c r="X588" s="31" t="n"/>
      <c r="Y588" s="35" t="n"/>
      <c r="Z588" s="35" t="n"/>
      <c r="AA588" s="35" t="n"/>
      <c r="AB588" s="35" t="n"/>
      <c r="AC588" s="35" t="n"/>
      <c r="AD588" s="35" t="n"/>
      <c r="AE588" s="35" t="n"/>
      <c r="AF588" s="35" t="n"/>
      <c r="AG588" s="36">
        <f>IF(A588="","",IF(V588&lt;&gt;"",V588-B588,TODAY()-B588))</f>
        <v/>
      </c>
      <c r="AH588" s="36">
        <f>IF(OR(A588="",I588=""),"",MAX(0,IF(V588&lt;&gt;"",V588-I588,TODAY()-I588)))</f>
        <v/>
      </c>
      <c r="AI588" s="37">
        <f>IF(A588="","",IF(OR(K588="Closed",V588&lt;&gt;""),"Closed",IF(AH588&gt;=AgeCrit,"Critical",IF(AH588&gt;=AgeFu,"For Follow-up",IF(AH588&gt;=AgeMonitor,"Monitor","Within Standard")))))</f>
        <v/>
      </c>
      <c r="AJ588" s="38">
        <f>IF(A588="","",IFERROR(INDEX(StgPct,MATCH(H588,StgList,0)),0))</f>
        <v/>
      </c>
      <c r="AK588" s="38">
        <f>IF(A588="","",IFERROR(COUNTIF(Y588:AF588,"Y")/(COUNTIF(Y588:AF588,"Y")+COUNTIF(Y588:AF588,"N")),0))</f>
        <v/>
      </c>
      <c r="AL588" s="36">
        <f>IF(OR(A588="",X588=""),"",MAX(0,IF(V588&lt;&gt;"",V588,TODAY())-X588))</f>
        <v/>
      </c>
      <c r="AM588" s="32" t="n"/>
      <c r="AN588" s="33">
        <f>IF(A588="","",LOWER(AI588)&amp;"|"&amp;AH588&amp;"|"&amp;AJ588&amp;"|"&amp;AK588)</f>
        <v/>
      </c>
      <c r="AO588" s="33">
        <f>IF(OR(A588="",T588=""),"",T588-TODAY())</f>
        <v/>
      </c>
      <c r="AP588" s="33">
        <f>IF(OR(A588="",V588&lt;&gt;""),"",(TODAY()-B588)+ROW()/1000000)</f>
        <v/>
      </c>
    </row>
    <row r="589" ht="27" customHeight="1">
      <c r="A589" s="30" t="n"/>
      <c r="B589" s="31" t="n"/>
      <c r="C589" s="32" t="n"/>
      <c r="D589" s="32" t="n"/>
      <c r="E589" s="32" t="n"/>
      <c r="F589" s="32" t="n"/>
      <c r="G589" s="33">
        <f>IF(A589="","",IFERROR(INDEX(OffCat,MATCH(F589,OffList,0)),"Unlisted"))</f>
        <v/>
      </c>
      <c r="H589" s="30" t="n"/>
      <c r="I589" s="31" t="n"/>
      <c r="J589" s="34" t="n"/>
      <c r="K589" s="34" t="n"/>
      <c r="L589" s="34" t="n"/>
      <c r="M589" s="30" t="n"/>
      <c r="N589" s="30" t="n"/>
      <c r="O589" s="30" t="n"/>
      <c r="P589" s="30" t="n"/>
      <c r="Q589" s="31" t="n"/>
      <c r="R589" s="31" t="n"/>
      <c r="S589" s="31" t="n"/>
      <c r="T589" s="31" t="n"/>
      <c r="U589" s="31" t="n"/>
      <c r="V589" s="31" t="n"/>
      <c r="W589" s="30" t="n"/>
      <c r="X589" s="31" t="n"/>
      <c r="Y589" s="35" t="n"/>
      <c r="Z589" s="35" t="n"/>
      <c r="AA589" s="35" t="n"/>
      <c r="AB589" s="35" t="n"/>
      <c r="AC589" s="35" t="n"/>
      <c r="AD589" s="35" t="n"/>
      <c r="AE589" s="35" t="n"/>
      <c r="AF589" s="35" t="n"/>
      <c r="AG589" s="36">
        <f>IF(A589="","",IF(V589&lt;&gt;"",V589-B589,TODAY()-B589))</f>
        <v/>
      </c>
      <c r="AH589" s="36">
        <f>IF(OR(A589="",I589=""),"",MAX(0,IF(V589&lt;&gt;"",V589-I589,TODAY()-I589)))</f>
        <v/>
      </c>
      <c r="AI589" s="37">
        <f>IF(A589="","",IF(OR(K589="Closed",V589&lt;&gt;""),"Closed",IF(AH589&gt;=AgeCrit,"Critical",IF(AH589&gt;=AgeFu,"For Follow-up",IF(AH589&gt;=AgeMonitor,"Monitor","Within Standard")))))</f>
        <v/>
      </c>
      <c r="AJ589" s="38">
        <f>IF(A589="","",IFERROR(INDEX(StgPct,MATCH(H589,StgList,0)),0))</f>
        <v/>
      </c>
      <c r="AK589" s="38">
        <f>IF(A589="","",IFERROR(COUNTIF(Y589:AF589,"Y")/(COUNTIF(Y589:AF589,"Y")+COUNTIF(Y589:AF589,"N")),0))</f>
        <v/>
      </c>
      <c r="AL589" s="36">
        <f>IF(OR(A589="",X589=""),"",MAX(0,IF(V589&lt;&gt;"",V589,TODAY())-X589))</f>
        <v/>
      </c>
      <c r="AM589" s="32" t="n"/>
      <c r="AN589" s="33">
        <f>IF(A589="","",LOWER(AI589)&amp;"|"&amp;AH589&amp;"|"&amp;AJ589&amp;"|"&amp;AK589)</f>
        <v/>
      </c>
      <c r="AO589" s="33">
        <f>IF(OR(A589="",T589=""),"",T589-TODAY())</f>
        <v/>
      </c>
      <c r="AP589" s="33">
        <f>IF(OR(A589="",V589&lt;&gt;""),"",(TODAY()-B589)+ROW()/1000000)</f>
        <v/>
      </c>
    </row>
    <row r="590" ht="27" customHeight="1">
      <c r="A590" s="30" t="n"/>
      <c r="B590" s="31" t="n"/>
      <c r="C590" s="32" t="n"/>
      <c r="D590" s="32" t="n"/>
      <c r="E590" s="32" t="n"/>
      <c r="F590" s="32" t="n"/>
      <c r="G590" s="33">
        <f>IF(A590="","",IFERROR(INDEX(OffCat,MATCH(F590,OffList,0)),"Unlisted"))</f>
        <v/>
      </c>
      <c r="H590" s="30" t="n"/>
      <c r="I590" s="31" t="n"/>
      <c r="J590" s="34" t="n"/>
      <c r="K590" s="34" t="n"/>
      <c r="L590" s="34" t="n"/>
      <c r="M590" s="30" t="n"/>
      <c r="N590" s="30" t="n"/>
      <c r="O590" s="30" t="n"/>
      <c r="P590" s="30" t="n"/>
      <c r="Q590" s="31" t="n"/>
      <c r="R590" s="31" t="n"/>
      <c r="S590" s="31" t="n"/>
      <c r="T590" s="31" t="n"/>
      <c r="U590" s="31" t="n"/>
      <c r="V590" s="31" t="n"/>
      <c r="W590" s="30" t="n"/>
      <c r="X590" s="31" t="n"/>
      <c r="Y590" s="35" t="n"/>
      <c r="Z590" s="35" t="n"/>
      <c r="AA590" s="35" t="n"/>
      <c r="AB590" s="35" t="n"/>
      <c r="AC590" s="35" t="n"/>
      <c r="AD590" s="35" t="n"/>
      <c r="AE590" s="35" t="n"/>
      <c r="AF590" s="35" t="n"/>
      <c r="AG590" s="36">
        <f>IF(A590="","",IF(V590&lt;&gt;"",V590-B590,TODAY()-B590))</f>
        <v/>
      </c>
      <c r="AH590" s="36">
        <f>IF(OR(A590="",I590=""),"",MAX(0,IF(V590&lt;&gt;"",V590-I590,TODAY()-I590)))</f>
        <v/>
      </c>
      <c r="AI590" s="37">
        <f>IF(A590="","",IF(OR(K590="Closed",V590&lt;&gt;""),"Closed",IF(AH590&gt;=AgeCrit,"Critical",IF(AH590&gt;=AgeFu,"For Follow-up",IF(AH590&gt;=AgeMonitor,"Monitor","Within Standard")))))</f>
        <v/>
      </c>
      <c r="AJ590" s="38">
        <f>IF(A590="","",IFERROR(INDEX(StgPct,MATCH(H590,StgList,0)),0))</f>
        <v/>
      </c>
      <c r="AK590" s="38">
        <f>IF(A590="","",IFERROR(COUNTIF(Y590:AF590,"Y")/(COUNTIF(Y590:AF590,"Y")+COUNTIF(Y590:AF590,"N")),0))</f>
        <v/>
      </c>
      <c r="AL590" s="36">
        <f>IF(OR(A590="",X590=""),"",MAX(0,IF(V590&lt;&gt;"",V590,TODAY())-X590))</f>
        <v/>
      </c>
      <c r="AM590" s="32" t="n"/>
      <c r="AN590" s="33">
        <f>IF(A590="","",LOWER(AI590)&amp;"|"&amp;AH590&amp;"|"&amp;AJ590&amp;"|"&amp;AK590)</f>
        <v/>
      </c>
      <c r="AO590" s="33">
        <f>IF(OR(A590="",T590=""),"",T590-TODAY())</f>
        <v/>
      </c>
      <c r="AP590" s="33">
        <f>IF(OR(A590="",V590&lt;&gt;""),"",(TODAY()-B590)+ROW()/1000000)</f>
        <v/>
      </c>
    </row>
    <row r="591" ht="27" customHeight="1">
      <c r="A591" s="30" t="n"/>
      <c r="B591" s="31" t="n"/>
      <c r="C591" s="32" t="n"/>
      <c r="D591" s="32" t="n"/>
      <c r="E591" s="32" t="n"/>
      <c r="F591" s="32" t="n"/>
      <c r="G591" s="33">
        <f>IF(A591="","",IFERROR(INDEX(OffCat,MATCH(F591,OffList,0)),"Unlisted"))</f>
        <v/>
      </c>
      <c r="H591" s="30" t="n"/>
      <c r="I591" s="31" t="n"/>
      <c r="J591" s="34" t="n"/>
      <c r="K591" s="34" t="n"/>
      <c r="L591" s="34" t="n"/>
      <c r="M591" s="30" t="n"/>
      <c r="N591" s="30" t="n"/>
      <c r="O591" s="30" t="n"/>
      <c r="P591" s="30" t="n"/>
      <c r="Q591" s="31" t="n"/>
      <c r="R591" s="31" t="n"/>
      <c r="S591" s="31" t="n"/>
      <c r="T591" s="31" t="n"/>
      <c r="U591" s="31" t="n"/>
      <c r="V591" s="31" t="n"/>
      <c r="W591" s="30" t="n"/>
      <c r="X591" s="31" t="n"/>
      <c r="Y591" s="35" t="n"/>
      <c r="Z591" s="35" t="n"/>
      <c r="AA591" s="35" t="n"/>
      <c r="AB591" s="35" t="n"/>
      <c r="AC591" s="35" t="n"/>
      <c r="AD591" s="35" t="n"/>
      <c r="AE591" s="35" t="n"/>
      <c r="AF591" s="35" t="n"/>
      <c r="AG591" s="36">
        <f>IF(A591="","",IF(V591&lt;&gt;"",V591-B591,TODAY()-B591))</f>
        <v/>
      </c>
      <c r="AH591" s="36">
        <f>IF(OR(A591="",I591=""),"",MAX(0,IF(V591&lt;&gt;"",V591-I591,TODAY()-I591)))</f>
        <v/>
      </c>
      <c r="AI591" s="37">
        <f>IF(A591="","",IF(OR(K591="Closed",V591&lt;&gt;""),"Closed",IF(AH591&gt;=AgeCrit,"Critical",IF(AH591&gt;=AgeFu,"For Follow-up",IF(AH591&gt;=AgeMonitor,"Monitor","Within Standard")))))</f>
        <v/>
      </c>
      <c r="AJ591" s="38">
        <f>IF(A591="","",IFERROR(INDEX(StgPct,MATCH(H591,StgList,0)),0))</f>
        <v/>
      </c>
      <c r="AK591" s="38">
        <f>IF(A591="","",IFERROR(COUNTIF(Y591:AF591,"Y")/(COUNTIF(Y591:AF591,"Y")+COUNTIF(Y591:AF591,"N")),0))</f>
        <v/>
      </c>
      <c r="AL591" s="36">
        <f>IF(OR(A591="",X591=""),"",MAX(0,IF(V591&lt;&gt;"",V591,TODAY())-X591))</f>
        <v/>
      </c>
      <c r="AM591" s="32" t="n"/>
      <c r="AN591" s="33">
        <f>IF(A591="","",LOWER(AI591)&amp;"|"&amp;AH591&amp;"|"&amp;AJ591&amp;"|"&amp;AK591)</f>
        <v/>
      </c>
      <c r="AO591" s="33">
        <f>IF(OR(A591="",T591=""),"",T591-TODAY())</f>
        <v/>
      </c>
      <c r="AP591" s="33">
        <f>IF(OR(A591="",V591&lt;&gt;""),"",(TODAY()-B591)+ROW()/1000000)</f>
        <v/>
      </c>
    </row>
    <row r="592" ht="27" customHeight="1">
      <c r="A592" s="30" t="n"/>
      <c r="B592" s="31" t="n"/>
      <c r="C592" s="32" t="n"/>
      <c r="D592" s="32" t="n"/>
      <c r="E592" s="32" t="n"/>
      <c r="F592" s="32" t="n"/>
      <c r="G592" s="33">
        <f>IF(A592="","",IFERROR(INDEX(OffCat,MATCH(F592,OffList,0)),"Unlisted"))</f>
        <v/>
      </c>
      <c r="H592" s="30" t="n"/>
      <c r="I592" s="31" t="n"/>
      <c r="J592" s="34" t="n"/>
      <c r="K592" s="34" t="n"/>
      <c r="L592" s="34" t="n"/>
      <c r="M592" s="30" t="n"/>
      <c r="N592" s="30" t="n"/>
      <c r="O592" s="30" t="n"/>
      <c r="P592" s="30" t="n"/>
      <c r="Q592" s="31" t="n"/>
      <c r="R592" s="31" t="n"/>
      <c r="S592" s="31" t="n"/>
      <c r="T592" s="31" t="n"/>
      <c r="U592" s="31" t="n"/>
      <c r="V592" s="31" t="n"/>
      <c r="W592" s="30" t="n"/>
      <c r="X592" s="31" t="n"/>
      <c r="Y592" s="35" t="n"/>
      <c r="Z592" s="35" t="n"/>
      <c r="AA592" s="35" t="n"/>
      <c r="AB592" s="35" t="n"/>
      <c r="AC592" s="35" t="n"/>
      <c r="AD592" s="35" t="n"/>
      <c r="AE592" s="35" t="n"/>
      <c r="AF592" s="35" t="n"/>
      <c r="AG592" s="36">
        <f>IF(A592="","",IF(V592&lt;&gt;"",V592-B592,TODAY()-B592))</f>
        <v/>
      </c>
      <c r="AH592" s="36">
        <f>IF(OR(A592="",I592=""),"",MAX(0,IF(V592&lt;&gt;"",V592-I592,TODAY()-I592)))</f>
        <v/>
      </c>
      <c r="AI592" s="37">
        <f>IF(A592="","",IF(OR(K592="Closed",V592&lt;&gt;""),"Closed",IF(AH592&gt;=AgeCrit,"Critical",IF(AH592&gt;=AgeFu,"For Follow-up",IF(AH592&gt;=AgeMonitor,"Monitor","Within Standard")))))</f>
        <v/>
      </c>
      <c r="AJ592" s="38">
        <f>IF(A592="","",IFERROR(INDEX(StgPct,MATCH(H592,StgList,0)),0))</f>
        <v/>
      </c>
      <c r="AK592" s="38">
        <f>IF(A592="","",IFERROR(COUNTIF(Y592:AF592,"Y")/(COUNTIF(Y592:AF592,"Y")+COUNTIF(Y592:AF592,"N")),0))</f>
        <v/>
      </c>
      <c r="AL592" s="36">
        <f>IF(OR(A592="",X592=""),"",MAX(0,IF(V592&lt;&gt;"",V592,TODAY())-X592))</f>
        <v/>
      </c>
      <c r="AM592" s="32" t="n"/>
      <c r="AN592" s="33">
        <f>IF(A592="","",LOWER(AI592)&amp;"|"&amp;AH592&amp;"|"&amp;AJ592&amp;"|"&amp;AK592)</f>
        <v/>
      </c>
      <c r="AO592" s="33">
        <f>IF(OR(A592="",T592=""),"",T592-TODAY())</f>
        <v/>
      </c>
      <c r="AP592" s="33">
        <f>IF(OR(A592="",V592&lt;&gt;""),"",(TODAY()-B592)+ROW()/1000000)</f>
        <v/>
      </c>
    </row>
    <row r="593" ht="27" customHeight="1">
      <c r="A593" s="30" t="n"/>
      <c r="B593" s="31" t="n"/>
      <c r="C593" s="32" t="n"/>
      <c r="D593" s="32" t="n"/>
      <c r="E593" s="32" t="n"/>
      <c r="F593" s="32" t="n"/>
      <c r="G593" s="33">
        <f>IF(A593="","",IFERROR(INDEX(OffCat,MATCH(F593,OffList,0)),"Unlisted"))</f>
        <v/>
      </c>
      <c r="H593" s="30" t="n"/>
      <c r="I593" s="31" t="n"/>
      <c r="J593" s="34" t="n"/>
      <c r="K593" s="34" t="n"/>
      <c r="L593" s="34" t="n"/>
      <c r="M593" s="30" t="n"/>
      <c r="N593" s="30" t="n"/>
      <c r="O593" s="30" t="n"/>
      <c r="P593" s="30" t="n"/>
      <c r="Q593" s="31" t="n"/>
      <c r="R593" s="31" t="n"/>
      <c r="S593" s="31" t="n"/>
      <c r="T593" s="31" t="n"/>
      <c r="U593" s="31" t="n"/>
      <c r="V593" s="31" t="n"/>
      <c r="W593" s="30" t="n"/>
      <c r="X593" s="31" t="n"/>
      <c r="Y593" s="35" t="n"/>
      <c r="Z593" s="35" t="n"/>
      <c r="AA593" s="35" t="n"/>
      <c r="AB593" s="35" t="n"/>
      <c r="AC593" s="35" t="n"/>
      <c r="AD593" s="35" t="n"/>
      <c r="AE593" s="35" t="n"/>
      <c r="AF593" s="35" t="n"/>
      <c r="AG593" s="36">
        <f>IF(A593="","",IF(V593&lt;&gt;"",V593-B593,TODAY()-B593))</f>
        <v/>
      </c>
      <c r="AH593" s="36">
        <f>IF(OR(A593="",I593=""),"",MAX(0,IF(V593&lt;&gt;"",V593-I593,TODAY()-I593)))</f>
        <v/>
      </c>
      <c r="AI593" s="37">
        <f>IF(A593="","",IF(OR(K593="Closed",V593&lt;&gt;""),"Closed",IF(AH593&gt;=AgeCrit,"Critical",IF(AH593&gt;=AgeFu,"For Follow-up",IF(AH593&gt;=AgeMonitor,"Monitor","Within Standard")))))</f>
        <v/>
      </c>
      <c r="AJ593" s="38">
        <f>IF(A593="","",IFERROR(INDEX(StgPct,MATCH(H593,StgList,0)),0))</f>
        <v/>
      </c>
      <c r="AK593" s="38">
        <f>IF(A593="","",IFERROR(COUNTIF(Y593:AF593,"Y")/(COUNTIF(Y593:AF593,"Y")+COUNTIF(Y593:AF593,"N")),0))</f>
        <v/>
      </c>
      <c r="AL593" s="36">
        <f>IF(OR(A593="",X593=""),"",MAX(0,IF(V593&lt;&gt;"",V593,TODAY())-X593))</f>
        <v/>
      </c>
      <c r="AM593" s="32" t="n"/>
      <c r="AN593" s="33">
        <f>IF(A593="","",LOWER(AI593)&amp;"|"&amp;AH593&amp;"|"&amp;AJ593&amp;"|"&amp;AK593)</f>
        <v/>
      </c>
      <c r="AO593" s="33">
        <f>IF(OR(A593="",T593=""),"",T593-TODAY())</f>
        <v/>
      </c>
      <c r="AP593" s="33">
        <f>IF(OR(A593="",V593&lt;&gt;""),"",(TODAY()-B593)+ROW()/1000000)</f>
        <v/>
      </c>
    </row>
    <row r="594" ht="27" customHeight="1">
      <c r="A594" s="30" t="n"/>
      <c r="B594" s="31" t="n"/>
      <c r="C594" s="32" t="n"/>
      <c r="D594" s="32" t="n"/>
      <c r="E594" s="32" t="n"/>
      <c r="F594" s="32" t="n"/>
      <c r="G594" s="33">
        <f>IF(A594="","",IFERROR(INDEX(OffCat,MATCH(F594,OffList,0)),"Unlisted"))</f>
        <v/>
      </c>
      <c r="H594" s="30" t="n"/>
      <c r="I594" s="31" t="n"/>
      <c r="J594" s="34" t="n"/>
      <c r="K594" s="34" t="n"/>
      <c r="L594" s="34" t="n"/>
      <c r="M594" s="30" t="n"/>
      <c r="N594" s="30" t="n"/>
      <c r="O594" s="30" t="n"/>
      <c r="P594" s="30" t="n"/>
      <c r="Q594" s="31" t="n"/>
      <c r="R594" s="31" t="n"/>
      <c r="S594" s="31" t="n"/>
      <c r="T594" s="31" t="n"/>
      <c r="U594" s="31" t="n"/>
      <c r="V594" s="31" t="n"/>
      <c r="W594" s="30" t="n"/>
      <c r="X594" s="31" t="n"/>
      <c r="Y594" s="35" t="n"/>
      <c r="Z594" s="35" t="n"/>
      <c r="AA594" s="35" t="n"/>
      <c r="AB594" s="35" t="n"/>
      <c r="AC594" s="35" t="n"/>
      <c r="AD594" s="35" t="n"/>
      <c r="AE594" s="35" t="n"/>
      <c r="AF594" s="35" t="n"/>
      <c r="AG594" s="36">
        <f>IF(A594="","",IF(V594&lt;&gt;"",V594-B594,TODAY()-B594))</f>
        <v/>
      </c>
      <c r="AH594" s="36">
        <f>IF(OR(A594="",I594=""),"",MAX(0,IF(V594&lt;&gt;"",V594-I594,TODAY()-I594)))</f>
        <v/>
      </c>
      <c r="AI594" s="37">
        <f>IF(A594="","",IF(OR(K594="Closed",V594&lt;&gt;""),"Closed",IF(AH594&gt;=AgeCrit,"Critical",IF(AH594&gt;=AgeFu,"For Follow-up",IF(AH594&gt;=AgeMonitor,"Monitor","Within Standard")))))</f>
        <v/>
      </c>
      <c r="AJ594" s="38">
        <f>IF(A594="","",IFERROR(INDEX(StgPct,MATCH(H594,StgList,0)),0))</f>
        <v/>
      </c>
      <c r="AK594" s="38">
        <f>IF(A594="","",IFERROR(COUNTIF(Y594:AF594,"Y")/(COUNTIF(Y594:AF594,"Y")+COUNTIF(Y594:AF594,"N")),0))</f>
        <v/>
      </c>
      <c r="AL594" s="36">
        <f>IF(OR(A594="",X594=""),"",MAX(0,IF(V594&lt;&gt;"",V594,TODAY())-X594))</f>
        <v/>
      </c>
      <c r="AM594" s="32" t="n"/>
      <c r="AN594" s="33">
        <f>IF(A594="","",LOWER(AI594)&amp;"|"&amp;AH594&amp;"|"&amp;AJ594&amp;"|"&amp;AK594)</f>
        <v/>
      </c>
      <c r="AO594" s="33">
        <f>IF(OR(A594="",T594=""),"",T594-TODAY())</f>
        <v/>
      </c>
      <c r="AP594" s="33">
        <f>IF(OR(A594="",V594&lt;&gt;""),"",(TODAY()-B594)+ROW()/1000000)</f>
        <v/>
      </c>
    </row>
    <row r="595" ht="27" customHeight="1">
      <c r="A595" s="30" t="n"/>
      <c r="B595" s="31" t="n"/>
      <c r="C595" s="32" t="n"/>
      <c r="D595" s="32" t="n"/>
      <c r="E595" s="32" t="n"/>
      <c r="F595" s="32" t="n"/>
      <c r="G595" s="33">
        <f>IF(A595="","",IFERROR(INDEX(OffCat,MATCH(F595,OffList,0)),"Unlisted"))</f>
        <v/>
      </c>
      <c r="H595" s="30" t="n"/>
      <c r="I595" s="31" t="n"/>
      <c r="J595" s="34" t="n"/>
      <c r="K595" s="34" t="n"/>
      <c r="L595" s="34" t="n"/>
      <c r="M595" s="30" t="n"/>
      <c r="N595" s="30" t="n"/>
      <c r="O595" s="30" t="n"/>
      <c r="P595" s="30" t="n"/>
      <c r="Q595" s="31" t="n"/>
      <c r="R595" s="31" t="n"/>
      <c r="S595" s="31" t="n"/>
      <c r="T595" s="31" t="n"/>
      <c r="U595" s="31" t="n"/>
      <c r="V595" s="31" t="n"/>
      <c r="W595" s="30" t="n"/>
      <c r="X595" s="31" t="n"/>
      <c r="Y595" s="35" t="n"/>
      <c r="Z595" s="35" t="n"/>
      <c r="AA595" s="35" t="n"/>
      <c r="AB595" s="35" t="n"/>
      <c r="AC595" s="35" t="n"/>
      <c r="AD595" s="35" t="n"/>
      <c r="AE595" s="35" t="n"/>
      <c r="AF595" s="35" t="n"/>
      <c r="AG595" s="36">
        <f>IF(A595="","",IF(V595&lt;&gt;"",V595-B595,TODAY()-B595))</f>
        <v/>
      </c>
      <c r="AH595" s="36">
        <f>IF(OR(A595="",I595=""),"",MAX(0,IF(V595&lt;&gt;"",V595-I595,TODAY()-I595)))</f>
        <v/>
      </c>
      <c r="AI595" s="37">
        <f>IF(A595="","",IF(OR(K595="Closed",V595&lt;&gt;""),"Closed",IF(AH595&gt;=AgeCrit,"Critical",IF(AH595&gt;=AgeFu,"For Follow-up",IF(AH595&gt;=AgeMonitor,"Monitor","Within Standard")))))</f>
        <v/>
      </c>
      <c r="AJ595" s="38">
        <f>IF(A595="","",IFERROR(INDEX(StgPct,MATCH(H595,StgList,0)),0))</f>
        <v/>
      </c>
      <c r="AK595" s="38">
        <f>IF(A595="","",IFERROR(COUNTIF(Y595:AF595,"Y")/(COUNTIF(Y595:AF595,"Y")+COUNTIF(Y595:AF595,"N")),0))</f>
        <v/>
      </c>
      <c r="AL595" s="36">
        <f>IF(OR(A595="",X595=""),"",MAX(0,IF(V595&lt;&gt;"",V595,TODAY())-X595))</f>
        <v/>
      </c>
      <c r="AM595" s="32" t="n"/>
      <c r="AN595" s="33">
        <f>IF(A595="","",LOWER(AI595)&amp;"|"&amp;AH595&amp;"|"&amp;AJ595&amp;"|"&amp;AK595)</f>
        <v/>
      </c>
      <c r="AO595" s="33">
        <f>IF(OR(A595="",T595=""),"",T595-TODAY())</f>
        <v/>
      </c>
      <c r="AP595" s="33">
        <f>IF(OR(A595="",V595&lt;&gt;""),"",(TODAY()-B595)+ROW()/1000000)</f>
        <v/>
      </c>
    </row>
    <row r="596" ht="27" customHeight="1">
      <c r="A596" s="30" t="n"/>
      <c r="B596" s="31" t="n"/>
      <c r="C596" s="32" t="n"/>
      <c r="D596" s="32" t="n"/>
      <c r="E596" s="32" t="n"/>
      <c r="F596" s="32" t="n"/>
      <c r="G596" s="33">
        <f>IF(A596="","",IFERROR(INDEX(OffCat,MATCH(F596,OffList,0)),"Unlisted"))</f>
        <v/>
      </c>
      <c r="H596" s="30" t="n"/>
      <c r="I596" s="31" t="n"/>
      <c r="J596" s="34" t="n"/>
      <c r="K596" s="34" t="n"/>
      <c r="L596" s="34" t="n"/>
      <c r="M596" s="30" t="n"/>
      <c r="N596" s="30" t="n"/>
      <c r="O596" s="30" t="n"/>
      <c r="P596" s="30" t="n"/>
      <c r="Q596" s="31" t="n"/>
      <c r="R596" s="31" t="n"/>
      <c r="S596" s="31" t="n"/>
      <c r="T596" s="31" t="n"/>
      <c r="U596" s="31" t="n"/>
      <c r="V596" s="31" t="n"/>
      <c r="W596" s="30" t="n"/>
      <c r="X596" s="31" t="n"/>
      <c r="Y596" s="35" t="n"/>
      <c r="Z596" s="35" t="n"/>
      <c r="AA596" s="35" t="n"/>
      <c r="AB596" s="35" t="n"/>
      <c r="AC596" s="35" t="n"/>
      <c r="AD596" s="35" t="n"/>
      <c r="AE596" s="35" t="n"/>
      <c r="AF596" s="35" t="n"/>
      <c r="AG596" s="36">
        <f>IF(A596="","",IF(V596&lt;&gt;"",V596-B596,TODAY()-B596))</f>
        <v/>
      </c>
      <c r="AH596" s="36">
        <f>IF(OR(A596="",I596=""),"",MAX(0,IF(V596&lt;&gt;"",V596-I596,TODAY()-I596)))</f>
        <v/>
      </c>
      <c r="AI596" s="37">
        <f>IF(A596="","",IF(OR(K596="Closed",V596&lt;&gt;""),"Closed",IF(AH596&gt;=AgeCrit,"Critical",IF(AH596&gt;=AgeFu,"For Follow-up",IF(AH596&gt;=AgeMonitor,"Monitor","Within Standard")))))</f>
        <v/>
      </c>
      <c r="AJ596" s="38">
        <f>IF(A596="","",IFERROR(INDEX(StgPct,MATCH(H596,StgList,0)),0))</f>
        <v/>
      </c>
      <c r="AK596" s="38">
        <f>IF(A596="","",IFERROR(COUNTIF(Y596:AF596,"Y")/(COUNTIF(Y596:AF596,"Y")+COUNTIF(Y596:AF596,"N")),0))</f>
        <v/>
      </c>
      <c r="AL596" s="36">
        <f>IF(OR(A596="",X596=""),"",MAX(0,IF(V596&lt;&gt;"",V596,TODAY())-X596))</f>
        <v/>
      </c>
      <c r="AM596" s="32" t="n"/>
      <c r="AN596" s="33">
        <f>IF(A596="","",LOWER(AI596)&amp;"|"&amp;AH596&amp;"|"&amp;AJ596&amp;"|"&amp;AK596)</f>
        <v/>
      </c>
      <c r="AO596" s="33">
        <f>IF(OR(A596="",T596=""),"",T596-TODAY())</f>
        <v/>
      </c>
      <c r="AP596" s="33">
        <f>IF(OR(A596="",V596&lt;&gt;""),"",(TODAY()-B596)+ROW()/1000000)</f>
        <v/>
      </c>
    </row>
    <row r="597" ht="27" customHeight="1">
      <c r="A597" s="30" t="n"/>
      <c r="B597" s="31" t="n"/>
      <c r="C597" s="32" t="n"/>
      <c r="D597" s="32" t="n"/>
      <c r="E597" s="32" t="n"/>
      <c r="F597" s="32" t="n"/>
      <c r="G597" s="33">
        <f>IF(A597="","",IFERROR(INDEX(OffCat,MATCH(F597,OffList,0)),"Unlisted"))</f>
        <v/>
      </c>
      <c r="H597" s="30" t="n"/>
      <c r="I597" s="31" t="n"/>
      <c r="J597" s="34" t="n"/>
      <c r="K597" s="34" t="n"/>
      <c r="L597" s="34" t="n"/>
      <c r="M597" s="30" t="n"/>
      <c r="N597" s="30" t="n"/>
      <c r="O597" s="30" t="n"/>
      <c r="P597" s="30" t="n"/>
      <c r="Q597" s="31" t="n"/>
      <c r="R597" s="31" t="n"/>
      <c r="S597" s="31" t="n"/>
      <c r="T597" s="31" t="n"/>
      <c r="U597" s="31" t="n"/>
      <c r="V597" s="31" t="n"/>
      <c r="W597" s="30" t="n"/>
      <c r="X597" s="31" t="n"/>
      <c r="Y597" s="35" t="n"/>
      <c r="Z597" s="35" t="n"/>
      <c r="AA597" s="35" t="n"/>
      <c r="AB597" s="35" t="n"/>
      <c r="AC597" s="35" t="n"/>
      <c r="AD597" s="35" t="n"/>
      <c r="AE597" s="35" t="n"/>
      <c r="AF597" s="35" t="n"/>
      <c r="AG597" s="36">
        <f>IF(A597="","",IF(V597&lt;&gt;"",V597-B597,TODAY()-B597))</f>
        <v/>
      </c>
      <c r="AH597" s="36">
        <f>IF(OR(A597="",I597=""),"",MAX(0,IF(V597&lt;&gt;"",V597-I597,TODAY()-I597)))</f>
        <v/>
      </c>
      <c r="AI597" s="37">
        <f>IF(A597="","",IF(OR(K597="Closed",V597&lt;&gt;""),"Closed",IF(AH597&gt;=AgeCrit,"Critical",IF(AH597&gt;=AgeFu,"For Follow-up",IF(AH597&gt;=AgeMonitor,"Monitor","Within Standard")))))</f>
        <v/>
      </c>
      <c r="AJ597" s="38">
        <f>IF(A597="","",IFERROR(INDEX(StgPct,MATCH(H597,StgList,0)),0))</f>
        <v/>
      </c>
      <c r="AK597" s="38">
        <f>IF(A597="","",IFERROR(COUNTIF(Y597:AF597,"Y")/(COUNTIF(Y597:AF597,"Y")+COUNTIF(Y597:AF597,"N")),0))</f>
        <v/>
      </c>
      <c r="AL597" s="36">
        <f>IF(OR(A597="",X597=""),"",MAX(0,IF(V597&lt;&gt;"",V597,TODAY())-X597))</f>
        <v/>
      </c>
      <c r="AM597" s="32" t="n"/>
      <c r="AN597" s="33">
        <f>IF(A597="","",LOWER(AI597)&amp;"|"&amp;AH597&amp;"|"&amp;AJ597&amp;"|"&amp;AK597)</f>
        <v/>
      </c>
      <c r="AO597" s="33">
        <f>IF(OR(A597="",T597=""),"",T597-TODAY())</f>
        <v/>
      </c>
      <c r="AP597" s="33">
        <f>IF(OR(A597="",V597&lt;&gt;""),"",(TODAY()-B597)+ROW()/1000000)</f>
        <v/>
      </c>
    </row>
    <row r="598" ht="27" customHeight="1">
      <c r="A598" s="30" t="n"/>
      <c r="B598" s="31" t="n"/>
      <c r="C598" s="32" t="n"/>
      <c r="D598" s="32" t="n"/>
      <c r="E598" s="32" t="n"/>
      <c r="F598" s="32" t="n"/>
      <c r="G598" s="33">
        <f>IF(A598="","",IFERROR(INDEX(OffCat,MATCH(F598,OffList,0)),"Unlisted"))</f>
        <v/>
      </c>
      <c r="H598" s="30" t="n"/>
      <c r="I598" s="31" t="n"/>
      <c r="J598" s="34" t="n"/>
      <c r="K598" s="34" t="n"/>
      <c r="L598" s="34" t="n"/>
      <c r="M598" s="30" t="n"/>
      <c r="N598" s="30" t="n"/>
      <c r="O598" s="30" t="n"/>
      <c r="P598" s="30" t="n"/>
      <c r="Q598" s="31" t="n"/>
      <c r="R598" s="31" t="n"/>
      <c r="S598" s="31" t="n"/>
      <c r="T598" s="31" t="n"/>
      <c r="U598" s="31" t="n"/>
      <c r="V598" s="31" t="n"/>
      <c r="W598" s="30" t="n"/>
      <c r="X598" s="31" t="n"/>
      <c r="Y598" s="35" t="n"/>
      <c r="Z598" s="35" t="n"/>
      <c r="AA598" s="35" t="n"/>
      <c r="AB598" s="35" t="n"/>
      <c r="AC598" s="35" t="n"/>
      <c r="AD598" s="35" t="n"/>
      <c r="AE598" s="35" t="n"/>
      <c r="AF598" s="35" t="n"/>
      <c r="AG598" s="36">
        <f>IF(A598="","",IF(V598&lt;&gt;"",V598-B598,TODAY()-B598))</f>
        <v/>
      </c>
      <c r="AH598" s="36">
        <f>IF(OR(A598="",I598=""),"",MAX(0,IF(V598&lt;&gt;"",V598-I598,TODAY()-I598)))</f>
        <v/>
      </c>
      <c r="AI598" s="37">
        <f>IF(A598="","",IF(OR(K598="Closed",V598&lt;&gt;""),"Closed",IF(AH598&gt;=AgeCrit,"Critical",IF(AH598&gt;=AgeFu,"For Follow-up",IF(AH598&gt;=AgeMonitor,"Monitor","Within Standard")))))</f>
        <v/>
      </c>
      <c r="AJ598" s="38">
        <f>IF(A598="","",IFERROR(INDEX(StgPct,MATCH(H598,StgList,0)),0))</f>
        <v/>
      </c>
      <c r="AK598" s="38">
        <f>IF(A598="","",IFERROR(COUNTIF(Y598:AF598,"Y")/(COUNTIF(Y598:AF598,"Y")+COUNTIF(Y598:AF598,"N")),0))</f>
        <v/>
      </c>
      <c r="AL598" s="36">
        <f>IF(OR(A598="",X598=""),"",MAX(0,IF(V598&lt;&gt;"",V598,TODAY())-X598))</f>
        <v/>
      </c>
      <c r="AM598" s="32" t="n"/>
      <c r="AN598" s="33">
        <f>IF(A598="","",LOWER(AI598)&amp;"|"&amp;AH598&amp;"|"&amp;AJ598&amp;"|"&amp;AK598)</f>
        <v/>
      </c>
      <c r="AO598" s="33">
        <f>IF(OR(A598="",T598=""),"",T598-TODAY())</f>
        <v/>
      </c>
      <c r="AP598" s="33">
        <f>IF(OR(A598="",V598&lt;&gt;""),"",(TODAY()-B598)+ROW()/1000000)</f>
        <v/>
      </c>
    </row>
    <row r="599" ht="27" customHeight="1">
      <c r="A599" s="30" t="n"/>
      <c r="B599" s="31" t="n"/>
      <c r="C599" s="32" t="n"/>
      <c r="D599" s="32" t="n"/>
      <c r="E599" s="32" t="n"/>
      <c r="F599" s="32" t="n"/>
      <c r="G599" s="33">
        <f>IF(A599="","",IFERROR(INDEX(OffCat,MATCH(F599,OffList,0)),"Unlisted"))</f>
        <v/>
      </c>
      <c r="H599" s="30" t="n"/>
      <c r="I599" s="31" t="n"/>
      <c r="J599" s="34" t="n"/>
      <c r="K599" s="34" t="n"/>
      <c r="L599" s="34" t="n"/>
      <c r="M599" s="30" t="n"/>
      <c r="N599" s="30" t="n"/>
      <c r="O599" s="30" t="n"/>
      <c r="P599" s="30" t="n"/>
      <c r="Q599" s="31" t="n"/>
      <c r="R599" s="31" t="n"/>
      <c r="S599" s="31" t="n"/>
      <c r="T599" s="31" t="n"/>
      <c r="U599" s="31" t="n"/>
      <c r="V599" s="31" t="n"/>
      <c r="W599" s="30" t="n"/>
      <c r="X599" s="31" t="n"/>
      <c r="Y599" s="35" t="n"/>
      <c r="Z599" s="35" t="n"/>
      <c r="AA599" s="35" t="n"/>
      <c r="AB599" s="35" t="n"/>
      <c r="AC599" s="35" t="n"/>
      <c r="AD599" s="35" t="n"/>
      <c r="AE599" s="35" t="n"/>
      <c r="AF599" s="35" t="n"/>
      <c r="AG599" s="36">
        <f>IF(A599="","",IF(V599&lt;&gt;"",V599-B599,TODAY()-B599))</f>
        <v/>
      </c>
      <c r="AH599" s="36">
        <f>IF(OR(A599="",I599=""),"",MAX(0,IF(V599&lt;&gt;"",V599-I599,TODAY()-I599)))</f>
        <v/>
      </c>
      <c r="AI599" s="37">
        <f>IF(A599="","",IF(OR(K599="Closed",V599&lt;&gt;""),"Closed",IF(AH599&gt;=AgeCrit,"Critical",IF(AH599&gt;=AgeFu,"For Follow-up",IF(AH599&gt;=AgeMonitor,"Monitor","Within Standard")))))</f>
        <v/>
      </c>
      <c r="AJ599" s="38">
        <f>IF(A599="","",IFERROR(INDEX(StgPct,MATCH(H599,StgList,0)),0))</f>
        <v/>
      </c>
      <c r="AK599" s="38">
        <f>IF(A599="","",IFERROR(COUNTIF(Y599:AF599,"Y")/(COUNTIF(Y599:AF599,"Y")+COUNTIF(Y599:AF599,"N")),0))</f>
        <v/>
      </c>
      <c r="AL599" s="36">
        <f>IF(OR(A599="",X599=""),"",MAX(0,IF(V599&lt;&gt;"",V599,TODAY())-X599))</f>
        <v/>
      </c>
      <c r="AM599" s="32" t="n"/>
      <c r="AN599" s="33">
        <f>IF(A599="","",LOWER(AI599)&amp;"|"&amp;AH599&amp;"|"&amp;AJ599&amp;"|"&amp;AK599)</f>
        <v/>
      </c>
      <c r="AO599" s="33">
        <f>IF(OR(A599="",T599=""),"",T599-TODAY())</f>
        <v/>
      </c>
      <c r="AP599" s="33">
        <f>IF(OR(A599="",V599&lt;&gt;""),"",(TODAY()-B599)+ROW()/1000000)</f>
        <v/>
      </c>
    </row>
    <row r="600" ht="27" customHeight="1">
      <c r="A600" s="30" t="n"/>
      <c r="B600" s="31" t="n"/>
      <c r="C600" s="32" t="n"/>
      <c r="D600" s="32" t="n"/>
      <c r="E600" s="32" t="n"/>
      <c r="F600" s="32" t="n"/>
      <c r="G600" s="33">
        <f>IF(A600="","",IFERROR(INDEX(OffCat,MATCH(F600,OffList,0)),"Unlisted"))</f>
        <v/>
      </c>
      <c r="H600" s="30" t="n"/>
      <c r="I600" s="31" t="n"/>
      <c r="J600" s="34" t="n"/>
      <c r="K600" s="34" t="n"/>
      <c r="L600" s="34" t="n"/>
      <c r="M600" s="30" t="n"/>
      <c r="N600" s="30" t="n"/>
      <c r="O600" s="30" t="n"/>
      <c r="P600" s="30" t="n"/>
      <c r="Q600" s="31" t="n"/>
      <c r="R600" s="31" t="n"/>
      <c r="S600" s="31" t="n"/>
      <c r="T600" s="31" t="n"/>
      <c r="U600" s="31" t="n"/>
      <c r="V600" s="31" t="n"/>
      <c r="W600" s="30" t="n"/>
      <c r="X600" s="31" t="n"/>
      <c r="Y600" s="35" t="n"/>
      <c r="Z600" s="35" t="n"/>
      <c r="AA600" s="35" t="n"/>
      <c r="AB600" s="35" t="n"/>
      <c r="AC600" s="35" t="n"/>
      <c r="AD600" s="35" t="n"/>
      <c r="AE600" s="35" t="n"/>
      <c r="AF600" s="35" t="n"/>
      <c r="AG600" s="36">
        <f>IF(A600="","",IF(V600&lt;&gt;"",V600-B600,TODAY()-B600))</f>
        <v/>
      </c>
      <c r="AH600" s="36">
        <f>IF(OR(A600="",I600=""),"",MAX(0,IF(V600&lt;&gt;"",V600-I600,TODAY()-I600)))</f>
        <v/>
      </c>
      <c r="AI600" s="37">
        <f>IF(A600="","",IF(OR(K600="Closed",V600&lt;&gt;""),"Closed",IF(AH600&gt;=AgeCrit,"Critical",IF(AH600&gt;=AgeFu,"For Follow-up",IF(AH600&gt;=AgeMonitor,"Monitor","Within Standard")))))</f>
        <v/>
      </c>
      <c r="AJ600" s="38">
        <f>IF(A600="","",IFERROR(INDEX(StgPct,MATCH(H600,StgList,0)),0))</f>
        <v/>
      </c>
      <c r="AK600" s="38">
        <f>IF(A600="","",IFERROR(COUNTIF(Y600:AF600,"Y")/(COUNTIF(Y600:AF600,"Y")+COUNTIF(Y600:AF600,"N")),0))</f>
        <v/>
      </c>
      <c r="AL600" s="36">
        <f>IF(OR(A600="",X600=""),"",MAX(0,IF(V600&lt;&gt;"",V600,TODAY())-X600))</f>
        <v/>
      </c>
      <c r="AM600" s="32" t="n"/>
      <c r="AN600" s="33">
        <f>IF(A600="","",LOWER(AI600)&amp;"|"&amp;AH600&amp;"|"&amp;AJ600&amp;"|"&amp;AK600)</f>
        <v/>
      </c>
      <c r="AO600" s="33">
        <f>IF(OR(A600="",T600=""),"",T600-TODAY())</f>
        <v/>
      </c>
      <c r="AP600" s="33">
        <f>IF(OR(A600="",V600&lt;&gt;""),"",(TODAY()-B600)+ROW()/1000000)</f>
        <v/>
      </c>
    </row>
    <row r="601" ht="27" customHeight="1">
      <c r="A601" s="30" t="n"/>
      <c r="B601" s="31" t="n"/>
      <c r="C601" s="32" t="n"/>
      <c r="D601" s="32" t="n"/>
      <c r="E601" s="32" t="n"/>
      <c r="F601" s="32" t="n"/>
      <c r="G601" s="33">
        <f>IF(A601="","",IFERROR(INDEX(OffCat,MATCH(F601,OffList,0)),"Unlisted"))</f>
        <v/>
      </c>
      <c r="H601" s="30" t="n"/>
      <c r="I601" s="31" t="n"/>
      <c r="J601" s="34" t="n"/>
      <c r="K601" s="34" t="n"/>
      <c r="L601" s="34" t="n"/>
      <c r="M601" s="30" t="n"/>
      <c r="N601" s="30" t="n"/>
      <c r="O601" s="30" t="n"/>
      <c r="P601" s="30" t="n"/>
      <c r="Q601" s="31" t="n"/>
      <c r="R601" s="31" t="n"/>
      <c r="S601" s="31" t="n"/>
      <c r="T601" s="31" t="n"/>
      <c r="U601" s="31" t="n"/>
      <c r="V601" s="31" t="n"/>
      <c r="W601" s="30" t="n"/>
      <c r="X601" s="31" t="n"/>
      <c r="Y601" s="35" t="n"/>
      <c r="Z601" s="35" t="n"/>
      <c r="AA601" s="35" t="n"/>
      <c r="AB601" s="35" t="n"/>
      <c r="AC601" s="35" t="n"/>
      <c r="AD601" s="35" t="n"/>
      <c r="AE601" s="35" t="n"/>
      <c r="AF601" s="35" t="n"/>
      <c r="AG601" s="36">
        <f>IF(A601="","",IF(V601&lt;&gt;"",V601-B601,TODAY()-B601))</f>
        <v/>
      </c>
      <c r="AH601" s="36">
        <f>IF(OR(A601="",I601=""),"",MAX(0,IF(V601&lt;&gt;"",V601-I601,TODAY()-I601)))</f>
        <v/>
      </c>
      <c r="AI601" s="37">
        <f>IF(A601="","",IF(OR(K601="Closed",V601&lt;&gt;""),"Closed",IF(AH601&gt;=AgeCrit,"Critical",IF(AH601&gt;=AgeFu,"For Follow-up",IF(AH601&gt;=AgeMonitor,"Monitor","Within Standard")))))</f>
        <v/>
      </c>
      <c r="AJ601" s="38">
        <f>IF(A601="","",IFERROR(INDEX(StgPct,MATCH(H601,StgList,0)),0))</f>
        <v/>
      </c>
      <c r="AK601" s="38">
        <f>IF(A601="","",IFERROR(COUNTIF(Y601:AF601,"Y")/(COUNTIF(Y601:AF601,"Y")+COUNTIF(Y601:AF601,"N")),0))</f>
        <v/>
      </c>
      <c r="AL601" s="36">
        <f>IF(OR(A601="",X601=""),"",MAX(0,IF(V601&lt;&gt;"",V601,TODAY())-X601))</f>
        <v/>
      </c>
      <c r="AM601" s="32" t="n"/>
      <c r="AN601" s="33">
        <f>IF(A601="","",LOWER(AI601)&amp;"|"&amp;AH601&amp;"|"&amp;AJ601&amp;"|"&amp;AK601)</f>
        <v/>
      </c>
      <c r="AO601" s="33">
        <f>IF(OR(A601="",T601=""),"",T601-TODAY())</f>
        <v/>
      </c>
      <c r="AP601" s="33">
        <f>IF(OR(A601="",V601&lt;&gt;""),"",(TODAY()-B601)+ROW()/1000000)</f>
        <v/>
      </c>
    </row>
    <row r="602" ht="27" customHeight="1">
      <c r="A602" s="30" t="n"/>
      <c r="B602" s="31" t="n"/>
      <c r="C602" s="32" t="n"/>
      <c r="D602" s="32" t="n"/>
      <c r="E602" s="32" t="n"/>
      <c r="F602" s="32" t="n"/>
      <c r="G602" s="33">
        <f>IF(A602="","",IFERROR(INDEX(OffCat,MATCH(F602,OffList,0)),"Unlisted"))</f>
        <v/>
      </c>
      <c r="H602" s="30" t="n"/>
      <c r="I602" s="31" t="n"/>
      <c r="J602" s="34" t="n"/>
      <c r="K602" s="34" t="n"/>
      <c r="L602" s="34" t="n"/>
      <c r="M602" s="30" t="n"/>
      <c r="N602" s="30" t="n"/>
      <c r="O602" s="30" t="n"/>
      <c r="P602" s="30" t="n"/>
      <c r="Q602" s="31" t="n"/>
      <c r="R602" s="31" t="n"/>
      <c r="S602" s="31" t="n"/>
      <c r="T602" s="31" t="n"/>
      <c r="U602" s="31" t="n"/>
      <c r="V602" s="31" t="n"/>
      <c r="W602" s="30" t="n"/>
      <c r="X602" s="31" t="n"/>
      <c r="Y602" s="35" t="n"/>
      <c r="Z602" s="35" t="n"/>
      <c r="AA602" s="35" t="n"/>
      <c r="AB602" s="35" t="n"/>
      <c r="AC602" s="35" t="n"/>
      <c r="AD602" s="35" t="n"/>
      <c r="AE602" s="35" t="n"/>
      <c r="AF602" s="35" t="n"/>
      <c r="AG602" s="36">
        <f>IF(A602="","",IF(V602&lt;&gt;"",V602-B602,TODAY()-B602))</f>
        <v/>
      </c>
      <c r="AH602" s="36">
        <f>IF(OR(A602="",I602=""),"",MAX(0,IF(V602&lt;&gt;"",V602-I602,TODAY()-I602)))</f>
        <v/>
      </c>
      <c r="AI602" s="37">
        <f>IF(A602="","",IF(OR(K602="Closed",V602&lt;&gt;""),"Closed",IF(AH602&gt;=AgeCrit,"Critical",IF(AH602&gt;=AgeFu,"For Follow-up",IF(AH602&gt;=AgeMonitor,"Monitor","Within Standard")))))</f>
        <v/>
      </c>
      <c r="AJ602" s="38">
        <f>IF(A602="","",IFERROR(INDEX(StgPct,MATCH(H602,StgList,0)),0))</f>
        <v/>
      </c>
      <c r="AK602" s="38">
        <f>IF(A602="","",IFERROR(COUNTIF(Y602:AF602,"Y")/(COUNTIF(Y602:AF602,"Y")+COUNTIF(Y602:AF602,"N")),0))</f>
        <v/>
      </c>
      <c r="AL602" s="36">
        <f>IF(OR(A602="",X602=""),"",MAX(0,IF(V602&lt;&gt;"",V602,TODAY())-X602))</f>
        <v/>
      </c>
      <c r="AM602" s="32" t="n"/>
      <c r="AN602" s="33">
        <f>IF(A602="","",LOWER(AI602)&amp;"|"&amp;AH602&amp;"|"&amp;AJ602&amp;"|"&amp;AK602)</f>
        <v/>
      </c>
      <c r="AO602" s="33">
        <f>IF(OR(A602="",T602=""),"",T602-TODAY())</f>
        <v/>
      </c>
      <c r="AP602" s="33">
        <f>IF(OR(A602="",V602&lt;&gt;""),"",(TODAY()-B602)+ROW()/1000000)</f>
        <v/>
      </c>
    </row>
  </sheetData>
  <mergeCells count="7">
    <mergeCell ref="A1:G1"/>
    <mergeCell ref="H1:P1"/>
    <mergeCell ref="AG1:AL1"/>
    <mergeCell ref="AN1:AP1"/>
    <mergeCell ref="W1:X1"/>
    <mergeCell ref="Y1:AF1"/>
    <mergeCell ref="Q1:V1"/>
  </mergeCells>
  <conditionalFormatting sqref="AI3:AI602">
    <cfRule type="expression" priority="1" dxfId="0" stopIfTrue="1">
      <formula>AI3="Closed"</formula>
    </cfRule>
    <cfRule type="expression" priority="2" dxfId="1" stopIfTrue="1">
      <formula>AI3="Critical"</formula>
    </cfRule>
    <cfRule type="expression" priority="3" dxfId="2" stopIfTrue="1">
      <formula>AI3="For Follow-up"</formula>
    </cfRule>
    <cfRule type="expression" priority="4" dxfId="3" stopIfTrue="1">
      <formula>AI3="Monitor"</formula>
    </cfRule>
    <cfRule type="expression" priority="5" dxfId="4" stopIfTrue="1">
      <formula>AI3="Within Standard"</formula>
    </cfRule>
  </conditionalFormatting>
  <conditionalFormatting sqref="A3:A602">
    <cfRule type="expression" priority="6" dxfId="5">
      <formula>AND(AI3="Critical")</formula>
    </cfRule>
    <cfRule type="expression" priority="7" dxfId="6">
      <formula>AI3="Closed"</formula>
    </cfRule>
  </conditionalFormatting>
  <conditionalFormatting sqref="J3:J602">
    <cfRule type="expression" priority="8" dxfId="7">
      <formula>J3="High"</formula>
    </cfRule>
    <cfRule type="expression" priority="9" dxfId="8">
      <formula>J3="Medium"</formula>
    </cfRule>
    <cfRule type="expression" priority="10" dxfId="9">
      <formula>J3="Low"</formula>
    </cfRule>
  </conditionalFormatting>
  <conditionalFormatting sqref="K3:K602">
    <cfRule type="expression" priority="11" dxfId="10">
      <formula>K3="Active"</formula>
    </cfRule>
    <cfRule type="expression" priority="12" dxfId="8">
      <formula>K3="For Action"</formula>
    </cfRule>
    <cfRule type="expression" priority="13" dxfId="11">
      <formula>OR(K3="Dormant",K3="Deferred")</formula>
    </cfRule>
    <cfRule type="expression" priority="14" dxfId="12">
      <formula>K3="Closed"</formula>
    </cfRule>
    <cfRule type="expression" priority="15" dxfId="13">
      <formula>K3="Endorsed / Transferred"</formula>
    </cfRule>
  </conditionalFormatting>
  <conditionalFormatting sqref="L3:L602">
    <cfRule type="expression" priority="16" dxfId="14">
      <formula>L3="Convicted"</formula>
    </cfRule>
    <cfRule type="expression" priority="17" dxfId="7">
      <formula>L3="Acquitted"</formula>
    </cfRule>
    <cfRule type="expression" priority="18" dxfId="11">
      <formula>L3="Dismissed"</formula>
    </cfRule>
  </conditionalFormatting>
  <conditionalFormatting sqref="T3:T602">
    <cfRule type="expression" priority="19" dxfId="15" stopIfTrue="1">
      <formula>AND(AO3&lt;&gt;"",AO3&lt;0)</formula>
    </cfRule>
    <cfRule type="expression" priority="20" dxfId="16" stopIfTrue="1">
      <formula>AND(AO3&lt;&gt;"",AO3&gt;=0,AO3&lt;=AgeWindow)</formula>
    </cfRule>
  </conditionalFormatting>
  <conditionalFormatting sqref="Y3:AF602">
    <cfRule type="expression" priority="21" dxfId="7">
      <formula>Y3="N"</formula>
    </cfRule>
    <cfRule type="expression" priority="22" dxfId="14">
      <formula>Y3="Y"</formula>
    </cfRule>
    <cfRule type="expression" priority="23" dxfId="17">
      <formula>Y3="N/A"</formula>
    </cfRule>
  </conditionalFormatting>
  <conditionalFormatting sqref="AG3:AG602">
    <cfRule type="dataBar" priority="24">
      <dataBar showValue="1">
        <cfvo type="num" val="0"/>
        <cfvo type="max"/>
        <color rgb="001B4079"/>
      </dataBar>
    </cfRule>
  </conditionalFormatting>
  <conditionalFormatting sqref="AH3:AH602">
    <cfRule type="dataBar" priority="25">
      <dataBar showValue="1">
        <cfvo type="num" val="0"/>
        <cfvo type="max"/>
        <color rgb="00B7791F"/>
      </dataBar>
    </cfRule>
  </conditionalFormatting>
  <conditionalFormatting sqref="AJ3:AJ602">
    <cfRule type="dataBar" priority="26">
      <dataBar showValue="1">
        <cfvo type="num" val="0"/>
        <cfvo type="max"/>
        <color rgb="001E7B4F"/>
      </dataBar>
    </cfRule>
  </conditionalFormatting>
  <conditionalFormatting sqref="AK3:AK602">
    <cfRule type="dataBar" priority="27">
      <dataBar showValue="1">
        <cfvo type="num" val="0"/>
        <cfvo type="max"/>
        <color rgb="000F6E6A"/>
      </dataBar>
    </cfRule>
  </conditionalFormatting>
  <conditionalFormatting sqref="AL3:AL602">
    <cfRule type="dataBar" priority="28">
      <dataBar showValue="1">
        <cfvo type="num" val="0"/>
        <cfvo type="max"/>
        <color rgb="002A4E7A"/>
      </dataBar>
    </cfRule>
  </conditionalFormatting>
  <dataValidations count="11">
    <dataValidation sqref="F3:F602" showDropDown="0" showInputMessage="1" showErrorMessage="1" allowBlank="1" errorTitle="Invalid entry" error="Pick an offense from the List sheet, or add it there first." promptTitle="Offense / Violation" prompt="Choose from the list. To add new options, edit the Lists sheet." type="list">
      <formula1>OffList</formula1>
    </dataValidation>
    <dataValidation sqref="H3:H602" showDropDown="0" showInputMessage="1" showErrorMessage="1" allowBlank="1" errorTitle="Invalid entry" error="Pick a case stage from the List sheet." promptTitle="Case stage" prompt="Choose from the list. To add new options, edit the Lists sheet." type="list">
      <formula1>StgList</formula1>
    </dataValidation>
    <dataValidation sqref="J3:J602" showDropDown="0" showInputMessage="1" showErrorMessage="1" allowBlank="1" errorTitle="Invalid entry" error="Choose High, Medium or Low." promptTitle="Priority" prompt="Choose from the list. To add new options, edit the Lists sheet." type="list">
      <formula1>PriList</formula1>
    </dataValidation>
    <dataValidation sqref="K3:K602" showDropDown="0" showInputMessage="1" showErrorMessage="1" allowBlank="1" errorTitle="Invalid entry" error="Pick a case status from the List sheet." promptTitle="Case status" prompt="Choose from the list. To add new options, edit the Lists sheet." type="list">
      <formula1>StatusList</formula1>
    </dataValidation>
    <dataValidation sqref="L3:L602" showDropDown="0" showInputMessage="1" showErrorMessage="1" allowBlank="1" errorTitle="Invalid entry" error="Pick an outcome from the List sheet." promptTitle="Outcome" prompt="Choose from the list. To add new options, edit the Lists sheet." type="list">
      <formula1>OutcomeList</formula1>
    </dataValidation>
    <dataValidation sqref="M3:M602" showDropDown="0" showInputMessage="1" showErrorMessage="1" allowBlank="1" errorTitle="Invalid entry" error="Pick a court or forum from the List sheet." promptTitle="Court / forum" prompt="Choose from the list. To add new options, edit the Lists sheet." type="list">
      <formula1>CourtList</formula1>
    </dataValidation>
    <dataValidation sqref="W3:W602" showDropDown="0" showInputMessage="1" showErrorMessage="1" allowBlank="1" errorTitle="Invalid entry" error="Pick a custody status from the List sheet." promptTitle="Custody status" prompt="Choose from the list. To add new options, edit the Lists sheet." type="list">
      <formula1>CustodyList</formula1>
    </dataValidation>
    <dataValidation sqref="O3:O602" showDropDown="0" showInputMessage="1" showErrorMessage="1" allowBlank="1" errorTitle="Invalid entry" error="Pick an assignee from the List sheet." promptTitle="Assigned personnel" prompt="Choose from the list. To add new options, edit the Lists sheet." type="list">
      <formula1>PersonnelList</formula1>
    </dataValidation>
    <dataValidation sqref="P3:P602" showDropDown="0" showInputMessage="1" showErrorMessage="1" allowBlank="1" errorTitle="Invalid entry" error="Pick a barangay from the List sheet." promptTitle="Barangay" prompt="Choose from the list. To add new options, edit the Lists sheet." type="list">
      <formula1>BrgyList</formula1>
    </dataValidation>
    <dataValidation sqref="B3:B602 I3:I602 Q3:Q602 R3:R602 S3:S602 T3:T602 U3:U602 V3:V602 X3:X602" showDropDown="0" showInputMessage="0" showErrorMessage="1" allowBlank="1" errorTitle="Invalid date" error="Enter a real date (e.g. 21/10/2026)." type="date" operator="between">
      <formula1>DATE(2000,1,1)</formula1>
      <formula2>DATE(2100,12,31)</formula2>
    </dataValidation>
    <dataValidation sqref="Y3:AF602" showDropDown="0" showInputMessage="1" showErrorMessage="1" allowBlank="1" errorTitle="Y / N / N/A only" error="Enter Y (on file), N (missing) or N/A (not applicable)." promptTitle="Document checklist" prompt="Y = on file, N = missing, N/A = not applicable." type="list">
      <formula1>"Y,N,N/A"</formula1>
    </dataValidation>
  </dataValidations>
  <printOptions horizontalCentered="1"/>
  <pageMargins left="0.75" right="0.75" top="1" bottom="1" header="0.5" footer="0.5"/>
  <pageSetup orientation="landscape" paperSize="8" fitToHeight="0" fitToWidth="1"/>
  <headerFooter>
    <oddHeader/>
    <oddFooter>&amp;C&amp;8 &amp;K808080LGU Criminal Case Monitoring System  |  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0F6E6A"/>
    <outlinePr summaryBelow="1" summaryRight="1"/>
    <pageSetUpPr fitToPage="1"/>
  </sheetPr>
  <dimension ref="A1:L302"/>
  <sheetViews>
    <sheetView showGridLines="0" zoomScale="90" workbookViewId="0">
      <pane xSplit="2" ySplit="2" topLeftCell="C3" activePane="bottomRight" state="frozen"/>
      <selection pane="topRight"/>
      <selection pane="bottomLeft"/>
      <selection pane="bottomRight" activeCell="A1" sqref="A1"/>
    </sheetView>
  </sheetViews>
  <sheetFormatPr baseColWidth="8" defaultRowHeight="15"/>
  <cols>
    <col width="15" customWidth="1" min="1" max="1"/>
    <col width="34" customWidth="1" min="2" max="2"/>
    <col width="13" customWidth="1" min="3" max="3"/>
    <col width="11" customWidth="1" min="4" max="4"/>
    <col width="24" customWidth="1" min="5" max="5"/>
    <col width="22" customWidth="1" min="6" max="6"/>
    <col width="24" customWidth="1" min="7" max="7"/>
    <col width="22" customWidth="1" min="8" max="8"/>
    <col width="13" customWidth="1" min="9" max="9"/>
    <col width="11" customWidth="1" min="10" max="10"/>
    <col width="14" customWidth="1" min="11" max="11"/>
    <col width="46" customWidth="1" min="12" max="12"/>
  </cols>
  <sheetData>
    <row r="1" ht="28" customHeight="1">
      <c r="A1" s="39" t="inlineStr">
        <is>
          <t>HEARING CALENDAR   |   encode every setting, then update the result after each hearing</t>
        </is>
      </c>
      <c r="B1" s="40" t="n"/>
      <c r="C1" s="40" t="n"/>
      <c r="D1" s="40" t="n"/>
      <c r="E1" s="40" t="n"/>
      <c r="F1" s="40" t="n"/>
      <c r="G1" s="40" t="n"/>
      <c r="H1" s="40" t="n"/>
      <c r="I1" s="40" t="n"/>
      <c r="J1" s="40" t="n"/>
      <c r="K1" s="40" t="n"/>
      <c r="L1" s="40" t="n"/>
    </row>
    <row r="2" ht="34" customHeight="1">
      <c r="A2" s="41" t="inlineStr">
        <is>
          <t>CASE NO.</t>
        </is>
      </c>
      <c r="B2" s="42" t="inlineStr">
        <is>
          <t>CASE TITLE</t>
        </is>
      </c>
      <c r="C2" s="41" t="inlineStr">
        <is>
          <t>HEARING DATE</t>
        </is>
      </c>
      <c r="D2" s="41" t="inlineStr">
        <is>
          <t>TIME</t>
        </is>
      </c>
      <c r="E2" s="41" t="inlineStr">
        <is>
          <t>HEARING TYPE</t>
        </is>
      </c>
      <c r="F2" s="42" t="inlineStr">
        <is>
          <t>COURT / FORUM</t>
        </is>
      </c>
      <c r="G2" s="42" t="inlineStr">
        <is>
          <t>HANDLER</t>
        </is>
      </c>
      <c r="H2" s="41" t="inlineStr">
        <is>
          <t>RESULT</t>
        </is>
      </c>
      <c r="I2" s="41" t="inlineStr">
        <is>
          <t>NEXT SETTING</t>
        </is>
      </c>
      <c r="J2" s="41" t="inlineStr">
        <is>
          <t>DAYS FROM TODAY</t>
        </is>
      </c>
      <c r="K2" s="41" t="inlineStr">
        <is>
          <t>STATUS</t>
        </is>
      </c>
      <c r="L2" s="41" t="inlineStr">
        <is>
          <t>ORDERS / NOTES</t>
        </is>
      </c>
    </row>
    <row r="3" ht="26" customHeight="1">
      <c r="A3" s="30" t="inlineStr">
        <is>
          <t>CC-2026-0001</t>
        </is>
      </c>
      <c r="B3" s="43">
        <f>IFERROR(IF($A3="","",INDEX(RegTitle,MATCH($A3,RegCaseNo,0))),"Case no. not found")</f>
        <v/>
      </c>
      <c r="C3" s="31" t="n">
        <v>46290</v>
      </c>
      <c r="D3" s="30" t="inlineStr">
        <is>
          <t>09:00 AM</t>
        </is>
      </c>
      <c r="E3" s="30" t="inlineStr">
        <is>
          <t>Trial</t>
        </is>
      </c>
      <c r="F3" s="43">
        <f>IFERROR(IF($A3="","",INDEX(RegCourt,MATCH($A3,RegCaseNo,0))),"")</f>
        <v/>
      </c>
      <c r="G3" s="43">
        <f>IFERROR(IF($A3="","",INDEX(RegPersonnel,MATCH($A3,RegCaseNo,0))),"")</f>
        <v/>
      </c>
      <c r="H3" s="30" t="inlineStr">
        <is>
          <t>Held as Scheduled</t>
        </is>
      </c>
      <c r="I3" s="31" t="n">
        <v>46320</v>
      </c>
      <c r="J3" s="44">
        <f>IF(C3="","",C3-TODAY())</f>
        <v/>
      </c>
      <c r="K3" s="45">
        <f>IF(A3="","",IF(AND(H3="",C3&lt;TODAY()),"Overdue",IF(H3="","Upcoming",IF(H3="Held as Scheduled","Held",IF(H3="Cancelled","Cancelled",IF(H3="Submitted for Resolution","Cleared","Postponed"))))))</f>
        <v/>
      </c>
      <c r="L3" s="32" t="inlineStr">
        <is>
          <t>Prosecution witness No. 3 testified; exhibits A to D admitted.</t>
        </is>
      </c>
    </row>
    <row r="4" ht="26" customHeight="1">
      <c r="A4" s="30" t="inlineStr">
        <is>
          <t>CC-2026-0001</t>
        </is>
      </c>
      <c r="B4" s="43">
        <f>IFERROR(IF($A4="","",INDEX(RegTitle,MATCH($A4,RegCaseNo,0))),"Case no. not found")</f>
        <v/>
      </c>
      <c r="C4" s="31" t="n">
        <v>46320</v>
      </c>
      <c r="D4" s="30" t="inlineStr">
        <is>
          <t>09:00 AM</t>
        </is>
      </c>
      <c r="E4" s="30" t="inlineStr">
        <is>
          <t>Trial</t>
        </is>
      </c>
      <c r="F4" s="43">
        <f>IFERROR(IF($A4="","",INDEX(RegCourt,MATCH($A4,RegCaseNo,0))),"")</f>
        <v/>
      </c>
      <c r="G4" s="43">
        <f>IFERROR(IF($A4="","",INDEX(RegPersonnel,MATCH($A4,RegCaseNo,0))),"")</f>
        <v/>
      </c>
      <c r="H4" s="30" t="n"/>
      <c r="I4" s="31" t="n"/>
      <c r="J4" s="44">
        <f>IF(C4="","",C4-TODAY())</f>
        <v/>
      </c>
      <c r="K4" s="45">
        <f>IF(A4="","",IF(AND(H4="",C4&lt;TODAY()),"Overdue",IF(H4="","Upcoming",IF(H4="Held as Scheduled","Held",IF(H4="Cancelled","Cancelled",IF(H4="Submitted for Resolution","Cleared","Postponed"))))))</f>
        <v/>
      </c>
      <c r="L4" s="32" t="inlineStr">
        <is>
          <t>Continue trial. Subpoena remaining witnesses.</t>
        </is>
      </c>
    </row>
    <row r="5" ht="26" customHeight="1">
      <c r="A5" s="30" t="inlineStr">
        <is>
          <t>CC-2026-0002</t>
        </is>
      </c>
      <c r="B5" s="43">
        <f>IFERROR(IF($A5="","",INDEX(RegTitle,MATCH($A5,RegCaseNo,0))),"Case no. not found")</f>
        <v/>
      </c>
      <c r="C5" s="31" t="n">
        <v>46298</v>
      </c>
      <c r="D5" s="30" t="inlineStr">
        <is>
          <t>10:30 AM</t>
        </is>
      </c>
      <c r="E5" s="30" t="inlineStr">
        <is>
          <t>Pre-Trial</t>
        </is>
      </c>
      <c r="F5" s="43">
        <f>IFERROR(IF($A5="","",INDEX(RegCourt,MATCH($A5,RegCaseNo,0))),"")</f>
        <v/>
      </c>
      <c r="G5" s="43">
        <f>IFERROR(IF($A5="","",INDEX(RegPersonnel,MATCH($A5,RegCaseNo,0))),"")</f>
        <v/>
      </c>
      <c r="H5" s="30" t="inlineStr">
        <is>
          <t>Held as Scheduled</t>
        </is>
      </c>
      <c r="I5" s="31" t="n">
        <v>46328</v>
      </c>
      <c r="J5" s="44">
        <f>IF(C5="","",C5-TODAY())</f>
        <v/>
      </c>
      <c r="K5" s="45">
        <f>IF(A5="","",IF(AND(H5="",C5&lt;TODAY()),"Overdue",IF(H5="","Upcoming",IF(H5="Held as Scheduled","Held",IF(H5="Cancelled","Cancelled",IF(H5="Submitted for Resolution","Cleared","Postponed"))))))</f>
        <v/>
      </c>
      <c r="L5" s="32" t="inlineStr">
        <is>
          <t>Stipulation on chain of custody; pre-trial order due.</t>
        </is>
      </c>
    </row>
    <row r="6" ht="26" customHeight="1">
      <c r="A6" s="30" t="inlineStr">
        <is>
          <t>CC-2026-0003</t>
        </is>
      </c>
      <c r="B6" s="43">
        <f>IFERROR(IF($A6="","",INDEX(RegTitle,MATCH($A6,RegCaseNo,0))),"Case no. not found")</f>
        <v/>
      </c>
      <c r="C6" s="31" t="n">
        <v>46279</v>
      </c>
      <c r="D6" s="30" t="inlineStr">
        <is>
          <t>02:00 PM</t>
        </is>
      </c>
      <c r="E6" s="30" t="inlineStr">
        <is>
          <t>Arraignment</t>
        </is>
      </c>
      <c r="F6" s="43">
        <f>IFERROR(IF($A6="","",INDEX(RegCourt,MATCH($A6,RegCaseNo,0))),"")</f>
        <v/>
      </c>
      <c r="G6" s="43">
        <f>IFERROR(IF($A6="","",INDEX(RegPersonnel,MATCH($A6,RegCaseNo,0))),"")</f>
        <v/>
      </c>
      <c r="H6" s="30" t="inlineStr">
        <is>
          <t>Reset</t>
        </is>
      </c>
      <c r="I6" s="31" t="n">
        <v>46310</v>
      </c>
      <c r="J6" s="44">
        <f>IF(C6="","",C6-TODAY())</f>
        <v/>
      </c>
      <c r="K6" s="45">
        <f>IF(A6="","",IF(AND(H6="",C6&lt;TODAY()),"Overdue",IF(H6="","Upcoming",IF(H6="Held as Scheduled","Held",IF(H6="Cancelled","Cancelled",IF(H6="Submitted for Resolution","Cleared","Postponed"))))))</f>
        <v/>
      </c>
      <c r="L6" s="32" t="inlineStr">
        <is>
          <t>Counsel moved for reset; court granted with warning.</t>
        </is>
      </c>
    </row>
    <row r="7" ht="26" customHeight="1">
      <c r="A7" s="30" t="inlineStr">
        <is>
          <t>CC-2026-0003</t>
        </is>
      </c>
      <c r="B7" s="43">
        <f>IFERROR(IF($A7="","",INDEX(RegTitle,MATCH($A7,RegCaseNo,0))),"Case no. not found")</f>
        <v/>
      </c>
      <c r="C7" s="31" t="n">
        <v>46310</v>
      </c>
      <c r="D7" s="30" t="inlineStr">
        <is>
          <t>02:00 PM</t>
        </is>
      </c>
      <c r="E7" s="30" t="inlineStr">
        <is>
          <t>Arraignment</t>
        </is>
      </c>
      <c r="F7" s="43">
        <f>IFERROR(IF($A7="","",INDEX(RegCourt,MATCH($A7,RegCaseNo,0))),"")</f>
        <v/>
      </c>
      <c r="G7" s="43">
        <f>IFERROR(IF($A7="","",INDEX(RegPersonnel,MATCH($A7,RegCaseNo,0))),"")</f>
        <v/>
      </c>
      <c r="H7" s="30" t="n"/>
      <c r="I7" s="31" t="n"/>
      <c r="J7" s="44">
        <f>IF(C7="","",C7-TODAY())</f>
        <v/>
      </c>
      <c r="K7" s="45">
        <f>IF(A7="","",IF(AND(H7="",C7&lt;TODAY()),"Overdue",IF(H7="","Upcoming",IF(H7="Held as Scheduled","Held",IF(H7="Cancelled","Cancelled",IF(H7="Submitted for Resolution","Cleared","Postponed"))))))</f>
        <v/>
      </c>
      <c r="L7" s="32" t="inlineStr">
        <is>
          <t>Overdue setting. Confirm new calendar with branch clerk.</t>
        </is>
      </c>
    </row>
    <row r="8" ht="26" customHeight="1">
      <c r="A8" s="30" t="inlineStr">
        <is>
          <t>CC-2026-0004</t>
        </is>
      </c>
      <c r="B8" s="43">
        <f>IFERROR(IF($A8="","",INDEX(RegTitle,MATCH($A8,RegCaseNo,0))),"Case no. not found")</f>
        <v/>
      </c>
      <c r="C8" s="31" t="n">
        <v>46306</v>
      </c>
      <c r="D8" s="30" t="inlineStr">
        <is>
          <t>08:30 AM</t>
        </is>
      </c>
      <c r="E8" s="30" t="inlineStr">
        <is>
          <t>Arraignment</t>
        </is>
      </c>
      <c r="F8" s="43">
        <f>IFERROR(IF($A8="","",INDEX(RegCourt,MATCH($A8,RegCaseNo,0))),"")</f>
        <v/>
      </c>
      <c r="G8" s="43">
        <f>IFERROR(IF($A8="","",INDEX(RegPersonnel,MATCH($A8,RegCaseNo,0))),"")</f>
        <v/>
      </c>
      <c r="H8" s="30" t="inlineStr">
        <is>
          <t>Held as Scheduled</t>
        </is>
      </c>
      <c r="I8" s="31" t="n">
        <v>46336</v>
      </c>
      <c r="J8" s="44">
        <f>IF(C8="","",C8-TODAY())</f>
        <v/>
      </c>
      <c r="K8" s="45">
        <f>IF(A8="","",IF(AND(H8="",C8&lt;TODAY()),"Overdue",IF(H8="","Upcoming",IF(H8="Held as Scheduled","Held",IF(H8="Cancelled","Cancelled",IF(H8="Submitted for Resolution","Cleared","Postponed"))))))</f>
        <v/>
      </c>
      <c r="L8" s="32" t="inlineStr">
        <is>
          <t>Not guilty plea entered; pre-trial set.</t>
        </is>
      </c>
    </row>
    <row r="9" ht="26" customHeight="1">
      <c r="A9" s="30" t="inlineStr">
        <is>
          <t>CC-2026-0005</t>
        </is>
      </c>
      <c r="B9" s="43">
        <f>IFERROR(IF($A9="","",INDEX(RegTitle,MATCH($A9,RegCaseNo,0))),"Case no. not found")</f>
        <v/>
      </c>
      <c r="C9" s="31" t="n">
        <v>46314</v>
      </c>
      <c r="D9" s="30" t="inlineStr">
        <is>
          <t>09:30 AM</t>
        </is>
      </c>
      <c r="E9" s="30" t="inlineStr">
        <is>
          <t>Trial</t>
        </is>
      </c>
      <c r="F9" s="43">
        <f>IFERROR(IF($A9="","",INDEX(RegCourt,MATCH($A9,RegCaseNo,0))),"")</f>
        <v/>
      </c>
      <c r="G9" s="43">
        <f>IFERROR(IF($A9="","",INDEX(RegPersonnel,MATCH($A9,RegCaseNo,0))),"")</f>
        <v/>
      </c>
      <c r="H9" s="30" t="inlineStr">
        <is>
          <t>Postponed - Defense</t>
        </is>
      </c>
      <c r="I9" s="31" t="n">
        <v>46318</v>
      </c>
      <c r="J9" s="44">
        <f>IF(C9="","",C9-TODAY())</f>
        <v/>
      </c>
      <c r="K9" s="45">
        <f>IF(A9="","",IF(AND(H9="",C9&lt;TODAY()),"Overdue",IF(H9="","Upcoming",IF(H9="Held as Scheduled","Held",IF(H9="Cancelled","Cancelled",IF(H9="Submitted for Resolution","Cleared","Postponed"))))))</f>
        <v/>
      </c>
      <c r="L9" s="32" t="inlineStr">
        <is>
          <t>Defense counsel unavailable; motion for continuance granted.</t>
        </is>
      </c>
    </row>
    <row r="10" ht="26" customHeight="1">
      <c r="A10" s="30" t="inlineStr">
        <is>
          <t>CC-2026-0007</t>
        </is>
      </c>
      <c r="B10" s="43">
        <f>IFERROR(IF($A10="","",INDEX(RegTitle,MATCH($A10,RegCaseNo,0))),"Case no. not found")</f>
        <v/>
      </c>
      <c r="C10" s="31" t="n">
        <v>46276</v>
      </c>
      <c r="D10" s="30" t="inlineStr">
        <is>
          <t>10:00 AM</t>
        </is>
      </c>
      <c r="E10" s="30" t="inlineStr">
        <is>
          <t>Promulgation</t>
        </is>
      </c>
      <c r="F10" s="43">
        <f>IFERROR(IF($A10="","",INDEX(RegCourt,MATCH($A10,RegCaseNo,0))),"")</f>
        <v/>
      </c>
      <c r="G10" s="43">
        <f>IFERROR(IF($A10="","",INDEX(RegPersonnel,MATCH($A10,RegCaseNo,0))),"")</f>
        <v/>
      </c>
      <c r="H10" s="30" t="inlineStr">
        <is>
          <t>Held as Scheduled</t>
        </is>
      </c>
      <c r="I10" s="31" t="n"/>
      <c r="J10" s="44">
        <f>IF(C10="","",C10-TODAY())</f>
        <v/>
      </c>
      <c r="K10" s="45">
        <f>IF(A10="","",IF(AND(H10="",C10&lt;TODAY()),"Overdue",IF(H10="","Upcoming",IF(H10="Held as Scheduled","Held",IF(H10="Cancelled","Cancelled",IF(H10="Submitted for Resolution","Cleared","Postponed"))))))</f>
        <v/>
      </c>
      <c r="L10" s="32" t="inlineStr">
        <is>
          <t>Judgment of conviction promulgated; records updated.</t>
        </is>
      </c>
    </row>
    <row r="11" ht="26" customHeight="1">
      <c r="A11" s="30" t="inlineStr">
        <is>
          <t>CC-2025-0012</t>
        </is>
      </c>
      <c r="B11" s="43">
        <f>IFERROR(IF($A11="","",INDEX(RegTitle,MATCH($A11,RegCaseNo,0))),"Case no. not found")</f>
        <v/>
      </c>
      <c r="C11" s="31" t="n">
        <v>46301</v>
      </c>
      <c r="D11" s="30" t="inlineStr">
        <is>
          <t>01:30 PM</t>
        </is>
      </c>
      <c r="E11" s="30" t="inlineStr">
        <is>
          <t>Arraignment</t>
        </is>
      </c>
      <c r="F11" s="43">
        <f>IFERROR(IF($A11="","",INDEX(RegCourt,MATCH($A11,RegCaseNo,0))),"")</f>
        <v/>
      </c>
      <c r="G11" s="43">
        <f>IFERROR(IF($A11="","",INDEX(RegPersonnel,MATCH($A11,RegCaseNo,0))),"")</f>
        <v/>
      </c>
      <c r="H11" s="30" t="inlineStr">
        <is>
          <t>Held as Scheduled</t>
        </is>
      </c>
      <c r="I11" s="31" t="n">
        <v>46323</v>
      </c>
      <c r="J11" s="44">
        <f>IF(C11="","",C11-TODAY())</f>
        <v/>
      </c>
      <c r="K11" s="45">
        <f>IF(A11="","",IF(AND(H11="",C11&lt;TODAY()),"Overdue",IF(H11="","Upcoming",IF(H11="Held as Scheduled","Held",IF(H11="Cancelled","Cancelled",IF(H11="Submitted for Resolution","Cleared","Postponed"))))))</f>
        <v/>
      </c>
      <c r="L11" s="32" t="inlineStr">
        <is>
          <t>Accused arraigned with counsel; bail bond approved.</t>
        </is>
      </c>
    </row>
    <row r="12" ht="26" customHeight="1">
      <c r="A12" s="30" t="inlineStr">
        <is>
          <t>CC-2025-0019</t>
        </is>
      </c>
      <c r="B12" s="43">
        <f>IFERROR(IF($A12="","",INDEX(RegTitle,MATCH($A12,RegCaseNo,0))),"Case no. not found")</f>
        <v/>
      </c>
      <c r="C12" s="31" t="n">
        <v>46286</v>
      </c>
      <c r="D12" s="30" t="inlineStr">
        <is>
          <t>09:00 AM</t>
        </is>
      </c>
      <c r="E12" s="30" t="inlineStr">
        <is>
          <t>Motion Hearing</t>
        </is>
      </c>
      <c r="F12" s="43">
        <f>IFERROR(IF($A12="","",INDEX(RegCourt,MATCH($A12,RegCaseNo,0))),"")</f>
        <v/>
      </c>
      <c r="G12" s="43">
        <f>IFERROR(IF($A12="","",INDEX(RegPersonnel,MATCH($A12,RegCaseNo,0))),"")</f>
        <v/>
      </c>
      <c r="H12" s="30" t="inlineStr">
        <is>
          <t>Submitted for Resolution</t>
        </is>
      </c>
      <c r="I12" s="31" t="n"/>
      <c r="J12" s="44">
        <f>IF(C12="","",C12-TODAY())</f>
        <v/>
      </c>
      <c r="K12" s="45">
        <f>IF(A12="","",IF(AND(H12="",C12&lt;TODAY()),"Overdue",IF(H12="","Upcoming",IF(H12="Held as Scheduled","Held",IF(H12="Cancelled","Cancelled",IF(H12="Submitted for Resolution","Cleared","Postponed"))))))</f>
        <v/>
      </c>
      <c r="L12" s="32" t="inlineStr">
        <is>
          <t>Appeal briefs submitted; awaiting CA resolution.</t>
        </is>
      </c>
    </row>
    <row r="13" ht="26" customHeight="1">
      <c r="A13" s="30" t="inlineStr">
        <is>
          <t>CC-2026-0022</t>
        </is>
      </c>
      <c r="B13" s="43">
        <f>IFERROR(IF($A13="","",INDEX(RegTitle,MATCH($A13,RegCaseNo,0))),"Case no. not found")</f>
        <v/>
      </c>
      <c r="C13" s="31" t="n">
        <v>46321</v>
      </c>
      <c r="D13" s="30" t="inlineStr">
        <is>
          <t>03:00 PM</t>
        </is>
      </c>
      <c r="E13" s="30" t="inlineStr">
        <is>
          <t>Motion Hearing</t>
        </is>
      </c>
      <c r="F13" s="43">
        <f>IFERROR(IF($A13="","",INDEX(RegCourt,MATCH($A13,RegCaseNo,0))),"")</f>
        <v/>
      </c>
      <c r="G13" s="43">
        <f>IFERROR(IF($A13="","",INDEX(RegPersonnel,MATCH($A13,RegCaseNo,0))),"")</f>
        <v/>
      </c>
      <c r="H13" s="30" t="n"/>
      <c r="I13" s="31" t="n"/>
      <c r="J13" s="44">
        <f>IF(C13="","",C13-TODAY())</f>
        <v/>
      </c>
      <c r="K13" s="45">
        <f>IF(A13="","",IF(AND(H13="",C13&lt;TODAY()),"Overdue",IF(H13="","Upcoming",IF(H13="Held as Scheduled","Held",IF(H13="Cancelled","Cancelled",IF(H13="Submitted for Resolution","Cleared","Postponed"))))))</f>
        <v/>
      </c>
      <c r="L13" s="32" t="inlineStr">
        <is>
          <t>Status conference on possible compromise agreement.</t>
        </is>
      </c>
    </row>
    <row r="14" ht="26" customHeight="1">
      <c r="A14" s="30" t="inlineStr">
        <is>
          <t>CC-2026-0025</t>
        </is>
      </c>
      <c r="B14" s="43">
        <f>IFERROR(IF($A14="","",INDEX(RegTitle,MATCH($A14,RegCaseNo,0))),"Case no. not found")</f>
        <v/>
      </c>
      <c r="C14" s="31" t="n">
        <v>46288</v>
      </c>
      <c r="D14" s="30" t="inlineStr">
        <is>
          <t>08:30 AM</t>
        </is>
      </c>
      <c r="E14" s="30" t="inlineStr">
        <is>
          <t>Arraignment</t>
        </is>
      </c>
      <c r="F14" s="43">
        <f>IFERROR(IF($A14="","",INDEX(RegCourt,MATCH($A14,RegCaseNo,0))),"")</f>
        <v/>
      </c>
      <c r="G14" s="43">
        <f>IFERROR(IF($A14="","",INDEX(RegPersonnel,MATCH($A14,RegCaseNo,0))),"")</f>
        <v/>
      </c>
      <c r="H14" s="30" t="inlineStr">
        <is>
          <t>Held as Scheduled</t>
        </is>
      </c>
      <c r="I14" s="31" t="n">
        <v>46327</v>
      </c>
      <c r="J14" s="44">
        <f>IF(C14="","",C14-TODAY())</f>
        <v/>
      </c>
      <c r="K14" s="45">
        <f>IF(A14="","",IF(AND(H14="",C14&lt;TODAY()),"Overdue",IF(H14="","Upcoming",IF(H14="Held as Scheduled","Held",IF(H14="Cancelled","Cancelled",IF(H14="Submitted for Resolution","Cleared","Postponed"))))))</f>
        <v/>
      </c>
      <c r="L14" s="32" t="inlineStr">
        <is>
          <t>Plea of not guilty; pre-trial conference scheduled.</t>
        </is>
      </c>
    </row>
    <row r="15" ht="26" customHeight="1">
      <c r="A15" s="30" t="n"/>
      <c r="B15" s="43">
        <f>IFERROR(IF($A15="","",INDEX(RegTitle,MATCH($A15,RegCaseNo,0))),"Case no. not found")</f>
        <v/>
      </c>
      <c r="C15" s="31" t="n"/>
      <c r="D15" s="30" t="n"/>
      <c r="E15" s="30" t="n"/>
      <c r="F15" s="43">
        <f>IFERROR(IF($A15="","",INDEX(RegCourt,MATCH($A15,RegCaseNo,0))),"")</f>
        <v/>
      </c>
      <c r="G15" s="43">
        <f>IFERROR(IF($A15="","",INDEX(RegPersonnel,MATCH($A15,RegCaseNo,0))),"")</f>
        <v/>
      </c>
      <c r="H15" s="30" t="n"/>
      <c r="I15" s="31" t="n"/>
      <c r="J15" s="44">
        <f>IF(C15="","",C15-TODAY())</f>
        <v/>
      </c>
      <c r="K15" s="45">
        <f>IF(A15="","",IF(AND(H15="",C15&lt;TODAY()),"Overdue",IF(H15="","Upcoming",IF(H15="Held as Scheduled","Held",IF(H15="Cancelled","Cancelled",IF(H15="Submitted for Resolution","Cleared","Postponed"))))))</f>
        <v/>
      </c>
      <c r="L15" s="32" t="n"/>
    </row>
    <row r="16" ht="26" customHeight="1">
      <c r="A16" s="30" t="n"/>
      <c r="B16" s="43">
        <f>IFERROR(IF($A16="","",INDEX(RegTitle,MATCH($A16,RegCaseNo,0))),"Case no. not found")</f>
        <v/>
      </c>
      <c r="C16" s="31" t="n"/>
      <c r="D16" s="30" t="n"/>
      <c r="E16" s="30" t="n"/>
      <c r="F16" s="43">
        <f>IFERROR(IF($A16="","",INDEX(RegCourt,MATCH($A16,RegCaseNo,0))),"")</f>
        <v/>
      </c>
      <c r="G16" s="43">
        <f>IFERROR(IF($A16="","",INDEX(RegPersonnel,MATCH($A16,RegCaseNo,0))),"")</f>
        <v/>
      </c>
      <c r="H16" s="30" t="n"/>
      <c r="I16" s="31" t="n"/>
      <c r="J16" s="44">
        <f>IF(C16="","",C16-TODAY())</f>
        <v/>
      </c>
      <c r="K16" s="45">
        <f>IF(A16="","",IF(AND(H16="",C16&lt;TODAY()),"Overdue",IF(H16="","Upcoming",IF(H16="Held as Scheduled","Held",IF(H16="Cancelled","Cancelled",IF(H16="Submitted for Resolution","Cleared","Postponed"))))))</f>
        <v/>
      </c>
      <c r="L16" s="32" t="n"/>
    </row>
    <row r="17" ht="26" customHeight="1">
      <c r="A17" s="30" t="n"/>
      <c r="B17" s="43">
        <f>IFERROR(IF($A17="","",INDEX(RegTitle,MATCH($A17,RegCaseNo,0))),"Case no. not found")</f>
        <v/>
      </c>
      <c r="C17" s="31" t="n"/>
      <c r="D17" s="30" t="n"/>
      <c r="E17" s="30" t="n"/>
      <c r="F17" s="43">
        <f>IFERROR(IF($A17="","",INDEX(RegCourt,MATCH($A17,RegCaseNo,0))),"")</f>
        <v/>
      </c>
      <c r="G17" s="43">
        <f>IFERROR(IF($A17="","",INDEX(RegPersonnel,MATCH($A17,RegCaseNo,0))),"")</f>
        <v/>
      </c>
      <c r="H17" s="30" t="n"/>
      <c r="I17" s="31" t="n"/>
      <c r="J17" s="44">
        <f>IF(C17="","",C17-TODAY())</f>
        <v/>
      </c>
      <c r="K17" s="45">
        <f>IF(A17="","",IF(AND(H17="",C17&lt;TODAY()),"Overdue",IF(H17="","Upcoming",IF(H17="Held as Scheduled","Held",IF(H17="Cancelled","Cancelled",IF(H17="Submitted for Resolution","Cleared","Postponed"))))))</f>
        <v/>
      </c>
      <c r="L17" s="32" t="n"/>
    </row>
    <row r="18" ht="26" customHeight="1">
      <c r="A18" s="30" t="n"/>
      <c r="B18" s="43">
        <f>IFERROR(IF($A18="","",INDEX(RegTitle,MATCH($A18,RegCaseNo,0))),"Case no. not found")</f>
        <v/>
      </c>
      <c r="C18" s="31" t="n"/>
      <c r="D18" s="30" t="n"/>
      <c r="E18" s="30" t="n"/>
      <c r="F18" s="43">
        <f>IFERROR(IF($A18="","",INDEX(RegCourt,MATCH($A18,RegCaseNo,0))),"")</f>
        <v/>
      </c>
      <c r="G18" s="43">
        <f>IFERROR(IF($A18="","",INDEX(RegPersonnel,MATCH($A18,RegCaseNo,0))),"")</f>
        <v/>
      </c>
      <c r="H18" s="30" t="n"/>
      <c r="I18" s="31" t="n"/>
      <c r="J18" s="44">
        <f>IF(C18="","",C18-TODAY())</f>
        <v/>
      </c>
      <c r="K18" s="45">
        <f>IF(A18="","",IF(AND(H18="",C18&lt;TODAY()),"Overdue",IF(H18="","Upcoming",IF(H18="Held as Scheduled","Held",IF(H18="Cancelled","Cancelled",IF(H18="Submitted for Resolution","Cleared","Postponed"))))))</f>
        <v/>
      </c>
      <c r="L18" s="32" t="n"/>
    </row>
    <row r="19" ht="26" customHeight="1">
      <c r="A19" s="30" t="n"/>
      <c r="B19" s="43">
        <f>IFERROR(IF($A19="","",INDEX(RegTitle,MATCH($A19,RegCaseNo,0))),"Case no. not found")</f>
        <v/>
      </c>
      <c r="C19" s="31" t="n"/>
      <c r="D19" s="30" t="n"/>
      <c r="E19" s="30" t="n"/>
      <c r="F19" s="43">
        <f>IFERROR(IF($A19="","",INDEX(RegCourt,MATCH($A19,RegCaseNo,0))),"")</f>
        <v/>
      </c>
      <c r="G19" s="43">
        <f>IFERROR(IF($A19="","",INDEX(RegPersonnel,MATCH($A19,RegCaseNo,0))),"")</f>
        <v/>
      </c>
      <c r="H19" s="30" t="n"/>
      <c r="I19" s="31" t="n"/>
      <c r="J19" s="44">
        <f>IF(C19="","",C19-TODAY())</f>
        <v/>
      </c>
      <c r="K19" s="45">
        <f>IF(A19="","",IF(AND(H19="",C19&lt;TODAY()),"Overdue",IF(H19="","Upcoming",IF(H19="Held as Scheduled","Held",IF(H19="Cancelled","Cancelled",IF(H19="Submitted for Resolution","Cleared","Postponed"))))))</f>
        <v/>
      </c>
      <c r="L19" s="32" t="n"/>
    </row>
    <row r="20" ht="26" customHeight="1">
      <c r="A20" s="30" t="n"/>
      <c r="B20" s="43">
        <f>IFERROR(IF($A20="","",INDEX(RegTitle,MATCH($A20,RegCaseNo,0))),"Case no. not found")</f>
        <v/>
      </c>
      <c r="C20" s="31" t="n"/>
      <c r="D20" s="30" t="n"/>
      <c r="E20" s="30" t="n"/>
      <c r="F20" s="43">
        <f>IFERROR(IF($A20="","",INDEX(RegCourt,MATCH($A20,RegCaseNo,0))),"")</f>
        <v/>
      </c>
      <c r="G20" s="43">
        <f>IFERROR(IF($A20="","",INDEX(RegPersonnel,MATCH($A20,RegCaseNo,0))),"")</f>
        <v/>
      </c>
      <c r="H20" s="30" t="n"/>
      <c r="I20" s="31" t="n"/>
      <c r="J20" s="44">
        <f>IF(C20="","",C20-TODAY())</f>
        <v/>
      </c>
      <c r="K20" s="45">
        <f>IF(A20="","",IF(AND(H20="",C20&lt;TODAY()),"Overdue",IF(H20="","Upcoming",IF(H20="Held as Scheduled","Held",IF(H20="Cancelled","Cancelled",IF(H20="Submitted for Resolution","Cleared","Postponed"))))))</f>
        <v/>
      </c>
      <c r="L20" s="32" t="n"/>
    </row>
    <row r="21" ht="26" customHeight="1">
      <c r="A21" s="30" t="n"/>
      <c r="B21" s="43">
        <f>IFERROR(IF($A21="","",INDEX(RegTitle,MATCH($A21,RegCaseNo,0))),"Case no. not found")</f>
        <v/>
      </c>
      <c r="C21" s="31" t="n"/>
      <c r="D21" s="30" t="n"/>
      <c r="E21" s="30" t="n"/>
      <c r="F21" s="43">
        <f>IFERROR(IF($A21="","",INDEX(RegCourt,MATCH($A21,RegCaseNo,0))),"")</f>
        <v/>
      </c>
      <c r="G21" s="43">
        <f>IFERROR(IF($A21="","",INDEX(RegPersonnel,MATCH($A21,RegCaseNo,0))),"")</f>
        <v/>
      </c>
      <c r="H21" s="30" t="n"/>
      <c r="I21" s="31" t="n"/>
      <c r="J21" s="44">
        <f>IF(C21="","",C21-TODAY())</f>
        <v/>
      </c>
      <c r="K21" s="45">
        <f>IF(A21="","",IF(AND(H21="",C21&lt;TODAY()),"Overdue",IF(H21="","Upcoming",IF(H21="Held as Scheduled","Held",IF(H21="Cancelled","Cancelled",IF(H21="Submitted for Resolution","Cleared","Postponed"))))))</f>
        <v/>
      </c>
      <c r="L21" s="32" t="n"/>
    </row>
    <row r="22" ht="26" customHeight="1">
      <c r="A22" s="30" t="n"/>
      <c r="B22" s="43">
        <f>IFERROR(IF($A22="","",INDEX(RegTitle,MATCH($A22,RegCaseNo,0))),"Case no. not found")</f>
        <v/>
      </c>
      <c r="C22" s="31" t="n"/>
      <c r="D22" s="30" t="n"/>
      <c r="E22" s="30" t="n"/>
      <c r="F22" s="43">
        <f>IFERROR(IF($A22="","",INDEX(RegCourt,MATCH($A22,RegCaseNo,0))),"")</f>
        <v/>
      </c>
      <c r="G22" s="43">
        <f>IFERROR(IF($A22="","",INDEX(RegPersonnel,MATCH($A22,RegCaseNo,0))),"")</f>
        <v/>
      </c>
      <c r="H22" s="30" t="n"/>
      <c r="I22" s="31" t="n"/>
      <c r="J22" s="44">
        <f>IF(C22="","",C22-TODAY())</f>
        <v/>
      </c>
      <c r="K22" s="45">
        <f>IF(A22="","",IF(AND(H22="",C22&lt;TODAY()),"Overdue",IF(H22="","Upcoming",IF(H22="Held as Scheduled","Held",IF(H22="Cancelled","Cancelled",IF(H22="Submitted for Resolution","Cleared","Postponed"))))))</f>
        <v/>
      </c>
      <c r="L22" s="32" t="n"/>
    </row>
    <row r="23" ht="26" customHeight="1">
      <c r="A23" s="30" t="n"/>
      <c r="B23" s="43">
        <f>IFERROR(IF($A23="","",INDEX(RegTitle,MATCH($A23,RegCaseNo,0))),"Case no. not found")</f>
        <v/>
      </c>
      <c r="C23" s="31" t="n"/>
      <c r="D23" s="30" t="n"/>
      <c r="E23" s="30" t="n"/>
      <c r="F23" s="43">
        <f>IFERROR(IF($A23="","",INDEX(RegCourt,MATCH($A23,RegCaseNo,0))),"")</f>
        <v/>
      </c>
      <c r="G23" s="43">
        <f>IFERROR(IF($A23="","",INDEX(RegPersonnel,MATCH($A23,RegCaseNo,0))),"")</f>
        <v/>
      </c>
      <c r="H23" s="30" t="n"/>
      <c r="I23" s="31" t="n"/>
      <c r="J23" s="44">
        <f>IF(C23="","",C23-TODAY())</f>
        <v/>
      </c>
      <c r="K23" s="45">
        <f>IF(A23="","",IF(AND(H23="",C23&lt;TODAY()),"Overdue",IF(H23="","Upcoming",IF(H23="Held as Scheduled","Held",IF(H23="Cancelled","Cancelled",IF(H23="Submitted for Resolution","Cleared","Postponed"))))))</f>
        <v/>
      </c>
      <c r="L23" s="32" t="n"/>
    </row>
    <row r="24" ht="26" customHeight="1">
      <c r="A24" s="30" t="n"/>
      <c r="B24" s="43">
        <f>IFERROR(IF($A24="","",INDEX(RegTitle,MATCH($A24,RegCaseNo,0))),"Case no. not found")</f>
        <v/>
      </c>
      <c r="C24" s="31" t="n"/>
      <c r="D24" s="30" t="n"/>
      <c r="E24" s="30" t="n"/>
      <c r="F24" s="43">
        <f>IFERROR(IF($A24="","",INDEX(RegCourt,MATCH($A24,RegCaseNo,0))),"")</f>
        <v/>
      </c>
      <c r="G24" s="43">
        <f>IFERROR(IF($A24="","",INDEX(RegPersonnel,MATCH($A24,RegCaseNo,0))),"")</f>
        <v/>
      </c>
      <c r="H24" s="30" t="n"/>
      <c r="I24" s="31" t="n"/>
      <c r="J24" s="44">
        <f>IF(C24="","",C24-TODAY())</f>
        <v/>
      </c>
      <c r="K24" s="45">
        <f>IF(A24="","",IF(AND(H24="",C24&lt;TODAY()),"Overdue",IF(H24="","Upcoming",IF(H24="Held as Scheduled","Held",IF(H24="Cancelled","Cancelled",IF(H24="Submitted for Resolution","Cleared","Postponed"))))))</f>
        <v/>
      </c>
      <c r="L24" s="32" t="n"/>
    </row>
    <row r="25" ht="26" customHeight="1">
      <c r="A25" s="30" t="n"/>
      <c r="B25" s="43">
        <f>IFERROR(IF($A25="","",INDEX(RegTitle,MATCH($A25,RegCaseNo,0))),"Case no. not found")</f>
        <v/>
      </c>
      <c r="C25" s="31" t="n"/>
      <c r="D25" s="30" t="n"/>
      <c r="E25" s="30" t="n"/>
      <c r="F25" s="43">
        <f>IFERROR(IF($A25="","",INDEX(RegCourt,MATCH($A25,RegCaseNo,0))),"")</f>
        <v/>
      </c>
      <c r="G25" s="43">
        <f>IFERROR(IF($A25="","",INDEX(RegPersonnel,MATCH($A25,RegCaseNo,0))),"")</f>
        <v/>
      </c>
      <c r="H25" s="30" t="n"/>
      <c r="I25" s="31" t="n"/>
      <c r="J25" s="44">
        <f>IF(C25="","",C25-TODAY())</f>
        <v/>
      </c>
      <c r="K25" s="45">
        <f>IF(A25="","",IF(AND(H25="",C25&lt;TODAY()),"Overdue",IF(H25="","Upcoming",IF(H25="Held as Scheduled","Held",IF(H25="Cancelled","Cancelled",IF(H25="Submitted for Resolution","Cleared","Postponed"))))))</f>
        <v/>
      </c>
      <c r="L25" s="32" t="n"/>
    </row>
    <row r="26" ht="26" customHeight="1">
      <c r="A26" s="30" t="n"/>
      <c r="B26" s="43">
        <f>IFERROR(IF($A26="","",INDEX(RegTitle,MATCH($A26,RegCaseNo,0))),"Case no. not found")</f>
        <v/>
      </c>
      <c r="C26" s="31" t="n"/>
      <c r="D26" s="30" t="n"/>
      <c r="E26" s="30" t="n"/>
      <c r="F26" s="43">
        <f>IFERROR(IF($A26="","",INDEX(RegCourt,MATCH($A26,RegCaseNo,0))),"")</f>
        <v/>
      </c>
      <c r="G26" s="43">
        <f>IFERROR(IF($A26="","",INDEX(RegPersonnel,MATCH($A26,RegCaseNo,0))),"")</f>
        <v/>
      </c>
      <c r="H26" s="30" t="n"/>
      <c r="I26" s="31" t="n"/>
      <c r="J26" s="44">
        <f>IF(C26="","",C26-TODAY())</f>
        <v/>
      </c>
      <c r="K26" s="45">
        <f>IF(A26="","",IF(AND(H26="",C26&lt;TODAY()),"Overdue",IF(H26="","Upcoming",IF(H26="Held as Scheduled","Held",IF(H26="Cancelled","Cancelled",IF(H26="Submitted for Resolution","Cleared","Postponed"))))))</f>
        <v/>
      </c>
      <c r="L26" s="32" t="n"/>
    </row>
    <row r="27" ht="26" customHeight="1">
      <c r="A27" s="30" t="n"/>
      <c r="B27" s="43">
        <f>IFERROR(IF($A27="","",INDEX(RegTitle,MATCH($A27,RegCaseNo,0))),"Case no. not found")</f>
        <v/>
      </c>
      <c r="C27" s="31" t="n"/>
      <c r="D27" s="30" t="n"/>
      <c r="E27" s="30" t="n"/>
      <c r="F27" s="43">
        <f>IFERROR(IF($A27="","",INDEX(RegCourt,MATCH($A27,RegCaseNo,0))),"")</f>
        <v/>
      </c>
      <c r="G27" s="43">
        <f>IFERROR(IF($A27="","",INDEX(RegPersonnel,MATCH($A27,RegCaseNo,0))),"")</f>
        <v/>
      </c>
      <c r="H27" s="30" t="n"/>
      <c r="I27" s="31" t="n"/>
      <c r="J27" s="44">
        <f>IF(C27="","",C27-TODAY())</f>
        <v/>
      </c>
      <c r="K27" s="45">
        <f>IF(A27="","",IF(AND(H27="",C27&lt;TODAY()),"Overdue",IF(H27="","Upcoming",IF(H27="Held as Scheduled","Held",IF(H27="Cancelled","Cancelled",IF(H27="Submitted for Resolution","Cleared","Postponed"))))))</f>
        <v/>
      </c>
      <c r="L27" s="32" t="n"/>
    </row>
    <row r="28" ht="26" customHeight="1">
      <c r="A28" s="30" t="n"/>
      <c r="B28" s="43">
        <f>IFERROR(IF($A28="","",INDEX(RegTitle,MATCH($A28,RegCaseNo,0))),"Case no. not found")</f>
        <v/>
      </c>
      <c r="C28" s="31" t="n"/>
      <c r="D28" s="30" t="n"/>
      <c r="E28" s="30" t="n"/>
      <c r="F28" s="43">
        <f>IFERROR(IF($A28="","",INDEX(RegCourt,MATCH($A28,RegCaseNo,0))),"")</f>
        <v/>
      </c>
      <c r="G28" s="43">
        <f>IFERROR(IF($A28="","",INDEX(RegPersonnel,MATCH($A28,RegCaseNo,0))),"")</f>
        <v/>
      </c>
      <c r="H28" s="30" t="n"/>
      <c r="I28" s="31" t="n"/>
      <c r="J28" s="44">
        <f>IF(C28="","",C28-TODAY())</f>
        <v/>
      </c>
      <c r="K28" s="45">
        <f>IF(A28="","",IF(AND(H28="",C28&lt;TODAY()),"Overdue",IF(H28="","Upcoming",IF(H28="Held as Scheduled","Held",IF(H28="Cancelled","Cancelled",IF(H28="Submitted for Resolution","Cleared","Postponed"))))))</f>
        <v/>
      </c>
      <c r="L28" s="32" t="n"/>
    </row>
    <row r="29" ht="26" customHeight="1">
      <c r="A29" s="30" t="n"/>
      <c r="B29" s="43">
        <f>IFERROR(IF($A29="","",INDEX(RegTitle,MATCH($A29,RegCaseNo,0))),"Case no. not found")</f>
        <v/>
      </c>
      <c r="C29" s="31" t="n"/>
      <c r="D29" s="30" t="n"/>
      <c r="E29" s="30" t="n"/>
      <c r="F29" s="43">
        <f>IFERROR(IF($A29="","",INDEX(RegCourt,MATCH($A29,RegCaseNo,0))),"")</f>
        <v/>
      </c>
      <c r="G29" s="43">
        <f>IFERROR(IF($A29="","",INDEX(RegPersonnel,MATCH($A29,RegCaseNo,0))),"")</f>
        <v/>
      </c>
      <c r="H29" s="30" t="n"/>
      <c r="I29" s="31" t="n"/>
      <c r="J29" s="44">
        <f>IF(C29="","",C29-TODAY())</f>
        <v/>
      </c>
      <c r="K29" s="45">
        <f>IF(A29="","",IF(AND(H29="",C29&lt;TODAY()),"Overdue",IF(H29="","Upcoming",IF(H29="Held as Scheduled","Held",IF(H29="Cancelled","Cancelled",IF(H29="Submitted for Resolution","Cleared","Postponed"))))))</f>
        <v/>
      </c>
      <c r="L29" s="32" t="n"/>
    </row>
    <row r="30" ht="26" customHeight="1">
      <c r="A30" s="30" t="n"/>
      <c r="B30" s="43">
        <f>IFERROR(IF($A30="","",INDEX(RegTitle,MATCH($A30,RegCaseNo,0))),"Case no. not found")</f>
        <v/>
      </c>
      <c r="C30" s="31" t="n"/>
      <c r="D30" s="30" t="n"/>
      <c r="E30" s="30" t="n"/>
      <c r="F30" s="43">
        <f>IFERROR(IF($A30="","",INDEX(RegCourt,MATCH($A30,RegCaseNo,0))),"")</f>
        <v/>
      </c>
      <c r="G30" s="43">
        <f>IFERROR(IF($A30="","",INDEX(RegPersonnel,MATCH($A30,RegCaseNo,0))),"")</f>
        <v/>
      </c>
      <c r="H30" s="30" t="n"/>
      <c r="I30" s="31" t="n"/>
      <c r="J30" s="44">
        <f>IF(C30="","",C30-TODAY())</f>
        <v/>
      </c>
      <c r="K30" s="45">
        <f>IF(A30="","",IF(AND(H30="",C30&lt;TODAY()),"Overdue",IF(H30="","Upcoming",IF(H30="Held as Scheduled","Held",IF(H30="Cancelled","Cancelled",IF(H30="Submitted for Resolution","Cleared","Postponed"))))))</f>
        <v/>
      </c>
      <c r="L30" s="32" t="n"/>
    </row>
    <row r="31" ht="26" customHeight="1">
      <c r="A31" s="30" t="n"/>
      <c r="B31" s="43">
        <f>IFERROR(IF($A31="","",INDEX(RegTitle,MATCH($A31,RegCaseNo,0))),"Case no. not found")</f>
        <v/>
      </c>
      <c r="C31" s="31" t="n"/>
      <c r="D31" s="30" t="n"/>
      <c r="E31" s="30" t="n"/>
      <c r="F31" s="43">
        <f>IFERROR(IF($A31="","",INDEX(RegCourt,MATCH($A31,RegCaseNo,0))),"")</f>
        <v/>
      </c>
      <c r="G31" s="43">
        <f>IFERROR(IF($A31="","",INDEX(RegPersonnel,MATCH($A31,RegCaseNo,0))),"")</f>
        <v/>
      </c>
      <c r="H31" s="30" t="n"/>
      <c r="I31" s="31" t="n"/>
      <c r="J31" s="44">
        <f>IF(C31="","",C31-TODAY())</f>
        <v/>
      </c>
      <c r="K31" s="45">
        <f>IF(A31="","",IF(AND(H31="",C31&lt;TODAY()),"Overdue",IF(H31="","Upcoming",IF(H31="Held as Scheduled","Held",IF(H31="Cancelled","Cancelled",IF(H31="Submitted for Resolution","Cleared","Postponed"))))))</f>
        <v/>
      </c>
      <c r="L31" s="32" t="n"/>
    </row>
    <row r="32" ht="26" customHeight="1">
      <c r="A32" s="30" t="n"/>
      <c r="B32" s="43">
        <f>IFERROR(IF($A32="","",INDEX(RegTitle,MATCH($A32,RegCaseNo,0))),"Case no. not found")</f>
        <v/>
      </c>
      <c r="C32" s="31" t="n"/>
      <c r="D32" s="30" t="n"/>
      <c r="E32" s="30" t="n"/>
      <c r="F32" s="43">
        <f>IFERROR(IF($A32="","",INDEX(RegCourt,MATCH($A32,RegCaseNo,0))),"")</f>
        <v/>
      </c>
      <c r="G32" s="43">
        <f>IFERROR(IF($A32="","",INDEX(RegPersonnel,MATCH($A32,RegCaseNo,0))),"")</f>
        <v/>
      </c>
      <c r="H32" s="30" t="n"/>
      <c r="I32" s="31" t="n"/>
      <c r="J32" s="44">
        <f>IF(C32="","",C32-TODAY())</f>
        <v/>
      </c>
      <c r="K32" s="45">
        <f>IF(A32="","",IF(AND(H32="",C32&lt;TODAY()),"Overdue",IF(H32="","Upcoming",IF(H32="Held as Scheduled","Held",IF(H32="Cancelled","Cancelled",IF(H32="Submitted for Resolution","Cleared","Postponed"))))))</f>
        <v/>
      </c>
      <c r="L32" s="32" t="n"/>
    </row>
    <row r="33" ht="26" customHeight="1">
      <c r="A33" s="30" t="n"/>
      <c r="B33" s="43">
        <f>IFERROR(IF($A33="","",INDEX(RegTitle,MATCH($A33,RegCaseNo,0))),"Case no. not found")</f>
        <v/>
      </c>
      <c r="C33" s="31" t="n"/>
      <c r="D33" s="30" t="n"/>
      <c r="E33" s="30" t="n"/>
      <c r="F33" s="43">
        <f>IFERROR(IF($A33="","",INDEX(RegCourt,MATCH($A33,RegCaseNo,0))),"")</f>
        <v/>
      </c>
      <c r="G33" s="43">
        <f>IFERROR(IF($A33="","",INDEX(RegPersonnel,MATCH($A33,RegCaseNo,0))),"")</f>
        <v/>
      </c>
      <c r="H33" s="30" t="n"/>
      <c r="I33" s="31" t="n"/>
      <c r="J33" s="44">
        <f>IF(C33="","",C33-TODAY())</f>
        <v/>
      </c>
      <c r="K33" s="45">
        <f>IF(A33="","",IF(AND(H33="",C33&lt;TODAY()),"Overdue",IF(H33="","Upcoming",IF(H33="Held as Scheduled","Held",IF(H33="Cancelled","Cancelled",IF(H33="Submitted for Resolution","Cleared","Postponed"))))))</f>
        <v/>
      </c>
      <c r="L33" s="32" t="n"/>
    </row>
    <row r="34" ht="26" customHeight="1">
      <c r="A34" s="30" t="n"/>
      <c r="B34" s="43">
        <f>IFERROR(IF($A34="","",INDEX(RegTitle,MATCH($A34,RegCaseNo,0))),"Case no. not found")</f>
        <v/>
      </c>
      <c r="C34" s="31" t="n"/>
      <c r="D34" s="30" t="n"/>
      <c r="E34" s="30" t="n"/>
      <c r="F34" s="43">
        <f>IFERROR(IF($A34="","",INDEX(RegCourt,MATCH($A34,RegCaseNo,0))),"")</f>
        <v/>
      </c>
      <c r="G34" s="43">
        <f>IFERROR(IF($A34="","",INDEX(RegPersonnel,MATCH($A34,RegCaseNo,0))),"")</f>
        <v/>
      </c>
      <c r="H34" s="30" t="n"/>
      <c r="I34" s="31" t="n"/>
      <c r="J34" s="44">
        <f>IF(C34="","",C34-TODAY())</f>
        <v/>
      </c>
      <c r="K34" s="45">
        <f>IF(A34="","",IF(AND(H34="",C34&lt;TODAY()),"Overdue",IF(H34="","Upcoming",IF(H34="Held as Scheduled","Held",IF(H34="Cancelled","Cancelled",IF(H34="Submitted for Resolution","Cleared","Postponed"))))))</f>
        <v/>
      </c>
      <c r="L34" s="32" t="n"/>
    </row>
    <row r="35" ht="26" customHeight="1">
      <c r="A35" s="30" t="n"/>
      <c r="B35" s="43">
        <f>IFERROR(IF($A35="","",INDEX(RegTitle,MATCH($A35,RegCaseNo,0))),"Case no. not found")</f>
        <v/>
      </c>
      <c r="C35" s="31" t="n"/>
      <c r="D35" s="30" t="n"/>
      <c r="E35" s="30" t="n"/>
      <c r="F35" s="43">
        <f>IFERROR(IF($A35="","",INDEX(RegCourt,MATCH($A35,RegCaseNo,0))),"")</f>
        <v/>
      </c>
      <c r="G35" s="43">
        <f>IFERROR(IF($A35="","",INDEX(RegPersonnel,MATCH($A35,RegCaseNo,0))),"")</f>
        <v/>
      </c>
      <c r="H35" s="30" t="n"/>
      <c r="I35" s="31" t="n"/>
      <c r="J35" s="44">
        <f>IF(C35="","",C35-TODAY())</f>
        <v/>
      </c>
      <c r="K35" s="45">
        <f>IF(A35="","",IF(AND(H35="",C35&lt;TODAY()),"Overdue",IF(H35="","Upcoming",IF(H35="Held as Scheduled","Held",IF(H35="Cancelled","Cancelled",IF(H35="Submitted for Resolution","Cleared","Postponed"))))))</f>
        <v/>
      </c>
      <c r="L35" s="32" t="n"/>
    </row>
    <row r="36" ht="26" customHeight="1">
      <c r="A36" s="30" t="n"/>
      <c r="B36" s="43">
        <f>IFERROR(IF($A36="","",INDEX(RegTitle,MATCH($A36,RegCaseNo,0))),"Case no. not found")</f>
        <v/>
      </c>
      <c r="C36" s="31" t="n"/>
      <c r="D36" s="30" t="n"/>
      <c r="E36" s="30" t="n"/>
      <c r="F36" s="43">
        <f>IFERROR(IF($A36="","",INDEX(RegCourt,MATCH($A36,RegCaseNo,0))),"")</f>
        <v/>
      </c>
      <c r="G36" s="43">
        <f>IFERROR(IF($A36="","",INDEX(RegPersonnel,MATCH($A36,RegCaseNo,0))),"")</f>
        <v/>
      </c>
      <c r="H36" s="30" t="n"/>
      <c r="I36" s="31" t="n"/>
      <c r="J36" s="44">
        <f>IF(C36="","",C36-TODAY())</f>
        <v/>
      </c>
      <c r="K36" s="45">
        <f>IF(A36="","",IF(AND(H36="",C36&lt;TODAY()),"Overdue",IF(H36="","Upcoming",IF(H36="Held as Scheduled","Held",IF(H36="Cancelled","Cancelled",IF(H36="Submitted for Resolution","Cleared","Postponed"))))))</f>
        <v/>
      </c>
      <c r="L36" s="32" t="n"/>
    </row>
    <row r="37" ht="26" customHeight="1">
      <c r="A37" s="30" t="n"/>
      <c r="B37" s="43">
        <f>IFERROR(IF($A37="","",INDEX(RegTitle,MATCH($A37,RegCaseNo,0))),"Case no. not found")</f>
        <v/>
      </c>
      <c r="C37" s="31" t="n"/>
      <c r="D37" s="30" t="n"/>
      <c r="E37" s="30" t="n"/>
      <c r="F37" s="43">
        <f>IFERROR(IF($A37="","",INDEX(RegCourt,MATCH($A37,RegCaseNo,0))),"")</f>
        <v/>
      </c>
      <c r="G37" s="43">
        <f>IFERROR(IF($A37="","",INDEX(RegPersonnel,MATCH($A37,RegCaseNo,0))),"")</f>
        <v/>
      </c>
      <c r="H37" s="30" t="n"/>
      <c r="I37" s="31" t="n"/>
      <c r="J37" s="44">
        <f>IF(C37="","",C37-TODAY())</f>
        <v/>
      </c>
      <c r="K37" s="45">
        <f>IF(A37="","",IF(AND(H37="",C37&lt;TODAY()),"Overdue",IF(H37="","Upcoming",IF(H37="Held as Scheduled","Held",IF(H37="Cancelled","Cancelled",IF(H37="Submitted for Resolution","Cleared","Postponed"))))))</f>
        <v/>
      </c>
      <c r="L37" s="32" t="n"/>
    </row>
    <row r="38" ht="26" customHeight="1">
      <c r="A38" s="30" t="n"/>
      <c r="B38" s="43">
        <f>IFERROR(IF($A38="","",INDEX(RegTitle,MATCH($A38,RegCaseNo,0))),"Case no. not found")</f>
        <v/>
      </c>
      <c r="C38" s="31" t="n"/>
      <c r="D38" s="30" t="n"/>
      <c r="E38" s="30" t="n"/>
      <c r="F38" s="43">
        <f>IFERROR(IF($A38="","",INDEX(RegCourt,MATCH($A38,RegCaseNo,0))),"")</f>
        <v/>
      </c>
      <c r="G38" s="43">
        <f>IFERROR(IF($A38="","",INDEX(RegPersonnel,MATCH($A38,RegCaseNo,0))),"")</f>
        <v/>
      </c>
      <c r="H38" s="30" t="n"/>
      <c r="I38" s="31" t="n"/>
      <c r="J38" s="44">
        <f>IF(C38="","",C38-TODAY())</f>
        <v/>
      </c>
      <c r="K38" s="45">
        <f>IF(A38="","",IF(AND(H38="",C38&lt;TODAY()),"Overdue",IF(H38="","Upcoming",IF(H38="Held as Scheduled","Held",IF(H38="Cancelled","Cancelled",IF(H38="Submitted for Resolution","Cleared","Postponed"))))))</f>
        <v/>
      </c>
      <c r="L38" s="32" t="n"/>
    </row>
    <row r="39" ht="26" customHeight="1">
      <c r="A39" s="30" t="n"/>
      <c r="B39" s="43">
        <f>IFERROR(IF($A39="","",INDEX(RegTitle,MATCH($A39,RegCaseNo,0))),"Case no. not found")</f>
        <v/>
      </c>
      <c r="C39" s="31" t="n"/>
      <c r="D39" s="30" t="n"/>
      <c r="E39" s="30" t="n"/>
      <c r="F39" s="43">
        <f>IFERROR(IF($A39="","",INDEX(RegCourt,MATCH($A39,RegCaseNo,0))),"")</f>
        <v/>
      </c>
      <c r="G39" s="43">
        <f>IFERROR(IF($A39="","",INDEX(RegPersonnel,MATCH($A39,RegCaseNo,0))),"")</f>
        <v/>
      </c>
      <c r="H39" s="30" t="n"/>
      <c r="I39" s="31" t="n"/>
      <c r="J39" s="44">
        <f>IF(C39="","",C39-TODAY())</f>
        <v/>
      </c>
      <c r="K39" s="45">
        <f>IF(A39="","",IF(AND(H39="",C39&lt;TODAY()),"Overdue",IF(H39="","Upcoming",IF(H39="Held as Scheduled","Held",IF(H39="Cancelled","Cancelled",IF(H39="Submitted for Resolution","Cleared","Postponed"))))))</f>
        <v/>
      </c>
      <c r="L39" s="32" t="n"/>
    </row>
    <row r="40" ht="26" customHeight="1">
      <c r="A40" s="30" t="n"/>
      <c r="B40" s="43">
        <f>IFERROR(IF($A40="","",INDEX(RegTitle,MATCH($A40,RegCaseNo,0))),"Case no. not found")</f>
        <v/>
      </c>
      <c r="C40" s="31" t="n"/>
      <c r="D40" s="30" t="n"/>
      <c r="E40" s="30" t="n"/>
      <c r="F40" s="43">
        <f>IFERROR(IF($A40="","",INDEX(RegCourt,MATCH($A40,RegCaseNo,0))),"")</f>
        <v/>
      </c>
      <c r="G40" s="43">
        <f>IFERROR(IF($A40="","",INDEX(RegPersonnel,MATCH($A40,RegCaseNo,0))),"")</f>
        <v/>
      </c>
      <c r="H40" s="30" t="n"/>
      <c r="I40" s="31" t="n"/>
      <c r="J40" s="44">
        <f>IF(C40="","",C40-TODAY())</f>
        <v/>
      </c>
      <c r="K40" s="45">
        <f>IF(A40="","",IF(AND(H40="",C40&lt;TODAY()),"Overdue",IF(H40="","Upcoming",IF(H40="Held as Scheduled","Held",IF(H40="Cancelled","Cancelled",IF(H40="Submitted for Resolution","Cleared","Postponed"))))))</f>
        <v/>
      </c>
      <c r="L40" s="32" t="n"/>
    </row>
    <row r="41" ht="26" customHeight="1">
      <c r="A41" s="30" t="n"/>
      <c r="B41" s="43">
        <f>IFERROR(IF($A41="","",INDEX(RegTitle,MATCH($A41,RegCaseNo,0))),"Case no. not found")</f>
        <v/>
      </c>
      <c r="C41" s="31" t="n"/>
      <c r="D41" s="30" t="n"/>
      <c r="E41" s="30" t="n"/>
      <c r="F41" s="43">
        <f>IFERROR(IF($A41="","",INDEX(RegCourt,MATCH($A41,RegCaseNo,0))),"")</f>
        <v/>
      </c>
      <c r="G41" s="43">
        <f>IFERROR(IF($A41="","",INDEX(RegPersonnel,MATCH($A41,RegCaseNo,0))),"")</f>
        <v/>
      </c>
      <c r="H41" s="30" t="n"/>
      <c r="I41" s="31" t="n"/>
      <c r="J41" s="44">
        <f>IF(C41="","",C41-TODAY())</f>
        <v/>
      </c>
      <c r="K41" s="45">
        <f>IF(A41="","",IF(AND(H41="",C41&lt;TODAY()),"Overdue",IF(H41="","Upcoming",IF(H41="Held as Scheduled","Held",IF(H41="Cancelled","Cancelled",IF(H41="Submitted for Resolution","Cleared","Postponed"))))))</f>
        <v/>
      </c>
      <c r="L41" s="32" t="n"/>
    </row>
    <row r="42" ht="26" customHeight="1">
      <c r="A42" s="30" t="n"/>
      <c r="B42" s="43">
        <f>IFERROR(IF($A42="","",INDEX(RegTitle,MATCH($A42,RegCaseNo,0))),"Case no. not found")</f>
        <v/>
      </c>
      <c r="C42" s="31" t="n"/>
      <c r="D42" s="30" t="n"/>
      <c r="E42" s="30" t="n"/>
      <c r="F42" s="43">
        <f>IFERROR(IF($A42="","",INDEX(RegCourt,MATCH($A42,RegCaseNo,0))),"")</f>
        <v/>
      </c>
      <c r="G42" s="43">
        <f>IFERROR(IF($A42="","",INDEX(RegPersonnel,MATCH($A42,RegCaseNo,0))),"")</f>
        <v/>
      </c>
      <c r="H42" s="30" t="n"/>
      <c r="I42" s="31" t="n"/>
      <c r="J42" s="44">
        <f>IF(C42="","",C42-TODAY())</f>
        <v/>
      </c>
      <c r="K42" s="45">
        <f>IF(A42="","",IF(AND(H42="",C42&lt;TODAY()),"Overdue",IF(H42="","Upcoming",IF(H42="Held as Scheduled","Held",IF(H42="Cancelled","Cancelled",IF(H42="Submitted for Resolution","Cleared","Postponed"))))))</f>
        <v/>
      </c>
      <c r="L42" s="32" t="n"/>
    </row>
    <row r="43" ht="26" customHeight="1">
      <c r="A43" s="30" t="n"/>
      <c r="B43" s="43">
        <f>IFERROR(IF($A43="","",INDEX(RegTitle,MATCH($A43,RegCaseNo,0))),"Case no. not found")</f>
        <v/>
      </c>
      <c r="C43" s="31" t="n"/>
      <c r="D43" s="30" t="n"/>
      <c r="E43" s="30" t="n"/>
      <c r="F43" s="43">
        <f>IFERROR(IF($A43="","",INDEX(RegCourt,MATCH($A43,RegCaseNo,0))),"")</f>
        <v/>
      </c>
      <c r="G43" s="43">
        <f>IFERROR(IF($A43="","",INDEX(RegPersonnel,MATCH($A43,RegCaseNo,0))),"")</f>
        <v/>
      </c>
      <c r="H43" s="30" t="n"/>
      <c r="I43" s="31" t="n"/>
      <c r="J43" s="44">
        <f>IF(C43="","",C43-TODAY())</f>
        <v/>
      </c>
      <c r="K43" s="45">
        <f>IF(A43="","",IF(AND(H43="",C43&lt;TODAY()),"Overdue",IF(H43="","Upcoming",IF(H43="Held as Scheduled","Held",IF(H43="Cancelled","Cancelled",IF(H43="Submitted for Resolution","Cleared","Postponed"))))))</f>
        <v/>
      </c>
      <c r="L43" s="32" t="n"/>
    </row>
    <row r="44" ht="26" customHeight="1">
      <c r="A44" s="30" t="n"/>
      <c r="B44" s="43">
        <f>IFERROR(IF($A44="","",INDEX(RegTitle,MATCH($A44,RegCaseNo,0))),"Case no. not found")</f>
        <v/>
      </c>
      <c r="C44" s="31" t="n"/>
      <c r="D44" s="30" t="n"/>
      <c r="E44" s="30" t="n"/>
      <c r="F44" s="43">
        <f>IFERROR(IF($A44="","",INDEX(RegCourt,MATCH($A44,RegCaseNo,0))),"")</f>
        <v/>
      </c>
      <c r="G44" s="43">
        <f>IFERROR(IF($A44="","",INDEX(RegPersonnel,MATCH($A44,RegCaseNo,0))),"")</f>
        <v/>
      </c>
      <c r="H44" s="30" t="n"/>
      <c r="I44" s="31" t="n"/>
      <c r="J44" s="44">
        <f>IF(C44="","",C44-TODAY())</f>
        <v/>
      </c>
      <c r="K44" s="45">
        <f>IF(A44="","",IF(AND(H44="",C44&lt;TODAY()),"Overdue",IF(H44="","Upcoming",IF(H44="Held as Scheduled","Held",IF(H44="Cancelled","Cancelled",IF(H44="Submitted for Resolution","Cleared","Postponed"))))))</f>
        <v/>
      </c>
      <c r="L44" s="32" t="n"/>
    </row>
    <row r="45" ht="26" customHeight="1">
      <c r="A45" s="30" t="n"/>
      <c r="B45" s="43">
        <f>IFERROR(IF($A45="","",INDEX(RegTitle,MATCH($A45,RegCaseNo,0))),"Case no. not found")</f>
        <v/>
      </c>
      <c r="C45" s="31" t="n"/>
      <c r="D45" s="30" t="n"/>
      <c r="E45" s="30" t="n"/>
      <c r="F45" s="43">
        <f>IFERROR(IF($A45="","",INDEX(RegCourt,MATCH($A45,RegCaseNo,0))),"")</f>
        <v/>
      </c>
      <c r="G45" s="43">
        <f>IFERROR(IF($A45="","",INDEX(RegPersonnel,MATCH($A45,RegCaseNo,0))),"")</f>
        <v/>
      </c>
      <c r="H45" s="30" t="n"/>
      <c r="I45" s="31" t="n"/>
      <c r="J45" s="44">
        <f>IF(C45="","",C45-TODAY())</f>
        <v/>
      </c>
      <c r="K45" s="45">
        <f>IF(A45="","",IF(AND(H45="",C45&lt;TODAY()),"Overdue",IF(H45="","Upcoming",IF(H45="Held as Scheduled","Held",IF(H45="Cancelled","Cancelled",IF(H45="Submitted for Resolution","Cleared","Postponed"))))))</f>
        <v/>
      </c>
      <c r="L45" s="32" t="n"/>
    </row>
    <row r="46" ht="26" customHeight="1">
      <c r="A46" s="30" t="n"/>
      <c r="B46" s="43">
        <f>IFERROR(IF($A46="","",INDEX(RegTitle,MATCH($A46,RegCaseNo,0))),"Case no. not found")</f>
        <v/>
      </c>
      <c r="C46" s="31" t="n"/>
      <c r="D46" s="30" t="n"/>
      <c r="E46" s="30" t="n"/>
      <c r="F46" s="43">
        <f>IFERROR(IF($A46="","",INDEX(RegCourt,MATCH($A46,RegCaseNo,0))),"")</f>
        <v/>
      </c>
      <c r="G46" s="43">
        <f>IFERROR(IF($A46="","",INDEX(RegPersonnel,MATCH($A46,RegCaseNo,0))),"")</f>
        <v/>
      </c>
      <c r="H46" s="30" t="n"/>
      <c r="I46" s="31" t="n"/>
      <c r="J46" s="44">
        <f>IF(C46="","",C46-TODAY())</f>
        <v/>
      </c>
      <c r="K46" s="45">
        <f>IF(A46="","",IF(AND(H46="",C46&lt;TODAY()),"Overdue",IF(H46="","Upcoming",IF(H46="Held as Scheduled","Held",IF(H46="Cancelled","Cancelled",IF(H46="Submitted for Resolution","Cleared","Postponed"))))))</f>
        <v/>
      </c>
      <c r="L46" s="32" t="n"/>
    </row>
    <row r="47" ht="26" customHeight="1">
      <c r="A47" s="30" t="n"/>
      <c r="B47" s="43">
        <f>IFERROR(IF($A47="","",INDEX(RegTitle,MATCH($A47,RegCaseNo,0))),"Case no. not found")</f>
        <v/>
      </c>
      <c r="C47" s="31" t="n"/>
      <c r="D47" s="30" t="n"/>
      <c r="E47" s="30" t="n"/>
      <c r="F47" s="43">
        <f>IFERROR(IF($A47="","",INDEX(RegCourt,MATCH($A47,RegCaseNo,0))),"")</f>
        <v/>
      </c>
      <c r="G47" s="43">
        <f>IFERROR(IF($A47="","",INDEX(RegPersonnel,MATCH($A47,RegCaseNo,0))),"")</f>
        <v/>
      </c>
      <c r="H47" s="30" t="n"/>
      <c r="I47" s="31" t="n"/>
      <c r="J47" s="44">
        <f>IF(C47="","",C47-TODAY())</f>
        <v/>
      </c>
      <c r="K47" s="45">
        <f>IF(A47="","",IF(AND(H47="",C47&lt;TODAY()),"Overdue",IF(H47="","Upcoming",IF(H47="Held as Scheduled","Held",IF(H47="Cancelled","Cancelled",IF(H47="Submitted for Resolution","Cleared","Postponed"))))))</f>
        <v/>
      </c>
      <c r="L47" s="32" t="n"/>
    </row>
    <row r="48" ht="26" customHeight="1">
      <c r="A48" s="30" t="n"/>
      <c r="B48" s="43">
        <f>IFERROR(IF($A48="","",INDEX(RegTitle,MATCH($A48,RegCaseNo,0))),"Case no. not found")</f>
        <v/>
      </c>
      <c r="C48" s="31" t="n"/>
      <c r="D48" s="30" t="n"/>
      <c r="E48" s="30" t="n"/>
      <c r="F48" s="43">
        <f>IFERROR(IF($A48="","",INDEX(RegCourt,MATCH($A48,RegCaseNo,0))),"")</f>
        <v/>
      </c>
      <c r="G48" s="43">
        <f>IFERROR(IF($A48="","",INDEX(RegPersonnel,MATCH($A48,RegCaseNo,0))),"")</f>
        <v/>
      </c>
      <c r="H48" s="30" t="n"/>
      <c r="I48" s="31" t="n"/>
      <c r="J48" s="44">
        <f>IF(C48="","",C48-TODAY())</f>
        <v/>
      </c>
      <c r="K48" s="45">
        <f>IF(A48="","",IF(AND(H48="",C48&lt;TODAY()),"Overdue",IF(H48="","Upcoming",IF(H48="Held as Scheduled","Held",IF(H48="Cancelled","Cancelled",IF(H48="Submitted for Resolution","Cleared","Postponed"))))))</f>
        <v/>
      </c>
      <c r="L48" s="32" t="n"/>
    </row>
    <row r="49" ht="26" customHeight="1">
      <c r="A49" s="30" t="n"/>
      <c r="B49" s="43">
        <f>IFERROR(IF($A49="","",INDEX(RegTitle,MATCH($A49,RegCaseNo,0))),"Case no. not found")</f>
        <v/>
      </c>
      <c r="C49" s="31" t="n"/>
      <c r="D49" s="30" t="n"/>
      <c r="E49" s="30" t="n"/>
      <c r="F49" s="43">
        <f>IFERROR(IF($A49="","",INDEX(RegCourt,MATCH($A49,RegCaseNo,0))),"")</f>
        <v/>
      </c>
      <c r="G49" s="43">
        <f>IFERROR(IF($A49="","",INDEX(RegPersonnel,MATCH($A49,RegCaseNo,0))),"")</f>
        <v/>
      </c>
      <c r="H49" s="30" t="n"/>
      <c r="I49" s="31" t="n"/>
      <c r="J49" s="44">
        <f>IF(C49="","",C49-TODAY())</f>
        <v/>
      </c>
      <c r="K49" s="45">
        <f>IF(A49="","",IF(AND(H49="",C49&lt;TODAY()),"Overdue",IF(H49="","Upcoming",IF(H49="Held as Scheduled","Held",IF(H49="Cancelled","Cancelled",IF(H49="Submitted for Resolution","Cleared","Postponed"))))))</f>
        <v/>
      </c>
      <c r="L49" s="32" t="n"/>
    </row>
    <row r="50" ht="26" customHeight="1">
      <c r="A50" s="30" t="n"/>
      <c r="B50" s="43">
        <f>IFERROR(IF($A50="","",INDEX(RegTitle,MATCH($A50,RegCaseNo,0))),"Case no. not found")</f>
        <v/>
      </c>
      <c r="C50" s="31" t="n"/>
      <c r="D50" s="30" t="n"/>
      <c r="E50" s="30" t="n"/>
      <c r="F50" s="43">
        <f>IFERROR(IF($A50="","",INDEX(RegCourt,MATCH($A50,RegCaseNo,0))),"")</f>
        <v/>
      </c>
      <c r="G50" s="43">
        <f>IFERROR(IF($A50="","",INDEX(RegPersonnel,MATCH($A50,RegCaseNo,0))),"")</f>
        <v/>
      </c>
      <c r="H50" s="30" t="n"/>
      <c r="I50" s="31" t="n"/>
      <c r="J50" s="44">
        <f>IF(C50="","",C50-TODAY())</f>
        <v/>
      </c>
      <c r="K50" s="45">
        <f>IF(A50="","",IF(AND(H50="",C50&lt;TODAY()),"Overdue",IF(H50="","Upcoming",IF(H50="Held as Scheduled","Held",IF(H50="Cancelled","Cancelled",IF(H50="Submitted for Resolution","Cleared","Postponed"))))))</f>
        <v/>
      </c>
      <c r="L50" s="32" t="n"/>
    </row>
    <row r="51" ht="26" customHeight="1">
      <c r="A51" s="30" t="n"/>
      <c r="B51" s="43">
        <f>IFERROR(IF($A51="","",INDEX(RegTitle,MATCH($A51,RegCaseNo,0))),"Case no. not found")</f>
        <v/>
      </c>
      <c r="C51" s="31" t="n"/>
      <c r="D51" s="30" t="n"/>
      <c r="E51" s="30" t="n"/>
      <c r="F51" s="43">
        <f>IFERROR(IF($A51="","",INDEX(RegCourt,MATCH($A51,RegCaseNo,0))),"")</f>
        <v/>
      </c>
      <c r="G51" s="43">
        <f>IFERROR(IF($A51="","",INDEX(RegPersonnel,MATCH($A51,RegCaseNo,0))),"")</f>
        <v/>
      </c>
      <c r="H51" s="30" t="n"/>
      <c r="I51" s="31" t="n"/>
      <c r="J51" s="44">
        <f>IF(C51="","",C51-TODAY())</f>
        <v/>
      </c>
      <c r="K51" s="45">
        <f>IF(A51="","",IF(AND(H51="",C51&lt;TODAY()),"Overdue",IF(H51="","Upcoming",IF(H51="Held as Scheduled","Held",IF(H51="Cancelled","Cancelled",IF(H51="Submitted for Resolution","Cleared","Postponed"))))))</f>
        <v/>
      </c>
      <c r="L51" s="32" t="n"/>
    </row>
    <row r="52" ht="26" customHeight="1">
      <c r="A52" s="30" t="n"/>
      <c r="B52" s="43">
        <f>IFERROR(IF($A52="","",INDEX(RegTitle,MATCH($A52,RegCaseNo,0))),"Case no. not found")</f>
        <v/>
      </c>
      <c r="C52" s="31" t="n"/>
      <c r="D52" s="30" t="n"/>
      <c r="E52" s="30" t="n"/>
      <c r="F52" s="43">
        <f>IFERROR(IF($A52="","",INDEX(RegCourt,MATCH($A52,RegCaseNo,0))),"")</f>
        <v/>
      </c>
      <c r="G52" s="43">
        <f>IFERROR(IF($A52="","",INDEX(RegPersonnel,MATCH($A52,RegCaseNo,0))),"")</f>
        <v/>
      </c>
      <c r="H52" s="30" t="n"/>
      <c r="I52" s="31" t="n"/>
      <c r="J52" s="44">
        <f>IF(C52="","",C52-TODAY())</f>
        <v/>
      </c>
      <c r="K52" s="45">
        <f>IF(A52="","",IF(AND(H52="",C52&lt;TODAY()),"Overdue",IF(H52="","Upcoming",IF(H52="Held as Scheduled","Held",IF(H52="Cancelled","Cancelled",IF(H52="Submitted for Resolution","Cleared","Postponed"))))))</f>
        <v/>
      </c>
      <c r="L52" s="32" t="n"/>
    </row>
    <row r="53" ht="26" customHeight="1">
      <c r="A53" s="30" t="n"/>
      <c r="B53" s="43">
        <f>IFERROR(IF($A53="","",INDEX(RegTitle,MATCH($A53,RegCaseNo,0))),"Case no. not found")</f>
        <v/>
      </c>
      <c r="C53" s="31" t="n"/>
      <c r="D53" s="30" t="n"/>
      <c r="E53" s="30" t="n"/>
      <c r="F53" s="43">
        <f>IFERROR(IF($A53="","",INDEX(RegCourt,MATCH($A53,RegCaseNo,0))),"")</f>
        <v/>
      </c>
      <c r="G53" s="43">
        <f>IFERROR(IF($A53="","",INDEX(RegPersonnel,MATCH($A53,RegCaseNo,0))),"")</f>
        <v/>
      </c>
      <c r="H53" s="30" t="n"/>
      <c r="I53" s="31" t="n"/>
      <c r="J53" s="44">
        <f>IF(C53="","",C53-TODAY())</f>
        <v/>
      </c>
      <c r="K53" s="45">
        <f>IF(A53="","",IF(AND(H53="",C53&lt;TODAY()),"Overdue",IF(H53="","Upcoming",IF(H53="Held as Scheduled","Held",IF(H53="Cancelled","Cancelled",IF(H53="Submitted for Resolution","Cleared","Postponed"))))))</f>
        <v/>
      </c>
      <c r="L53" s="32" t="n"/>
    </row>
    <row r="54" ht="26" customHeight="1">
      <c r="A54" s="30" t="n"/>
      <c r="B54" s="43">
        <f>IFERROR(IF($A54="","",INDEX(RegTitle,MATCH($A54,RegCaseNo,0))),"Case no. not found")</f>
        <v/>
      </c>
      <c r="C54" s="31" t="n"/>
      <c r="D54" s="30" t="n"/>
      <c r="E54" s="30" t="n"/>
      <c r="F54" s="43">
        <f>IFERROR(IF($A54="","",INDEX(RegCourt,MATCH($A54,RegCaseNo,0))),"")</f>
        <v/>
      </c>
      <c r="G54" s="43">
        <f>IFERROR(IF($A54="","",INDEX(RegPersonnel,MATCH($A54,RegCaseNo,0))),"")</f>
        <v/>
      </c>
      <c r="H54" s="30" t="n"/>
      <c r="I54" s="31" t="n"/>
      <c r="J54" s="44">
        <f>IF(C54="","",C54-TODAY())</f>
        <v/>
      </c>
      <c r="K54" s="45">
        <f>IF(A54="","",IF(AND(H54="",C54&lt;TODAY()),"Overdue",IF(H54="","Upcoming",IF(H54="Held as Scheduled","Held",IF(H54="Cancelled","Cancelled",IF(H54="Submitted for Resolution","Cleared","Postponed"))))))</f>
        <v/>
      </c>
      <c r="L54" s="32" t="n"/>
    </row>
    <row r="55" ht="26" customHeight="1">
      <c r="A55" s="30" t="n"/>
      <c r="B55" s="43">
        <f>IFERROR(IF($A55="","",INDEX(RegTitle,MATCH($A55,RegCaseNo,0))),"Case no. not found")</f>
        <v/>
      </c>
      <c r="C55" s="31" t="n"/>
      <c r="D55" s="30" t="n"/>
      <c r="E55" s="30" t="n"/>
      <c r="F55" s="43">
        <f>IFERROR(IF($A55="","",INDEX(RegCourt,MATCH($A55,RegCaseNo,0))),"")</f>
        <v/>
      </c>
      <c r="G55" s="43">
        <f>IFERROR(IF($A55="","",INDEX(RegPersonnel,MATCH($A55,RegCaseNo,0))),"")</f>
        <v/>
      </c>
      <c r="H55" s="30" t="n"/>
      <c r="I55" s="31" t="n"/>
      <c r="J55" s="44">
        <f>IF(C55="","",C55-TODAY())</f>
        <v/>
      </c>
      <c r="K55" s="45">
        <f>IF(A55="","",IF(AND(H55="",C55&lt;TODAY()),"Overdue",IF(H55="","Upcoming",IF(H55="Held as Scheduled","Held",IF(H55="Cancelled","Cancelled",IF(H55="Submitted for Resolution","Cleared","Postponed"))))))</f>
        <v/>
      </c>
      <c r="L55" s="32" t="n"/>
    </row>
    <row r="56" ht="26" customHeight="1">
      <c r="A56" s="30" t="n"/>
      <c r="B56" s="43">
        <f>IFERROR(IF($A56="","",INDEX(RegTitle,MATCH($A56,RegCaseNo,0))),"Case no. not found")</f>
        <v/>
      </c>
      <c r="C56" s="31" t="n"/>
      <c r="D56" s="30" t="n"/>
      <c r="E56" s="30" t="n"/>
      <c r="F56" s="43">
        <f>IFERROR(IF($A56="","",INDEX(RegCourt,MATCH($A56,RegCaseNo,0))),"")</f>
        <v/>
      </c>
      <c r="G56" s="43">
        <f>IFERROR(IF($A56="","",INDEX(RegPersonnel,MATCH($A56,RegCaseNo,0))),"")</f>
        <v/>
      </c>
      <c r="H56" s="30" t="n"/>
      <c r="I56" s="31" t="n"/>
      <c r="J56" s="44">
        <f>IF(C56="","",C56-TODAY())</f>
        <v/>
      </c>
      <c r="K56" s="45">
        <f>IF(A56="","",IF(AND(H56="",C56&lt;TODAY()),"Overdue",IF(H56="","Upcoming",IF(H56="Held as Scheduled","Held",IF(H56="Cancelled","Cancelled",IF(H56="Submitted for Resolution","Cleared","Postponed"))))))</f>
        <v/>
      </c>
      <c r="L56" s="32" t="n"/>
    </row>
    <row r="57" ht="26" customHeight="1">
      <c r="A57" s="30" t="n"/>
      <c r="B57" s="43">
        <f>IFERROR(IF($A57="","",INDEX(RegTitle,MATCH($A57,RegCaseNo,0))),"Case no. not found")</f>
        <v/>
      </c>
      <c r="C57" s="31" t="n"/>
      <c r="D57" s="30" t="n"/>
      <c r="E57" s="30" t="n"/>
      <c r="F57" s="43">
        <f>IFERROR(IF($A57="","",INDEX(RegCourt,MATCH($A57,RegCaseNo,0))),"")</f>
        <v/>
      </c>
      <c r="G57" s="43">
        <f>IFERROR(IF($A57="","",INDEX(RegPersonnel,MATCH($A57,RegCaseNo,0))),"")</f>
        <v/>
      </c>
      <c r="H57" s="30" t="n"/>
      <c r="I57" s="31" t="n"/>
      <c r="J57" s="44">
        <f>IF(C57="","",C57-TODAY())</f>
        <v/>
      </c>
      <c r="K57" s="45">
        <f>IF(A57="","",IF(AND(H57="",C57&lt;TODAY()),"Overdue",IF(H57="","Upcoming",IF(H57="Held as Scheduled","Held",IF(H57="Cancelled","Cancelled",IF(H57="Submitted for Resolution","Cleared","Postponed"))))))</f>
        <v/>
      </c>
      <c r="L57" s="32" t="n"/>
    </row>
    <row r="58" ht="26" customHeight="1">
      <c r="A58" s="30" t="n"/>
      <c r="B58" s="43">
        <f>IFERROR(IF($A58="","",INDEX(RegTitle,MATCH($A58,RegCaseNo,0))),"Case no. not found")</f>
        <v/>
      </c>
      <c r="C58" s="31" t="n"/>
      <c r="D58" s="30" t="n"/>
      <c r="E58" s="30" t="n"/>
      <c r="F58" s="43">
        <f>IFERROR(IF($A58="","",INDEX(RegCourt,MATCH($A58,RegCaseNo,0))),"")</f>
        <v/>
      </c>
      <c r="G58" s="43">
        <f>IFERROR(IF($A58="","",INDEX(RegPersonnel,MATCH($A58,RegCaseNo,0))),"")</f>
        <v/>
      </c>
      <c r="H58" s="30" t="n"/>
      <c r="I58" s="31" t="n"/>
      <c r="J58" s="44">
        <f>IF(C58="","",C58-TODAY())</f>
        <v/>
      </c>
      <c r="K58" s="45">
        <f>IF(A58="","",IF(AND(H58="",C58&lt;TODAY()),"Overdue",IF(H58="","Upcoming",IF(H58="Held as Scheduled","Held",IF(H58="Cancelled","Cancelled",IF(H58="Submitted for Resolution","Cleared","Postponed"))))))</f>
        <v/>
      </c>
      <c r="L58" s="32" t="n"/>
    </row>
    <row r="59" ht="26" customHeight="1">
      <c r="A59" s="30" t="n"/>
      <c r="B59" s="43">
        <f>IFERROR(IF($A59="","",INDEX(RegTitle,MATCH($A59,RegCaseNo,0))),"Case no. not found")</f>
        <v/>
      </c>
      <c r="C59" s="31" t="n"/>
      <c r="D59" s="30" t="n"/>
      <c r="E59" s="30" t="n"/>
      <c r="F59" s="43">
        <f>IFERROR(IF($A59="","",INDEX(RegCourt,MATCH($A59,RegCaseNo,0))),"")</f>
        <v/>
      </c>
      <c r="G59" s="43">
        <f>IFERROR(IF($A59="","",INDEX(RegPersonnel,MATCH($A59,RegCaseNo,0))),"")</f>
        <v/>
      </c>
      <c r="H59" s="30" t="n"/>
      <c r="I59" s="31" t="n"/>
      <c r="J59" s="44">
        <f>IF(C59="","",C59-TODAY())</f>
        <v/>
      </c>
      <c r="K59" s="45">
        <f>IF(A59="","",IF(AND(H59="",C59&lt;TODAY()),"Overdue",IF(H59="","Upcoming",IF(H59="Held as Scheduled","Held",IF(H59="Cancelled","Cancelled",IF(H59="Submitted for Resolution","Cleared","Postponed"))))))</f>
        <v/>
      </c>
      <c r="L59" s="32" t="n"/>
    </row>
    <row r="60" ht="26" customHeight="1">
      <c r="A60" s="30" t="n"/>
      <c r="B60" s="43">
        <f>IFERROR(IF($A60="","",INDEX(RegTitle,MATCH($A60,RegCaseNo,0))),"Case no. not found")</f>
        <v/>
      </c>
      <c r="C60" s="31" t="n"/>
      <c r="D60" s="30" t="n"/>
      <c r="E60" s="30" t="n"/>
      <c r="F60" s="43">
        <f>IFERROR(IF($A60="","",INDEX(RegCourt,MATCH($A60,RegCaseNo,0))),"")</f>
        <v/>
      </c>
      <c r="G60" s="43">
        <f>IFERROR(IF($A60="","",INDEX(RegPersonnel,MATCH($A60,RegCaseNo,0))),"")</f>
        <v/>
      </c>
      <c r="H60" s="30" t="n"/>
      <c r="I60" s="31" t="n"/>
      <c r="J60" s="44">
        <f>IF(C60="","",C60-TODAY())</f>
        <v/>
      </c>
      <c r="K60" s="45">
        <f>IF(A60="","",IF(AND(H60="",C60&lt;TODAY()),"Overdue",IF(H60="","Upcoming",IF(H60="Held as Scheduled","Held",IF(H60="Cancelled","Cancelled",IF(H60="Submitted for Resolution","Cleared","Postponed"))))))</f>
        <v/>
      </c>
      <c r="L60" s="32" t="n"/>
    </row>
    <row r="61" ht="26" customHeight="1">
      <c r="A61" s="30" t="n"/>
      <c r="B61" s="43">
        <f>IFERROR(IF($A61="","",INDEX(RegTitle,MATCH($A61,RegCaseNo,0))),"Case no. not found")</f>
        <v/>
      </c>
      <c r="C61" s="31" t="n"/>
      <c r="D61" s="30" t="n"/>
      <c r="E61" s="30" t="n"/>
      <c r="F61" s="43">
        <f>IFERROR(IF($A61="","",INDEX(RegCourt,MATCH($A61,RegCaseNo,0))),"")</f>
        <v/>
      </c>
      <c r="G61" s="43">
        <f>IFERROR(IF($A61="","",INDEX(RegPersonnel,MATCH($A61,RegCaseNo,0))),"")</f>
        <v/>
      </c>
      <c r="H61" s="30" t="n"/>
      <c r="I61" s="31" t="n"/>
      <c r="J61" s="44">
        <f>IF(C61="","",C61-TODAY())</f>
        <v/>
      </c>
      <c r="K61" s="45">
        <f>IF(A61="","",IF(AND(H61="",C61&lt;TODAY()),"Overdue",IF(H61="","Upcoming",IF(H61="Held as Scheduled","Held",IF(H61="Cancelled","Cancelled",IF(H61="Submitted for Resolution","Cleared","Postponed"))))))</f>
        <v/>
      </c>
      <c r="L61" s="32" t="n"/>
    </row>
    <row r="62" ht="26" customHeight="1">
      <c r="A62" s="30" t="n"/>
      <c r="B62" s="43">
        <f>IFERROR(IF($A62="","",INDEX(RegTitle,MATCH($A62,RegCaseNo,0))),"Case no. not found")</f>
        <v/>
      </c>
      <c r="C62" s="31" t="n"/>
      <c r="D62" s="30" t="n"/>
      <c r="E62" s="30" t="n"/>
      <c r="F62" s="43">
        <f>IFERROR(IF($A62="","",INDEX(RegCourt,MATCH($A62,RegCaseNo,0))),"")</f>
        <v/>
      </c>
      <c r="G62" s="43">
        <f>IFERROR(IF($A62="","",INDEX(RegPersonnel,MATCH($A62,RegCaseNo,0))),"")</f>
        <v/>
      </c>
      <c r="H62" s="30" t="n"/>
      <c r="I62" s="31" t="n"/>
      <c r="J62" s="44">
        <f>IF(C62="","",C62-TODAY())</f>
        <v/>
      </c>
      <c r="K62" s="45">
        <f>IF(A62="","",IF(AND(H62="",C62&lt;TODAY()),"Overdue",IF(H62="","Upcoming",IF(H62="Held as Scheduled","Held",IF(H62="Cancelled","Cancelled",IF(H62="Submitted for Resolution","Cleared","Postponed"))))))</f>
        <v/>
      </c>
      <c r="L62" s="32" t="n"/>
    </row>
    <row r="63" ht="26" customHeight="1">
      <c r="A63" s="30" t="n"/>
      <c r="B63" s="43">
        <f>IFERROR(IF($A63="","",INDEX(RegTitle,MATCH($A63,RegCaseNo,0))),"Case no. not found")</f>
        <v/>
      </c>
      <c r="C63" s="31" t="n"/>
      <c r="D63" s="30" t="n"/>
      <c r="E63" s="30" t="n"/>
      <c r="F63" s="43">
        <f>IFERROR(IF($A63="","",INDEX(RegCourt,MATCH($A63,RegCaseNo,0))),"")</f>
        <v/>
      </c>
      <c r="G63" s="43">
        <f>IFERROR(IF($A63="","",INDEX(RegPersonnel,MATCH($A63,RegCaseNo,0))),"")</f>
        <v/>
      </c>
      <c r="H63" s="30" t="n"/>
      <c r="I63" s="31" t="n"/>
      <c r="J63" s="44">
        <f>IF(C63="","",C63-TODAY())</f>
        <v/>
      </c>
      <c r="K63" s="45">
        <f>IF(A63="","",IF(AND(H63="",C63&lt;TODAY()),"Overdue",IF(H63="","Upcoming",IF(H63="Held as Scheduled","Held",IF(H63="Cancelled","Cancelled",IF(H63="Submitted for Resolution","Cleared","Postponed"))))))</f>
        <v/>
      </c>
      <c r="L63" s="32" t="n"/>
    </row>
    <row r="64" ht="26" customHeight="1">
      <c r="A64" s="30" t="n"/>
      <c r="B64" s="43">
        <f>IFERROR(IF($A64="","",INDEX(RegTitle,MATCH($A64,RegCaseNo,0))),"Case no. not found")</f>
        <v/>
      </c>
      <c r="C64" s="31" t="n"/>
      <c r="D64" s="30" t="n"/>
      <c r="E64" s="30" t="n"/>
      <c r="F64" s="43">
        <f>IFERROR(IF($A64="","",INDEX(RegCourt,MATCH($A64,RegCaseNo,0))),"")</f>
        <v/>
      </c>
      <c r="G64" s="43">
        <f>IFERROR(IF($A64="","",INDEX(RegPersonnel,MATCH($A64,RegCaseNo,0))),"")</f>
        <v/>
      </c>
      <c r="H64" s="30" t="n"/>
      <c r="I64" s="31" t="n"/>
      <c r="J64" s="44">
        <f>IF(C64="","",C64-TODAY())</f>
        <v/>
      </c>
      <c r="K64" s="45">
        <f>IF(A64="","",IF(AND(H64="",C64&lt;TODAY()),"Overdue",IF(H64="","Upcoming",IF(H64="Held as Scheduled","Held",IF(H64="Cancelled","Cancelled",IF(H64="Submitted for Resolution","Cleared","Postponed"))))))</f>
        <v/>
      </c>
      <c r="L64" s="32" t="n"/>
    </row>
    <row r="65" ht="26" customHeight="1">
      <c r="A65" s="30" t="n"/>
      <c r="B65" s="43">
        <f>IFERROR(IF($A65="","",INDEX(RegTitle,MATCH($A65,RegCaseNo,0))),"Case no. not found")</f>
        <v/>
      </c>
      <c r="C65" s="31" t="n"/>
      <c r="D65" s="30" t="n"/>
      <c r="E65" s="30" t="n"/>
      <c r="F65" s="43">
        <f>IFERROR(IF($A65="","",INDEX(RegCourt,MATCH($A65,RegCaseNo,0))),"")</f>
        <v/>
      </c>
      <c r="G65" s="43">
        <f>IFERROR(IF($A65="","",INDEX(RegPersonnel,MATCH($A65,RegCaseNo,0))),"")</f>
        <v/>
      </c>
      <c r="H65" s="30" t="n"/>
      <c r="I65" s="31" t="n"/>
      <c r="J65" s="44">
        <f>IF(C65="","",C65-TODAY())</f>
        <v/>
      </c>
      <c r="K65" s="45">
        <f>IF(A65="","",IF(AND(H65="",C65&lt;TODAY()),"Overdue",IF(H65="","Upcoming",IF(H65="Held as Scheduled","Held",IF(H65="Cancelled","Cancelled",IF(H65="Submitted for Resolution","Cleared","Postponed"))))))</f>
        <v/>
      </c>
      <c r="L65" s="32" t="n"/>
    </row>
    <row r="66" ht="26" customHeight="1">
      <c r="A66" s="30" t="n"/>
      <c r="B66" s="43">
        <f>IFERROR(IF($A66="","",INDEX(RegTitle,MATCH($A66,RegCaseNo,0))),"Case no. not found")</f>
        <v/>
      </c>
      <c r="C66" s="31" t="n"/>
      <c r="D66" s="30" t="n"/>
      <c r="E66" s="30" t="n"/>
      <c r="F66" s="43">
        <f>IFERROR(IF($A66="","",INDEX(RegCourt,MATCH($A66,RegCaseNo,0))),"")</f>
        <v/>
      </c>
      <c r="G66" s="43">
        <f>IFERROR(IF($A66="","",INDEX(RegPersonnel,MATCH($A66,RegCaseNo,0))),"")</f>
        <v/>
      </c>
      <c r="H66" s="30" t="n"/>
      <c r="I66" s="31" t="n"/>
      <c r="J66" s="44">
        <f>IF(C66="","",C66-TODAY())</f>
        <v/>
      </c>
      <c r="K66" s="45">
        <f>IF(A66="","",IF(AND(H66="",C66&lt;TODAY()),"Overdue",IF(H66="","Upcoming",IF(H66="Held as Scheduled","Held",IF(H66="Cancelled","Cancelled",IF(H66="Submitted for Resolution","Cleared","Postponed"))))))</f>
        <v/>
      </c>
      <c r="L66" s="32" t="n"/>
    </row>
    <row r="67" ht="26" customHeight="1">
      <c r="A67" s="30" t="n"/>
      <c r="B67" s="43">
        <f>IFERROR(IF($A67="","",INDEX(RegTitle,MATCH($A67,RegCaseNo,0))),"Case no. not found")</f>
        <v/>
      </c>
      <c r="C67" s="31" t="n"/>
      <c r="D67" s="30" t="n"/>
      <c r="E67" s="30" t="n"/>
      <c r="F67" s="43">
        <f>IFERROR(IF($A67="","",INDEX(RegCourt,MATCH($A67,RegCaseNo,0))),"")</f>
        <v/>
      </c>
      <c r="G67" s="43">
        <f>IFERROR(IF($A67="","",INDEX(RegPersonnel,MATCH($A67,RegCaseNo,0))),"")</f>
        <v/>
      </c>
      <c r="H67" s="30" t="n"/>
      <c r="I67" s="31" t="n"/>
      <c r="J67" s="44">
        <f>IF(C67="","",C67-TODAY())</f>
        <v/>
      </c>
      <c r="K67" s="45">
        <f>IF(A67="","",IF(AND(H67="",C67&lt;TODAY()),"Overdue",IF(H67="","Upcoming",IF(H67="Held as Scheduled","Held",IF(H67="Cancelled","Cancelled",IF(H67="Submitted for Resolution","Cleared","Postponed"))))))</f>
        <v/>
      </c>
      <c r="L67" s="32" t="n"/>
    </row>
    <row r="68" ht="26" customHeight="1">
      <c r="A68" s="30" t="n"/>
      <c r="B68" s="43">
        <f>IFERROR(IF($A68="","",INDEX(RegTitle,MATCH($A68,RegCaseNo,0))),"Case no. not found")</f>
        <v/>
      </c>
      <c r="C68" s="31" t="n"/>
      <c r="D68" s="30" t="n"/>
      <c r="E68" s="30" t="n"/>
      <c r="F68" s="43">
        <f>IFERROR(IF($A68="","",INDEX(RegCourt,MATCH($A68,RegCaseNo,0))),"")</f>
        <v/>
      </c>
      <c r="G68" s="43">
        <f>IFERROR(IF($A68="","",INDEX(RegPersonnel,MATCH($A68,RegCaseNo,0))),"")</f>
        <v/>
      </c>
      <c r="H68" s="30" t="n"/>
      <c r="I68" s="31" t="n"/>
      <c r="J68" s="44">
        <f>IF(C68="","",C68-TODAY())</f>
        <v/>
      </c>
      <c r="K68" s="45">
        <f>IF(A68="","",IF(AND(H68="",C68&lt;TODAY()),"Overdue",IF(H68="","Upcoming",IF(H68="Held as Scheduled","Held",IF(H68="Cancelled","Cancelled",IF(H68="Submitted for Resolution","Cleared","Postponed"))))))</f>
        <v/>
      </c>
      <c r="L68" s="32" t="n"/>
    </row>
    <row r="69" ht="26" customHeight="1">
      <c r="A69" s="30" t="n"/>
      <c r="B69" s="43">
        <f>IFERROR(IF($A69="","",INDEX(RegTitle,MATCH($A69,RegCaseNo,0))),"Case no. not found")</f>
        <v/>
      </c>
      <c r="C69" s="31" t="n"/>
      <c r="D69" s="30" t="n"/>
      <c r="E69" s="30" t="n"/>
      <c r="F69" s="43">
        <f>IFERROR(IF($A69="","",INDEX(RegCourt,MATCH($A69,RegCaseNo,0))),"")</f>
        <v/>
      </c>
      <c r="G69" s="43">
        <f>IFERROR(IF($A69="","",INDEX(RegPersonnel,MATCH($A69,RegCaseNo,0))),"")</f>
        <v/>
      </c>
      <c r="H69" s="30" t="n"/>
      <c r="I69" s="31" t="n"/>
      <c r="J69" s="44">
        <f>IF(C69="","",C69-TODAY())</f>
        <v/>
      </c>
      <c r="K69" s="45">
        <f>IF(A69="","",IF(AND(H69="",C69&lt;TODAY()),"Overdue",IF(H69="","Upcoming",IF(H69="Held as Scheduled","Held",IF(H69="Cancelled","Cancelled",IF(H69="Submitted for Resolution","Cleared","Postponed"))))))</f>
        <v/>
      </c>
      <c r="L69" s="32" t="n"/>
    </row>
    <row r="70" ht="26" customHeight="1">
      <c r="A70" s="30" t="n"/>
      <c r="B70" s="43">
        <f>IFERROR(IF($A70="","",INDEX(RegTitle,MATCH($A70,RegCaseNo,0))),"Case no. not found")</f>
        <v/>
      </c>
      <c r="C70" s="31" t="n"/>
      <c r="D70" s="30" t="n"/>
      <c r="E70" s="30" t="n"/>
      <c r="F70" s="43">
        <f>IFERROR(IF($A70="","",INDEX(RegCourt,MATCH($A70,RegCaseNo,0))),"")</f>
        <v/>
      </c>
      <c r="G70" s="43">
        <f>IFERROR(IF($A70="","",INDEX(RegPersonnel,MATCH($A70,RegCaseNo,0))),"")</f>
        <v/>
      </c>
      <c r="H70" s="30" t="n"/>
      <c r="I70" s="31" t="n"/>
      <c r="J70" s="44">
        <f>IF(C70="","",C70-TODAY())</f>
        <v/>
      </c>
      <c r="K70" s="45">
        <f>IF(A70="","",IF(AND(H70="",C70&lt;TODAY()),"Overdue",IF(H70="","Upcoming",IF(H70="Held as Scheduled","Held",IF(H70="Cancelled","Cancelled",IF(H70="Submitted for Resolution","Cleared","Postponed"))))))</f>
        <v/>
      </c>
      <c r="L70" s="32" t="n"/>
    </row>
    <row r="71" ht="26" customHeight="1">
      <c r="A71" s="30" t="n"/>
      <c r="B71" s="43">
        <f>IFERROR(IF($A71="","",INDEX(RegTitle,MATCH($A71,RegCaseNo,0))),"Case no. not found")</f>
        <v/>
      </c>
      <c r="C71" s="31" t="n"/>
      <c r="D71" s="30" t="n"/>
      <c r="E71" s="30" t="n"/>
      <c r="F71" s="43">
        <f>IFERROR(IF($A71="","",INDEX(RegCourt,MATCH($A71,RegCaseNo,0))),"")</f>
        <v/>
      </c>
      <c r="G71" s="43">
        <f>IFERROR(IF($A71="","",INDEX(RegPersonnel,MATCH($A71,RegCaseNo,0))),"")</f>
        <v/>
      </c>
      <c r="H71" s="30" t="n"/>
      <c r="I71" s="31" t="n"/>
      <c r="J71" s="44">
        <f>IF(C71="","",C71-TODAY())</f>
        <v/>
      </c>
      <c r="K71" s="45">
        <f>IF(A71="","",IF(AND(H71="",C71&lt;TODAY()),"Overdue",IF(H71="","Upcoming",IF(H71="Held as Scheduled","Held",IF(H71="Cancelled","Cancelled",IF(H71="Submitted for Resolution","Cleared","Postponed"))))))</f>
        <v/>
      </c>
      <c r="L71" s="32" t="n"/>
    </row>
    <row r="72" ht="26" customHeight="1">
      <c r="A72" s="30" t="n"/>
      <c r="B72" s="43">
        <f>IFERROR(IF($A72="","",INDEX(RegTitle,MATCH($A72,RegCaseNo,0))),"Case no. not found")</f>
        <v/>
      </c>
      <c r="C72" s="31" t="n"/>
      <c r="D72" s="30" t="n"/>
      <c r="E72" s="30" t="n"/>
      <c r="F72" s="43">
        <f>IFERROR(IF($A72="","",INDEX(RegCourt,MATCH($A72,RegCaseNo,0))),"")</f>
        <v/>
      </c>
      <c r="G72" s="43">
        <f>IFERROR(IF($A72="","",INDEX(RegPersonnel,MATCH($A72,RegCaseNo,0))),"")</f>
        <v/>
      </c>
      <c r="H72" s="30" t="n"/>
      <c r="I72" s="31" t="n"/>
      <c r="J72" s="44">
        <f>IF(C72="","",C72-TODAY())</f>
        <v/>
      </c>
      <c r="K72" s="45">
        <f>IF(A72="","",IF(AND(H72="",C72&lt;TODAY()),"Overdue",IF(H72="","Upcoming",IF(H72="Held as Scheduled","Held",IF(H72="Cancelled","Cancelled",IF(H72="Submitted for Resolution","Cleared","Postponed"))))))</f>
        <v/>
      </c>
      <c r="L72" s="32" t="n"/>
    </row>
    <row r="73" ht="26" customHeight="1">
      <c r="A73" s="30" t="n"/>
      <c r="B73" s="43">
        <f>IFERROR(IF($A73="","",INDEX(RegTitle,MATCH($A73,RegCaseNo,0))),"Case no. not found")</f>
        <v/>
      </c>
      <c r="C73" s="31" t="n"/>
      <c r="D73" s="30" t="n"/>
      <c r="E73" s="30" t="n"/>
      <c r="F73" s="43">
        <f>IFERROR(IF($A73="","",INDEX(RegCourt,MATCH($A73,RegCaseNo,0))),"")</f>
        <v/>
      </c>
      <c r="G73" s="43">
        <f>IFERROR(IF($A73="","",INDEX(RegPersonnel,MATCH($A73,RegCaseNo,0))),"")</f>
        <v/>
      </c>
      <c r="H73" s="30" t="n"/>
      <c r="I73" s="31" t="n"/>
      <c r="J73" s="44">
        <f>IF(C73="","",C73-TODAY())</f>
        <v/>
      </c>
      <c r="K73" s="45">
        <f>IF(A73="","",IF(AND(H73="",C73&lt;TODAY()),"Overdue",IF(H73="","Upcoming",IF(H73="Held as Scheduled","Held",IF(H73="Cancelled","Cancelled",IF(H73="Submitted for Resolution","Cleared","Postponed"))))))</f>
        <v/>
      </c>
      <c r="L73" s="32" t="n"/>
    </row>
    <row r="74" ht="26" customHeight="1">
      <c r="A74" s="30" t="n"/>
      <c r="B74" s="43">
        <f>IFERROR(IF($A74="","",INDEX(RegTitle,MATCH($A74,RegCaseNo,0))),"Case no. not found")</f>
        <v/>
      </c>
      <c r="C74" s="31" t="n"/>
      <c r="D74" s="30" t="n"/>
      <c r="E74" s="30" t="n"/>
      <c r="F74" s="43">
        <f>IFERROR(IF($A74="","",INDEX(RegCourt,MATCH($A74,RegCaseNo,0))),"")</f>
        <v/>
      </c>
      <c r="G74" s="43">
        <f>IFERROR(IF($A74="","",INDEX(RegPersonnel,MATCH($A74,RegCaseNo,0))),"")</f>
        <v/>
      </c>
      <c r="H74" s="30" t="n"/>
      <c r="I74" s="31" t="n"/>
      <c r="J74" s="44">
        <f>IF(C74="","",C74-TODAY())</f>
        <v/>
      </c>
      <c r="K74" s="45">
        <f>IF(A74="","",IF(AND(H74="",C74&lt;TODAY()),"Overdue",IF(H74="","Upcoming",IF(H74="Held as Scheduled","Held",IF(H74="Cancelled","Cancelled",IF(H74="Submitted for Resolution","Cleared","Postponed"))))))</f>
        <v/>
      </c>
      <c r="L74" s="32" t="n"/>
    </row>
    <row r="75" ht="26" customHeight="1">
      <c r="A75" s="30" t="n"/>
      <c r="B75" s="43">
        <f>IFERROR(IF($A75="","",INDEX(RegTitle,MATCH($A75,RegCaseNo,0))),"Case no. not found")</f>
        <v/>
      </c>
      <c r="C75" s="31" t="n"/>
      <c r="D75" s="30" t="n"/>
      <c r="E75" s="30" t="n"/>
      <c r="F75" s="43">
        <f>IFERROR(IF($A75="","",INDEX(RegCourt,MATCH($A75,RegCaseNo,0))),"")</f>
        <v/>
      </c>
      <c r="G75" s="43">
        <f>IFERROR(IF($A75="","",INDEX(RegPersonnel,MATCH($A75,RegCaseNo,0))),"")</f>
        <v/>
      </c>
      <c r="H75" s="30" t="n"/>
      <c r="I75" s="31" t="n"/>
      <c r="J75" s="44">
        <f>IF(C75="","",C75-TODAY())</f>
        <v/>
      </c>
      <c r="K75" s="45">
        <f>IF(A75="","",IF(AND(H75="",C75&lt;TODAY()),"Overdue",IF(H75="","Upcoming",IF(H75="Held as Scheduled","Held",IF(H75="Cancelled","Cancelled",IF(H75="Submitted for Resolution","Cleared","Postponed"))))))</f>
        <v/>
      </c>
      <c r="L75" s="32" t="n"/>
    </row>
    <row r="76" ht="26" customHeight="1">
      <c r="A76" s="30" t="n"/>
      <c r="B76" s="43">
        <f>IFERROR(IF($A76="","",INDEX(RegTitle,MATCH($A76,RegCaseNo,0))),"Case no. not found")</f>
        <v/>
      </c>
      <c r="C76" s="31" t="n"/>
      <c r="D76" s="30" t="n"/>
      <c r="E76" s="30" t="n"/>
      <c r="F76" s="43">
        <f>IFERROR(IF($A76="","",INDEX(RegCourt,MATCH($A76,RegCaseNo,0))),"")</f>
        <v/>
      </c>
      <c r="G76" s="43">
        <f>IFERROR(IF($A76="","",INDEX(RegPersonnel,MATCH($A76,RegCaseNo,0))),"")</f>
        <v/>
      </c>
      <c r="H76" s="30" t="n"/>
      <c r="I76" s="31" t="n"/>
      <c r="J76" s="44">
        <f>IF(C76="","",C76-TODAY())</f>
        <v/>
      </c>
      <c r="K76" s="45">
        <f>IF(A76="","",IF(AND(H76="",C76&lt;TODAY()),"Overdue",IF(H76="","Upcoming",IF(H76="Held as Scheduled","Held",IF(H76="Cancelled","Cancelled",IF(H76="Submitted for Resolution","Cleared","Postponed"))))))</f>
        <v/>
      </c>
      <c r="L76" s="32" t="n"/>
    </row>
    <row r="77" ht="26" customHeight="1">
      <c r="A77" s="30" t="n"/>
      <c r="B77" s="43">
        <f>IFERROR(IF($A77="","",INDEX(RegTitle,MATCH($A77,RegCaseNo,0))),"Case no. not found")</f>
        <v/>
      </c>
      <c r="C77" s="31" t="n"/>
      <c r="D77" s="30" t="n"/>
      <c r="E77" s="30" t="n"/>
      <c r="F77" s="43">
        <f>IFERROR(IF($A77="","",INDEX(RegCourt,MATCH($A77,RegCaseNo,0))),"")</f>
        <v/>
      </c>
      <c r="G77" s="43">
        <f>IFERROR(IF($A77="","",INDEX(RegPersonnel,MATCH($A77,RegCaseNo,0))),"")</f>
        <v/>
      </c>
      <c r="H77" s="30" t="n"/>
      <c r="I77" s="31" t="n"/>
      <c r="J77" s="44">
        <f>IF(C77="","",C77-TODAY())</f>
        <v/>
      </c>
      <c r="K77" s="45">
        <f>IF(A77="","",IF(AND(H77="",C77&lt;TODAY()),"Overdue",IF(H77="","Upcoming",IF(H77="Held as Scheduled","Held",IF(H77="Cancelled","Cancelled",IF(H77="Submitted for Resolution","Cleared","Postponed"))))))</f>
        <v/>
      </c>
      <c r="L77" s="32" t="n"/>
    </row>
    <row r="78" ht="26" customHeight="1">
      <c r="A78" s="30" t="n"/>
      <c r="B78" s="43">
        <f>IFERROR(IF($A78="","",INDEX(RegTitle,MATCH($A78,RegCaseNo,0))),"Case no. not found")</f>
        <v/>
      </c>
      <c r="C78" s="31" t="n"/>
      <c r="D78" s="30" t="n"/>
      <c r="E78" s="30" t="n"/>
      <c r="F78" s="43">
        <f>IFERROR(IF($A78="","",INDEX(RegCourt,MATCH($A78,RegCaseNo,0))),"")</f>
        <v/>
      </c>
      <c r="G78" s="43">
        <f>IFERROR(IF($A78="","",INDEX(RegPersonnel,MATCH($A78,RegCaseNo,0))),"")</f>
        <v/>
      </c>
      <c r="H78" s="30" t="n"/>
      <c r="I78" s="31" t="n"/>
      <c r="J78" s="44">
        <f>IF(C78="","",C78-TODAY())</f>
        <v/>
      </c>
      <c r="K78" s="45">
        <f>IF(A78="","",IF(AND(H78="",C78&lt;TODAY()),"Overdue",IF(H78="","Upcoming",IF(H78="Held as Scheduled","Held",IF(H78="Cancelled","Cancelled",IF(H78="Submitted for Resolution","Cleared","Postponed"))))))</f>
        <v/>
      </c>
      <c r="L78" s="32" t="n"/>
    </row>
    <row r="79" ht="26" customHeight="1">
      <c r="A79" s="30" t="n"/>
      <c r="B79" s="43">
        <f>IFERROR(IF($A79="","",INDEX(RegTitle,MATCH($A79,RegCaseNo,0))),"Case no. not found")</f>
        <v/>
      </c>
      <c r="C79" s="31" t="n"/>
      <c r="D79" s="30" t="n"/>
      <c r="E79" s="30" t="n"/>
      <c r="F79" s="43">
        <f>IFERROR(IF($A79="","",INDEX(RegCourt,MATCH($A79,RegCaseNo,0))),"")</f>
        <v/>
      </c>
      <c r="G79" s="43">
        <f>IFERROR(IF($A79="","",INDEX(RegPersonnel,MATCH($A79,RegCaseNo,0))),"")</f>
        <v/>
      </c>
      <c r="H79" s="30" t="n"/>
      <c r="I79" s="31" t="n"/>
      <c r="J79" s="44">
        <f>IF(C79="","",C79-TODAY())</f>
        <v/>
      </c>
      <c r="K79" s="45">
        <f>IF(A79="","",IF(AND(H79="",C79&lt;TODAY()),"Overdue",IF(H79="","Upcoming",IF(H79="Held as Scheduled","Held",IF(H79="Cancelled","Cancelled",IF(H79="Submitted for Resolution","Cleared","Postponed"))))))</f>
        <v/>
      </c>
      <c r="L79" s="32" t="n"/>
    </row>
    <row r="80" ht="26" customHeight="1">
      <c r="A80" s="30" t="n"/>
      <c r="B80" s="43">
        <f>IFERROR(IF($A80="","",INDEX(RegTitle,MATCH($A80,RegCaseNo,0))),"Case no. not found")</f>
        <v/>
      </c>
      <c r="C80" s="31" t="n"/>
      <c r="D80" s="30" t="n"/>
      <c r="E80" s="30" t="n"/>
      <c r="F80" s="43">
        <f>IFERROR(IF($A80="","",INDEX(RegCourt,MATCH($A80,RegCaseNo,0))),"")</f>
        <v/>
      </c>
      <c r="G80" s="43">
        <f>IFERROR(IF($A80="","",INDEX(RegPersonnel,MATCH($A80,RegCaseNo,0))),"")</f>
        <v/>
      </c>
      <c r="H80" s="30" t="n"/>
      <c r="I80" s="31" t="n"/>
      <c r="J80" s="44">
        <f>IF(C80="","",C80-TODAY())</f>
        <v/>
      </c>
      <c r="K80" s="45">
        <f>IF(A80="","",IF(AND(H80="",C80&lt;TODAY()),"Overdue",IF(H80="","Upcoming",IF(H80="Held as Scheduled","Held",IF(H80="Cancelled","Cancelled",IF(H80="Submitted for Resolution","Cleared","Postponed"))))))</f>
        <v/>
      </c>
      <c r="L80" s="32" t="n"/>
    </row>
    <row r="81" ht="26" customHeight="1">
      <c r="A81" s="30" t="n"/>
      <c r="B81" s="43">
        <f>IFERROR(IF($A81="","",INDEX(RegTitle,MATCH($A81,RegCaseNo,0))),"Case no. not found")</f>
        <v/>
      </c>
      <c r="C81" s="31" t="n"/>
      <c r="D81" s="30" t="n"/>
      <c r="E81" s="30" t="n"/>
      <c r="F81" s="43">
        <f>IFERROR(IF($A81="","",INDEX(RegCourt,MATCH($A81,RegCaseNo,0))),"")</f>
        <v/>
      </c>
      <c r="G81" s="43">
        <f>IFERROR(IF($A81="","",INDEX(RegPersonnel,MATCH($A81,RegCaseNo,0))),"")</f>
        <v/>
      </c>
      <c r="H81" s="30" t="n"/>
      <c r="I81" s="31" t="n"/>
      <c r="J81" s="44">
        <f>IF(C81="","",C81-TODAY())</f>
        <v/>
      </c>
      <c r="K81" s="45">
        <f>IF(A81="","",IF(AND(H81="",C81&lt;TODAY()),"Overdue",IF(H81="","Upcoming",IF(H81="Held as Scheduled","Held",IF(H81="Cancelled","Cancelled",IF(H81="Submitted for Resolution","Cleared","Postponed"))))))</f>
        <v/>
      </c>
      <c r="L81" s="32" t="n"/>
    </row>
    <row r="82" ht="26" customHeight="1">
      <c r="A82" s="30" t="n"/>
      <c r="B82" s="43">
        <f>IFERROR(IF($A82="","",INDEX(RegTitle,MATCH($A82,RegCaseNo,0))),"Case no. not found")</f>
        <v/>
      </c>
      <c r="C82" s="31" t="n"/>
      <c r="D82" s="30" t="n"/>
      <c r="E82" s="30" t="n"/>
      <c r="F82" s="43">
        <f>IFERROR(IF($A82="","",INDEX(RegCourt,MATCH($A82,RegCaseNo,0))),"")</f>
        <v/>
      </c>
      <c r="G82" s="43">
        <f>IFERROR(IF($A82="","",INDEX(RegPersonnel,MATCH($A82,RegCaseNo,0))),"")</f>
        <v/>
      </c>
      <c r="H82" s="30" t="n"/>
      <c r="I82" s="31" t="n"/>
      <c r="J82" s="44">
        <f>IF(C82="","",C82-TODAY())</f>
        <v/>
      </c>
      <c r="K82" s="45">
        <f>IF(A82="","",IF(AND(H82="",C82&lt;TODAY()),"Overdue",IF(H82="","Upcoming",IF(H82="Held as Scheduled","Held",IF(H82="Cancelled","Cancelled",IF(H82="Submitted for Resolution","Cleared","Postponed"))))))</f>
        <v/>
      </c>
      <c r="L82" s="32" t="n"/>
    </row>
    <row r="83" ht="26" customHeight="1">
      <c r="A83" s="30" t="n"/>
      <c r="B83" s="43">
        <f>IFERROR(IF($A83="","",INDEX(RegTitle,MATCH($A83,RegCaseNo,0))),"Case no. not found")</f>
        <v/>
      </c>
      <c r="C83" s="31" t="n"/>
      <c r="D83" s="30" t="n"/>
      <c r="E83" s="30" t="n"/>
      <c r="F83" s="43">
        <f>IFERROR(IF($A83="","",INDEX(RegCourt,MATCH($A83,RegCaseNo,0))),"")</f>
        <v/>
      </c>
      <c r="G83" s="43">
        <f>IFERROR(IF($A83="","",INDEX(RegPersonnel,MATCH($A83,RegCaseNo,0))),"")</f>
        <v/>
      </c>
      <c r="H83" s="30" t="n"/>
      <c r="I83" s="31" t="n"/>
      <c r="J83" s="44">
        <f>IF(C83="","",C83-TODAY())</f>
        <v/>
      </c>
      <c r="K83" s="45">
        <f>IF(A83="","",IF(AND(H83="",C83&lt;TODAY()),"Overdue",IF(H83="","Upcoming",IF(H83="Held as Scheduled","Held",IF(H83="Cancelled","Cancelled",IF(H83="Submitted for Resolution","Cleared","Postponed"))))))</f>
        <v/>
      </c>
      <c r="L83" s="32" t="n"/>
    </row>
    <row r="84" ht="26" customHeight="1">
      <c r="A84" s="30" t="n"/>
      <c r="B84" s="43">
        <f>IFERROR(IF($A84="","",INDEX(RegTitle,MATCH($A84,RegCaseNo,0))),"Case no. not found")</f>
        <v/>
      </c>
      <c r="C84" s="31" t="n"/>
      <c r="D84" s="30" t="n"/>
      <c r="E84" s="30" t="n"/>
      <c r="F84" s="43">
        <f>IFERROR(IF($A84="","",INDEX(RegCourt,MATCH($A84,RegCaseNo,0))),"")</f>
        <v/>
      </c>
      <c r="G84" s="43">
        <f>IFERROR(IF($A84="","",INDEX(RegPersonnel,MATCH($A84,RegCaseNo,0))),"")</f>
        <v/>
      </c>
      <c r="H84" s="30" t="n"/>
      <c r="I84" s="31" t="n"/>
      <c r="J84" s="44">
        <f>IF(C84="","",C84-TODAY())</f>
        <v/>
      </c>
      <c r="K84" s="45">
        <f>IF(A84="","",IF(AND(H84="",C84&lt;TODAY()),"Overdue",IF(H84="","Upcoming",IF(H84="Held as Scheduled","Held",IF(H84="Cancelled","Cancelled",IF(H84="Submitted for Resolution","Cleared","Postponed"))))))</f>
        <v/>
      </c>
      <c r="L84" s="32" t="n"/>
    </row>
    <row r="85" ht="26" customHeight="1">
      <c r="A85" s="30" t="n"/>
      <c r="B85" s="43">
        <f>IFERROR(IF($A85="","",INDEX(RegTitle,MATCH($A85,RegCaseNo,0))),"Case no. not found")</f>
        <v/>
      </c>
      <c r="C85" s="31" t="n"/>
      <c r="D85" s="30" t="n"/>
      <c r="E85" s="30" t="n"/>
      <c r="F85" s="43">
        <f>IFERROR(IF($A85="","",INDEX(RegCourt,MATCH($A85,RegCaseNo,0))),"")</f>
        <v/>
      </c>
      <c r="G85" s="43">
        <f>IFERROR(IF($A85="","",INDEX(RegPersonnel,MATCH($A85,RegCaseNo,0))),"")</f>
        <v/>
      </c>
      <c r="H85" s="30" t="n"/>
      <c r="I85" s="31" t="n"/>
      <c r="J85" s="44">
        <f>IF(C85="","",C85-TODAY())</f>
        <v/>
      </c>
      <c r="K85" s="45">
        <f>IF(A85="","",IF(AND(H85="",C85&lt;TODAY()),"Overdue",IF(H85="","Upcoming",IF(H85="Held as Scheduled","Held",IF(H85="Cancelled","Cancelled",IF(H85="Submitted for Resolution","Cleared","Postponed"))))))</f>
        <v/>
      </c>
      <c r="L85" s="32" t="n"/>
    </row>
    <row r="86" ht="26" customHeight="1">
      <c r="A86" s="30" t="n"/>
      <c r="B86" s="43">
        <f>IFERROR(IF($A86="","",INDEX(RegTitle,MATCH($A86,RegCaseNo,0))),"Case no. not found")</f>
        <v/>
      </c>
      <c r="C86" s="31" t="n"/>
      <c r="D86" s="30" t="n"/>
      <c r="E86" s="30" t="n"/>
      <c r="F86" s="43">
        <f>IFERROR(IF($A86="","",INDEX(RegCourt,MATCH($A86,RegCaseNo,0))),"")</f>
        <v/>
      </c>
      <c r="G86" s="43">
        <f>IFERROR(IF($A86="","",INDEX(RegPersonnel,MATCH($A86,RegCaseNo,0))),"")</f>
        <v/>
      </c>
      <c r="H86" s="30" t="n"/>
      <c r="I86" s="31" t="n"/>
      <c r="J86" s="44">
        <f>IF(C86="","",C86-TODAY())</f>
        <v/>
      </c>
      <c r="K86" s="45">
        <f>IF(A86="","",IF(AND(H86="",C86&lt;TODAY()),"Overdue",IF(H86="","Upcoming",IF(H86="Held as Scheduled","Held",IF(H86="Cancelled","Cancelled",IF(H86="Submitted for Resolution","Cleared","Postponed"))))))</f>
        <v/>
      </c>
      <c r="L86" s="32" t="n"/>
    </row>
    <row r="87" ht="26" customHeight="1">
      <c r="A87" s="30" t="n"/>
      <c r="B87" s="43">
        <f>IFERROR(IF($A87="","",INDEX(RegTitle,MATCH($A87,RegCaseNo,0))),"Case no. not found")</f>
        <v/>
      </c>
      <c r="C87" s="31" t="n"/>
      <c r="D87" s="30" t="n"/>
      <c r="E87" s="30" t="n"/>
      <c r="F87" s="43">
        <f>IFERROR(IF($A87="","",INDEX(RegCourt,MATCH($A87,RegCaseNo,0))),"")</f>
        <v/>
      </c>
      <c r="G87" s="43">
        <f>IFERROR(IF($A87="","",INDEX(RegPersonnel,MATCH($A87,RegCaseNo,0))),"")</f>
        <v/>
      </c>
      <c r="H87" s="30" t="n"/>
      <c r="I87" s="31" t="n"/>
      <c r="J87" s="44">
        <f>IF(C87="","",C87-TODAY())</f>
        <v/>
      </c>
      <c r="K87" s="45">
        <f>IF(A87="","",IF(AND(H87="",C87&lt;TODAY()),"Overdue",IF(H87="","Upcoming",IF(H87="Held as Scheduled","Held",IF(H87="Cancelled","Cancelled",IF(H87="Submitted for Resolution","Cleared","Postponed"))))))</f>
        <v/>
      </c>
      <c r="L87" s="32" t="n"/>
    </row>
    <row r="88" ht="26" customHeight="1">
      <c r="A88" s="30" t="n"/>
      <c r="B88" s="43">
        <f>IFERROR(IF($A88="","",INDEX(RegTitle,MATCH($A88,RegCaseNo,0))),"Case no. not found")</f>
        <v/>
      </c>
      <c r="C88" s="31" t="n"/>
      <c r="D88" s="30" t="n"/>
      <c r="E88" s="30" t="n"/>
      <c r="F88" s="43">
        <f>IFERROR(IF($A88="","",INDEX(RegCourt,MATCH($A88,RegCaseNo,0))),"")</f>
        <v/>
      </c>
      <c r="G88" s="43">
        <f>IFERROR(IF($A88="","",INDEX(RegPersonnel,MATCH($A88,RegCaseNo,0))),"")</f>
        <v/>
      </c>
      <c r="H88" s="30" t="n"/>
      <c r="I88" s="31" t="n"/>
      <c r="J88" s="44">
        <f>IF(C88="","",C88-TODAY())</f>
        <v/>
      </c>
      <c r="K88" s="45">
        <f>IF(A88="","",IF(AND(H88="",C88&lt;TODAY()),"Overdue",IF(H88="","Upcoming",IF(H88="Held as Scheduled","Held",IF(H88="Cancelled","Cancelled",IF(H88="Submitted for Resolution","Cleared","Postponed"))))))</f>
        <v/>
      </c>
      <c r="L88" s="32" t="n"/>
    </row>
    <row r="89" ht="26" customHeight="1">
      <c r="A89" s="30" t="n"/>
      <c r="B89" s="43">
        <f>IFERROR(IF($A89="","",INDEX(RegTitle,MATCH($A89,RegCaseNo,0))),"Case no. not found")</f>
        <v/>
      </c>
      <c r="C89" s="31" t="n"/>
      <c r="D89" s="30" t="n"/>
      <c r="E89" s="30" t="n"/>
      <c r="F89" s="43">
        <f>IFERROR(IF($A89="","",INDEX(RegCourt,MATCH($A89,RegCaseNo,0))),"")</f>
        <v/>
      </c>
      <c r="G89" s="43">
        <f>IFERROR(IF($A89="","",INDEX(RegPersonnel,MATCH($A89,RegCaseNo,0))),"")</f>
        <v/>
      </c>
      <c r="H89" s="30" t="n"/>
      <c r="I89" s="31" t="n"/>
      <c r="J89" s="44">
        <f>IF(C89="","",C89-TODAY())</f>
        <v/>
      </c>
      <c r="K89" s="45">
        <f>IF(A89="","",IF(AND(H89="",C89&lt;TODAY()),"Overdue",IF(H89="","Upcoming",IF(H89="Held as Scheduled","Held",IF(H89="Cancelled","Cancelled",IF(H89="Submitted for Resolution","Cleared","Postponed"))))))</f>
        <v/>
      </c>
      <c r="L89" s="32" t="n"/>
    </row>
    <row r="90" ht="26" customHeight="1">
      <c r="A90" s="30" t="n"/>
      <c r="B90" s="43">
        <f>IFERROR(IF($A90="","",INDEX(RegTitle,MATCH($A90,RegCaseNo,0))),"Case no. not found")</f>
        <v/>
      </c>
      <c r="C90" s="31" t="n"/>
      <c r="D90" s="30" t="n"/>
      <c r="E90" s="30" t="n"/>
      <c r="F90" s="43">
        <f>IFERROR(IF($A90="","",INDEX(RegCourt,MATCH($A90,RegCaseNo,0))),"")</f>
        <v/>
      </c>
      <c r="G90" s="43">
        <f>IFERROR(IF($A90="","",INDEX(RegPersonnel,MATCH($A90,RegCaseNo,0))),"")</f>
        <v/>
      </c>
      <c r="H90" s="30" t="n"/>
      <c r="I90" s="31" t="n"/>
      <c r="J90" s="44">
        <f>IF(C90="","",C90-TODAY())</f>
        <v/>
      </c>
      <c r="K90" s="45">
        <f>IF(A90="","",IF(AND(H90="",C90&lt;TODAY()),"Overdue",IF(H90="","Upcoming",IF(H90="Held as Scheduled","Held",IF(H90="Cancelled","Cancelled",IF(H90="Submitted for Resolution","Cleared","Postponed"))))))</f>
        <v/>
      </c>
      <c r="L90" s="32" t="n"/>
    </row>
    <row r="91" ht="26" customHeight="1">
      <c r="A91" s="30" t="n"/>
      <c r="B91" s="43">
        <f>IFERROR(IF($A91="","",INDEX(RegTitle,MATCH($A91,RegCaseNo,0))),"Case no. not found")</f>
        <v/>
      </c>
      <c r="C91" s="31" t="n"/>
      <c r="D91" s="30" t="n"/>
      <c r="E91" s="30" t="n"/>
      <c r="F91" s="43">
        <f>IFERROR(IF($A91="","",INDEX(RegCourt,MATCH($A91,RegCaseNo,0))),"")</f>
        <v/>
      </c>
      <c r="G91" s="43">
        <f>IFERROR(IF($A91="","",INDEX(RegPersonnel,MATCH($A91,RegCaseNo,0))),"")</f>
        <v/>
      </c>
      <c r="H91" s="30" t="n"/>
      <c r="I91" s="31" t="n"/>
      <c r="J91" s="44">
        <f>IF(C91="","",C91-TODAY())</f>
        <v/>
      </c>
      <c r="K91" s="45">
        <f>IF(A91="","",IF(AND(H91="",C91&lt;TODAY()),"Overdue",IF(H91="","Upcoming",IF(H91="Held as Scheduled","Held",IF(H91="Cancelled","Cancelled",IF(H91="Submitted for Resolution","Cleared","Postponed"))))))</f>
        <v/>
      </c>
      <c r="L91" s="32" t="n"/>
    </row>
    <row r="92" ht="26" customHeight="1">
      <c r="A92" s="30" t="n"/>
      <c r="B92" s="43">
        <f>IFERROR(IF($A92="","",INDEX(RegTitle,MATCH($A92,RegCaseNo,0))),"Case no. not found")</f>
        <v/>
      </c>
      <c r="C92" s="31" t="n"/>
      <c r="D92" s="30" t="n"/>
      <c r="E92" s="30" t="n"/>
      <c r="F92" s="43">
        <f>IFERROR(IF($A92="","",INDEX(RegCourt,MATCH($A92,RegCaseNo,0))),"")</f>
        <v/>
      </c>
      <c r="G92" s="43">
        <f>IFERROR(IF($A92="","",INDEX(RegPersonnel,MATCH($A92,RegCaseNo,0))),"")</f>
        <v/>
      </c>
      <c r="H92" s="30" t="n"/>
      <c r="I92" s="31" t="n"/>
      <c r="J92" s="44">
        <f>IF(C92="","",C92-TODAY())</f>
        <v/>
      </c>
      <c r="K92" s="45">
        <f>IF(A92="","",IF(AND(H92="",C92&lt;TODAY()),"Overdue",IF(H92="","Upcoming",IF(H92="Held as Scheduled","Held",IF(H92="Cancelled","Cancelled",IF(H92="Submitted for Resolution","Cleared","Postponed"))))))</f>
        <v/>
      </c>
      <c r="L92" s="32" t="n"/>
    </row>
    <row r="93" ht="26" customHeight="1">
      <c r="A93" s="30" t="n"/>
      <c r="B93" s="43">
        <f>IFERROR(IF($A93="","",INDEX(RegTitle,MATCH($A93,RegCaseNo,0))),"Case no. not found")</f>
        <v/>
      </c>
      <c r="C93" s="31" t="n"/>
      <c r="D93" s="30" t="n"/>
      <c r="E93" s="30" t="n"/>
      <c r="F93" s="43">
        <f>IFERROR(IF($A93="","",INDEX(RegCourt,MATCH($A93,RegCaseNo,0))),"")</f>
        <v/>
      </c>
      <c r="G93" s="43">
        <f>IFERROR(IF($A93="","",INDEX(RegPersonnel,MATCH($A93,RegCaseNo,0))),"")</f>
        <v/>
      </c>
      <c r="H93" s="30" t="n"/>
      <c r="I93" s="31" t="n"/>
      <c r="J93" s="44">
        <f>IF(C93="","",C93-TODAY())</f>
        <v/>
      </c>
      <c r="K93" s="45">
        <f>IF(A93="","",IF(AND(H93="",C93&lt;TODAY()),"Overdue",IF(H93="","Upcoming",IF(H93="Held as Scheduled","Held",IF(H93="Cancelled","Cancelled",IF(H93="Submitted for Resolution","Cleared","Postponed"))))))</f>
        <v/>
      </c>
      <c r="L93" s="32" t="n"/>
    </row>
    <row r="94" ht="26" customHeight="1">
      <c r="A94" s="30" t="n"/>
      <c r="B94" s="43">
        <f>IFERROR(IF($A94="","",INDEX(RegTitle,MATCH($A94,RegCaseNo,0))),"Case no. not found")</f>
        <v/>
      </c>
      <c r="C94" s="31" t="n"/>
      <c r="D94" s="30" t="n"/>
      <c r="E94" s="30" t="n"/>
      <c r="F94" s="43">
        <f>IFERROR(IF($A94="","",INDEX(RegCourt,MATCH($A94,RegCaseNo,0))),"")</f>
        <v/>
      </c>
      <c r="G94" s="43">
        <f>IFERROR(IF($A94="","",INDEX(RegPersonnel,MATCH($A94,RegCaseNo,0))),"")</f>
        <v/>
      </c>
      <c r="H94" s="30" t="n"/>
      <c r="I94" s="31" t="n"/>
      <c r="J94" s="44">
        <f>IF(C94="","",C94-TODAY())</f>
        <v/>
      </c>
      <c r="K94" s="45">
        <f>IF(A94="","",IF(AND(H94="",C94&lt;TODAY()),"Overdue",IF(H94="","Upcoming",IF(H94="Held as Scheduled","Held",IF(H94="Cancelled","Cancelled",IF(H94="Submitted for Resolution","Cleared","Postponed"))))))</f>
        <v/>
      </c>
      <c r="L94" s="32" t="n"/>
    </row>
    <row r="95" ht="26" customHeight="1">
      <c r="A95" s="30" t="n"/>
      <c r="B95" s="43">
        <f>IFERROR(IF($A95="","",INDEX(RegTitle,MATCH($A95,RegCaseNo,0))),"Case no. not found")</f>
        <v/>
      </c>
      <c r="C95" s="31" t="n"/>
      <c r="D95" s="30" t="n"/>
      <c r="E95" s="30" t="n"/>
      <c r="F95" s="43">
        <f>IFERROR(IF($A95="","",INDEX(RegCourt,MATCH($A95,RegCaseNo,0))),"")</f>
        <v/>
      </c>
      <c r="G95" s="43">
        <f>IFERROR(IF($A95="","",INDEX(RegPersonnel,MATCH($A95,RegCaseNo,0))),"")</f>
        <v/>
      </c>
      <c r="H95" s="30" t="n"/>
      <c r="I95" s="31" t="n"/>
      <c r="J95" s="44">
        <f>IF(C95="","",C95-TODAY())</f>
        <v/>
      </c>
      <c r="K95" s="45">
        <f>IF(A95="","",IF(AND(H95="",C95&lt;TODAY()),"Overdue",IF(H95="","Upcoming",IF(H95="Held as Scheduled","Held",IF(H95="Cancelled","Cancelled",IF(H95="Submitted for Resolution","Cleared","Postponed"))))))</f>
        <v/>
      </c>
      <c r="L95" s="32" t="n"/>
    </row>
    <row r="96" ht="26" customHeight="1">
      <c r="A96" s="30" t="n"/>
      <c r="B96" s="43">
        <f>IFERROR(IF($A96="","",INDEX(RegTitle,MATCH($A96,RegCaseNo,0))),"Case no. not found")</f>
        <v/>
      </c>
      <c r="C96" s="31" t="n"/>
      <c r="D96" s="30" t="n"/>
      <c r="E96" s="30" t="n"/>
      <c r="F96" s="43">
        <f>IFERROR(IF($A96="","",INDEX(RegCourt,MATCH($A96,RegCaseNo,0))),"")</f>
        <v/>
      </c>
      <c r="G96" s="43">
        <f>IFERROR(IF($A96="","",INDEX(RegPersonnel,MATCH($A96,RegCaseNo,0))),"")</f>
        <v/>
      </c>
      <c r="H96" s="30" t="n"/>
      <c r="I96" s="31" t="n"/>
      <c r="J96" s="44">
        <f>IF(C96="","",C96-TODAY())</f>
        <v/>
      </c>
      <c r="K96" s="45">
        <f>IF(A96="","",IF(AND(H96="",C96&lt;TODAY()),"Overdue",IF(H96="","Upcoming",IF(H96="Held as Scheduled","Held",IF(H96="Cancelled","Cancelled",IF(H96="Submitted for Resolution","Cleared","Postponed"))))))</f>
        <v/>
      </c>
      <c r="L96" s="32" t="n"/>
    </row>
    <row r="97" ht="26" customHeight="1">
      <c r="A97" s="30" t="n"/>
      <c r="B97" s="43">
        <f>IFERROR(IF($A97="","",INDEX(RegTitle,MATCH($A97,RegCaseNo,0))),"Case no. not found")</f>
        <v/>
      </c>
      <c r="C97" s="31" t="n"/>
      <c r="D97" s="30" t="n"/>
      <c r="E97" s="30" t="n"/>
      <c r="F97" s="43">
        <f>IFERROR(IF($A97="","",INDEX(RegCourt,MATCH($A97,RegCaseNo,0))),"")</f>
        <v/>
      </c>
      <c r="G97" s="43">
        <f>IFERROR(IF($A97="","",INDEX(RegPersonnel,MATCH($A97,RegCaseNo,0))),"")</f>
        <v/>
      </c>
      <c r="H97" s="30" t="n"/>
      <c r="I97" s="31" t="n"/>
      <c r="J97" s="44">
        <f>IF(C97="","",C97-TODAY())</f>
        <v/>
      </c>
      <c r="K97" s="45">
        <f>IF(A97="","",IF(AND(H97="",C97&lt;TODAY()),"Overdue",IF(H97="","Upcoming",IF(H97="Held as Scheduled","Held",IF(H97="Cancelled","Cancelled",IF(H97="Submitted for Resolution","Cleared","Postponed"))))))</f>
        <v/>
      </c>
      <c r="L97" s="32" t="n"/>
    </row>
    <row r="98" ht="26" customHeight="1">
      <c r="A98" s="30" t="n"/>
      <c r="B98" s="43">
        <f>IFERROR(IF($A98="","",INDEX(RegTitle,MATCH($A98,RegCaseNo,0))),"Case no. not found")</f>
        <v/>
      </c>
      <c r="C98" s="31" t="n"/>
      <c r="D98" s="30" t="n"/>
      <c r="E98" s="30" t="n"/>
      <c r="F98" s="43">
        <f>IFERROR(IF($A98="","",INDEX(RegCourt,MATCH($A98,RegCaseNo,0))),"")</f>
        <v/>
      </c>
      <c r="G98" s="43">
        <f>IFERROR(IF($A98="","",INDEX(RegPersonnel,MATCH($A98,RegCaseNo,0))),"")</f>
        <v/>
      </c>
      <c r="H98" s="30" t="n"/>
      <c r="I98" s="31" t="n"/>
      <c r="J98" s="44">
        <f>IF(C98="","",C98-TODAY())</f>
        <v/>
      </c>
      <c r="K98" s="45">
        <f>IF(A98="","",IF(AND(H98="",C98&lt;TODAY()),"Overdue",IF(H98="","Upcoming",IF(H98="Held as Scheduled","Held",IF(H98="Cancelled","Cancelled",IF(H98="Submitted for Resolution","Cleared","Postponed"))))))</f>
        <v/>
      </c>
      <c r="L98" s="32" t="n"/>
    </row>
    <row r="99" ht="26" customHeight="1">
      <c r="A99" s="30" t="n"/>
      <c r="B99" s="43">
        <f>IFERROR(IF($A99="","",INDEX(RegTitle,MATCH($A99,RegCaseNo,0))),"Case no. not found")</f>
        <v/>
      </c>
      <c r="C99" s="31" t="n"/>
      <c r="D99" s="30" t="n"/>
      <c r="E99" s="30" t="n"/>
      <c r="F99" s="43">
        <f>IFERROR(IF($A99="","",INDEX(RegCourt,MATCH($A99,RegCaseNo,0))),"")</f>
        <v/>
      </c>
      <c r="G99" s="43">
        <f>IFERROR(IF($A99="","",INDEX(RegPersonnel,MATCH($A99,RegCaseNo,0))),"")</f>
        <v/>
      </c>
      <c r="H99" s="30" t="n"/>
      <c r="I99" s="31" t="n"/>
      <c r="J99" s="44">
        <f>IF(C99="","",C99-TODAY())</f>
        <v/>
      </c>
      <c r="K99" s="45">
        <f>IF(A99="","",IF(AND(H99="",C99&lt;TODAY()),"Overdue",IF(H99="","Upcoming",IF(H99="Held as Scheduled","Held",IF(H99="Cancelled","Cancelled",IF(H99="Submitted for Resolution","Cleared","Postponed"))))))</f>
        <v/>
      </c>
      <c r="L99" s="32" t="n"/>
    </row>
    <row r="100" ht="26" customHeight="1">
      <c r="A100" s="30" t="n"/>
      <c r="B100" s="43">
        <f>IFERROR(IF($A100="","",INDEX(RegTitle,MATCH($A100,RegCaseNo,0))),"Case no. not found")</f>
        <v/>
      </c>
      <c r="C100" s="31" t="n"/>
      <c r="D100" s="30" t="n"/>
      <c r="E100" s="30" t="n"/>
      <c r="F100" s="43">
        <f>IFERROR(IF($A100="","",INDEX(RegCourt,MATCH($A100,RegCaseNo,0))),"")</f>
        <v/>
      </c>
      <c r="G100" s="43">
        <f>IFERROR(IF($A100="","",INDEX(RegPersonnel,MATCH($A100,RegCaseNo,0))),"")</f>
        <v/>
      </c>
      <c r="H100" s="30" t="n"/>
      <c r="I100" s="31" t="n"/>
      <c r="J100" s="44">
        <f>IF(C100="","",C100-TODAY())</f>
        <v/>
      </c>
      <c r="K100" s="45">
        <f>IF(A100="","",IF(AND(H100="",C100&lt;TODAY()),"Overdue",IF(H100="","Upcoming",IF(H100="Held as Scheduled","Held",IF(H100="Cancelled","Cancelled",IF(H100="Submitted for Resolution","Cleared","Postponed"))))))</f>
        <v/>
      </c>
      <c r="L100" s="32" t="n"/>
    </row>
    <row r="101" ht="26" customHeight="1">
      <c r="A101" s="30" t="n"/>
      <c r="B101" s="43">
        <f>IFERROR(IF($A101="","",INDEX(RegTitle,MATCH($A101,RegCaseNo,0))),"Case no. not found")</f>
        <v/>
      </c>
      <c r="C101" s="31" t="n"/>
      <c r="D101" s="30" t="n"/>
      <c r="E101" s="30" t="n"/>
      <c r="F101" s="43">
        <f>IFERROR(IF($A101="","",INDEX(RegCourt,MATCH($A101,RegCaseNo,0))),"")</f>
        <v/>
      </c>
      <c r="G101" s="43">
        <f>IFERROR(IF($A101="","",INDEX(RegPersonnel,MATCH($A101,RegCaseNo,0))),"")</f>
        <v/>
      </c>
      <c r="H101" s="30" t="n"/>
      <c r="I101" s="31" t="n"/>
      <c r="J101" s="44">
        <f>IF(C101="","",C101-TODAY())</f>
        <v/>
      </c>
      <c r="K101" s="45">
        <f>IF(A101="","",IF(AND(H101="",C101&lt;TODAY()),"Overdue",IF(H101="","Upcoming",IF(H101="Held as Scheduled","Held",IF(H101="Cancelled","Cancelled",IF(H101="Submitted for Resolution","Cleared","Postponed"))))))</f>
        <v/>
      </c>
      <c r="L101" s="32" t="n"/>
    </row>
    <row r="102" ht="26" customHeight="1">
      <c r="A102" s="30" t="n"/>
      <c r="B102" s="43">
        <f>IFERROR(IF($A102="","",INDEX(RegTitle,MATCH($A102,RegCaseNo,0))),"Case no. not found")</f>
        <v/>
      </c>
      <c r="C102" s="31" t="n"/>
      <c r="D102" s="30" t="n"/>
      <c r="E102" s="30" t="n"/>
      <c r="F102" s="43">
        <f>IFERROR(IF($A102="","",INDEX(RegCourt,MATCH($A102,RegCaseNo,0))),"")</f>
        <v/>
      </c>
      <c r="G102" s="43">
        <f>IFERROR(IF($A102="","",INDEX(RegPersonnel,MATCH($A102,RegCaseNo,0))),"")</f>
        <v/>
      </c>
      <c r="H102" s="30" t="n"/>
      <c r="I102" s="31" t="n"/>
      <c r="J102" s="44">
        <f>IF(C102="","",C102-TODAY())</f>
        <v/>
      </c>
      <c r="K102" s="45">
        <f>IF(A102="","",IF(AND(H102="",C102&lt;TODAY()),"Overdue",IF(H102="","Upcoming",IF(H102="Held as Scheduled","Held",IF(H102="Cancelled","Cancelled",IF(H102="Submitted for Resolution","Cleared","Postponed"))))))</f>
        <v/>
      </c>
      <c r="L102" s="32" t="n"/>
    </row>
    <row r="103" ht="26" customHeight="1">
      <c r="A103" s="30" t="n"/>
      <c r="B103" s="43">
        <f>IFERROR(IF($A103="","",INDEX(RegTitle,MATCH($A103,RegCaseNo,0))),"Case no. not found")</f>
        <v/>
      </c>
      <c r="C103" s="31" t="n"/>
      <c r="D103" s="30" t="n"/>
      <c r="E103" s="30" t="n"/>
      <c r="F103" s="43">
        <f>IFERROR(IF($A103="","",INDEX(RegCourt,MATCH($A103,RegCaseNo,0))),"")</f>
        <v/>
      </c>
      <c r="G103" s="43">
        <f>IFERROR(IF($A103="","",INDEX(RegPersonnel,MATCH($A103,RegCaseNo,0))),"")</f>
        <v/>
      </c>
      <c r="H103" s="30" t="n"/>
      <c r="I103" s="31" t="n"/>
      <c r="J103" s="44">
        <f>IF(C103="","",C103-TODAY())</f>
        <v/>
      </c>
      <c r="K103" s="45">
        <f>IF(A103="","",IF(AND(H103="",C103&lt;TODAY()),"Overdue",IF(H103="","Upcoming",IF(H103="Held as Scheduled","Held",IF(H103="Cancelled","Cancelled",IF(H103="Submitted for Resolution","Cleared","Postponed"))))))</f>
        <v/>
      </c>
      <c r="L103" s="32" t="n"/>
    </row>
    <row r="104" ht="26" customHeight="1">
      <c r="A104" s="30" t="n"/>
      <c r="B104" s="43">
        <f>IFERROR(IF($A104="","",INDEX(RegTitle,MATCH($A104,RegCaseNo,0))),"Case no. not found")</f>
        <v/>
      </c>
      <c r="C104" s="31" t="n"/>
      <c r="D104" s="30" t="n"/>
      <c r="E104" s="30" t="n"/>
      <c r="F104" s="43">
        <f>IFERROR(IF($A104="","",INDEX(RegCourt,MATCH($A104,RegCaseNo,0))),"")</f>
        <v/>
      </c>
      <c r="G104" s="43">
        <f>IFERROR(IF($A104="","",INDEX(RegPersonnel,MATCH($A104,RegCaseNo,0))),"")</f>
        <v/>
      </c>
      <c r="H104" s="30" t="n"/>
      <c r="I104" s="31" t="n"/>
      <c r="J104" s="44">
        <f>IF(C104="","",C104-TODAY())</f>
        <v/>
      </c>
      <c r="K104" s="45">
        <f>IF(A104="","",IF(AND(H104="",C104&lt;TODAY()),"Overdue",IF(H104="","Upcoming",IF(H104="Held as Scheduled","Held",IF(H104="Cancelled","Cancelled",IF(H104="Submitted for Resolution","Cleared","Postponed"))))))</f>
        <v/>
      </c>
      <c r="L104" s="32" t="n"/>
    </row>
    <row r="105" ht="26" customHeight="1">
      <c r="A105" s="30" t="n"/>
      <c r="B105" s="43">
        <f>IFERROR(IF($A105="","",INDEX(RegTitle,MATCH($A105,RegCaseNo,0))),"Case no. not found")</f>
        <v/>
      </c>
      <c r="C105" s="31" t="n"/>
      <c r="D105" s="30" t="n"/>
      <c r="E105" s="30" t="n"/>
      <c r="F105" s="43">
        <f>IFERROR(IF($A105="","",INDEX(RegCourt,MATCH($A105,RegCaseNo,0))),"")</f>
        <v/>
      </c>
      <c r="G105" s="43">
        <f>IFERROR(IF($A105="","",INDEX(RegPersonnel,MATCH($A105,RegCaseNo,0))),"")</f>
        <v/>
      </c>
      <c r="H105" s="30" t="n"/>
      <c r="I105" s="31" t="n"/>
      <c r="J105" s="44">
        <f>IF(C105="","",C105-TODAY())</f>
        <v/>
      </c>
      <c r="K105" s="45">
        <f>IF(A105="","",IF(AND(H105="",C105&lt;TODAY()),"Overdue",IF(H105="","Upcoming",IF(H105="Held as Scheduled","Held",IF(H105="Cancelled","Cancelled",IF(H105="Submitted for Resolution","Cleared","Postponed"))))))</f>
        <v/>
      </c>
      <c r="L105" s="32" t="n"/>
    </row>
    <row r="106" ht="26" customHeight="1">
      <c r="A106" s="30" t="n"/>
      <c r="B106" s="43">
        <f>IFERROR(IF($A106="","",INDEX(RegTitle,MATCH($A106,RegCaseNo,0))),"Case no. not found")</f>
        <v/>
      </c>
      <c r="C106" s="31" t="n"/>
      <c r="D106" s="30" t="n"/>
      <c r="E106" s="30" t="n"/>
      <c r="F106" s="43">
        <f>IFERROR(IF($A106="","",INDEX(RegCourt,MATCH($A106,RegCaseNo,0))),"")</f>
        <v/>
      </c>
      <c r="G106" s="43">
        <f>IFERROR(IF($A106="","",INDEX(RegPersonnel,MATCH($A106,RegCaseNo,0))),"")</f>
        <v/>
      </c>
      <c r="H106" s="30" t="n"/>
      <c r="I106" s="31" t="n"/>
      <c r="J106" s="44">
        <f>IF(C106="","",C106-TODAY())</f>
        <v/>
      </c>
      <c r="K106" s="45">
        <f>IF(A106="","",IF(AND(H106="",C106&lt;TODAY()),"Overdue",IF(H106="","Upcoming",IF(H106="Held as Scheduled","Held",IF(H106="Cancelled","Cancelled",IF(H106="Submitted for Resolution","Cleared","Postponed"))))))</f>
        <v/>
      </c>
      <c r="L106" s="32" t="n"/>
    </row>
    <row r="107" ht="26" customHeight="1">
      <c r="A107" s="30" t="n"/>
      <c r="B107" s="43">
        <f>IFERROR(IF($A107="","",INDEX(RegTitle,MATCH($A107,RegCaseNo,0))),"Case no. not found")</f>
        <v/>
      </c>
      <c r="C107" s="31" t="n"/>
      <c r="D107" s="30" t="n"/>
      <c r="E107" s="30" t="n"/>
      <c r="F107" s="43">
        <f>IFERROR(IF($A107="","",INDEX(RegCourt,MATCH($A107,RegCaseNo,0))),"")</f>
        <v/>
      </c>
      <c r="G107" s="43">
        <f>IFERROR(IF($A107="","",INDEX(RegPersonnel,MATCH($A107,RegCaseNo,0))),"")</f>
        <v/>
      </c>
      <c r="H107" s="30" t="n"/>
      <c r="I107" s="31" t="n"/>
      <c r="J107" s="44">
        <f>IF(C107="","",C107-TODAY())</f>
        <v/>
      </c>
      <c r="K107" s="45">
        <f>IF(A107="","",IF(AND(H107="",C107&lt;TODAY()),"Overdue",IF(H107="","Upcoming",IF(H107="Held as Scheduled","Held",IF(H107="Cancelled","Cancelled",IF(H107="Submitted for Resolution","Cleared","Postponed"))))))</f>
        <v/>
      </c>
      <c r="L107" s="32" t="n"/>
    </row>
    <row r="108" ht="26" customHeight="1">
      <c r="A108" s="30" t="n"/>
      <c r="B108" s="43">
        <f>IFERROR(IF($A108="","",INDEX(RegTitle,MATCH($A108,RegCaseNo,0))),"Case no. not found")</f>
        <v/>
      </c>
      <c r="C108" s="31" t="n"/>
      <c r="D108" s="30" t="n"/>
      <c r="E108" s="30" t="n"/>
      <c r="F108" s="43">
        <f>IFERROR(IF($A108="","",INDEX(RegCourt,MATCH($A108,RegCaseNo,0))),"")</f>
        <v/>
      </c>
      <c r="G108" s="43">
        <f>IFERROR(IF($A108="","",INDEX(RegPersonnel,MATCH($A108,RegCaseNo,0))),"")</f>
        <v/>
      </c>
      <c r="H108" s="30" t="n"/>
      <c r="I108" s="31" t="n"/>
      <c r="J108" s="44">
        <f>IF(C108="","",C108-TODAY())</f>
        <v/>
      </c>
      <c r="K108" s="45">
        <f>IF(A108="","",IF(AND(H108="",C108&lt;TODAY()),"Overdue",IF(H108="","Upcoming",IF(H108="Held as Scheduled","Held",IF(H108="Cancelled","Cancelled",IF(H108="Submitted for Resolution","Cleared","Postponed"))))))</f>
        <v/>
      </c>
      <c r="L108" s="32" t="n"/>
    </row>
    <row r="109" ht="26" customHeight="1">
      <c r="A109" s="30" t="n"/>
      <c r="B109" s="43">
        <f>IFERROR(IF($A109="","",INDEX(RegTitle,MATCH($A109,RegCaseNo,0))),"Case no. not found")</f>
        <v/>
      </c>
      <c r="C109" s="31" t="n"/>
      <c r="D109" s="30" t="n"/>
      <c r="E109" s="30" t="n"/>
      <c r="F109" s="43">
        <f>IFERROR(IF($A109="","",INDEX(RegCourt,MATCH($A109,RegCaseNo,0))),"")</f>
        <v/>
      </c>
      <c r="G109" s="43">
        <f>IFERROR(IF($A109="","",INDEX(RegPersonnel,MATCH($A109,RegCaseNo,0))),"")</f>
        <v/>
      </c>
      <c r="H109" s="30" t="n"/>
      <c r="I109" s="31" t="n"/>
      <c r="J109" s="44">
        <f>IF(C109="","",C109-TODAY())</f>
        <v/>
      </c>
      <c r="K109" s="45">
        <f>IF(A109="","",IF(AND(H109="",C109&lt;TODAY()),"Overdue",IF(H109="","Upcoming",IF(H109="Held as Scheduled","Held",IF(H109="Cancelled","Cancelled",IF(H109="Submitted for Resolution","Cleared","Postponed"))))))</f>
        <v/>
      </c>
      <c r="L109" s="32" t="n"/>
    </row>
    <row r="110" ht="26" customHeight="1">
      <c r="A110" s="30" t="n"/>
      <c r="B110" s="43">
        <f>IFERROR(IF($A110="","",INDEX(RegTitle,MATCH($A110,RegCaseNo,0))),"Case no. not found")</f>
        <v/>
      </c>
      <c r="C110" s="31" t="n"/>
      <c r="D110" s="30" t="n"/>
      <c r="E110" s="30" t="n"/>
      <c r="F110" s="43">
        <f>IFERROR(IF($A110="","",INDEX(RegCourt,MATCH($A110,RegCaseNo,0))),"")</f>
        <v/>
      </c>
      <c r="G110" s="43">
        <f>IFERROR(IF($A110="","",INDEX(RegPersonnel,MATCH($A110,RegCaseNo,0))),"")</f>
        <v/>
      </c>
      <c r="H110" s="30" t="n"/>
      <c r="I110" s="31" t="n"/>
      <c r="J110" s="44">
        <f>IF(C110="","",C110-TODAY())</f>
        <v/>
      </c>
      <c r="K110" s="45">
        <f>IF(A110="","",IF(AND(H110="",C110&lt;TODAY()),"Overdue",IF(H110="","Upcoming",IF(H110="Held as Scheduled","Held",IF(H110="Cancelled","Cancelled",IF(H110="Submitted for Resolution","Cleared","Postponed"))))))</f>
        <v/>
      </c>
      <c r="L110" s="32" t="n"/>
    </row>
    <row r="111" ht="26" customHeight="1">
      <c r="A111" s="30" t="n"/>
      <c r="B111" s="43">
        <f>IFERROR(IF($A111="","",INDEX(RegTitle,MATCH($A111,RegCaseNo,0))),"Case no. not found")</f>
        <v/>
      </c>
      <c r="C111" s="31" t="n"/>
      <c r="D111" s="30" t="n"/>
      <c r="E111" s="30" t="n"/>
      <c r="F111" s="43">
        <f>IFERROR(IF($A111="","",INDEX(RegCourt,MATCH($A111,RegCaseNo,0))),"")</f>
        <v/>
      </c>
      <c r="G111" s="43">
        <f>IFERROR(IF($A111="","",INDEX(RegPersonnel,MATCH($A111,RegCaseNo,0))),"")</f>
        <v/>
      </c>
      <c r="H111" s="30" t="n"/>
      <c r="I111" s="31" t="n"/>
      <c r="J111" s="44">
        <f>IF(C111="","",C111-TODAY())</f>
        <v/>
      </c>
      <c r="K111" s="45">
        <f>IF(A111="","",IF(AND(H111="",C111&lt;TODAY()),"Overdue",IF(H111="","Upcoming",IF(H111="Held as Scheduled","Held",IF(H111="Cancelled","Cancelled",IF(H111="Submitted for Resolution","Cleared","Postponed"))))))</f>
        <v/>
      </c>
      <c r="L111" s="32" t="n"/>
    </row>
    <row r="112" ht="26" customHeight="1">
      <c r="A112" s="30" t="n"/>
      <c r="B112" s="43">
        <f>IFERROR(IF($A112="","",INDEX(RegTitle,MATCH($A112,RegCaseNo,0))),"Case no. not found")</f>
        <v/>
      </c>
      <c r="C112" s="31" t="n"/>
      <c r="D112" s="30" t="n"/>
      <c r="E112" s="30" t="n"/>
      <c r="F112" s="43">
        <f>IFERROR(IF($A112="","",INDEX(RegCourt,MATCH($A112,RegCaseNo,0))),"")</f>
        <v/>
      </c>
      <c r="G112" s="43">
        <f>IFERROR(IF($A112="","",INDEX(RegPersonnel,MATCH($A112,RegCaseNo,0))),"")</f>
        <v/>
      </c>
      <c r="H112" s="30" t="n"/>
      <c r="I112" s="31" t="n"/>
      <c r="J112" s="44">
        <f>IF(C112="","",C112-TODAY())</f>
        <v/>
      </c>
      <c r="K112" s="45">
        <f>IF(A112="","",IF(AND(H112="",C112&lt;TODAY()),"Overdue",IF(H112="","Upcoming",IF(H112="Held as Scheduled","Held",IF(H112="Cancelled","Cancelled",IF(H112="Submitted for Resolution","Cleared","Postponed"))))))</f>
        <v/>
      </c>
      <c r="L112" s="32" t="n"/>
    </row>
    <row r="113" ht="26" customHeight="1">
      <c r="A113" s="30" t="n"/>
      <c r="B113" s="43">
        <f>IFERROR(IF($A113="","",INDEX(RegTitle,MATCH($A113,RegCaseNo,0))),"Case no. not found")</f>
        <v/>
      </c>
      <c r="C113" s="31" t="n"/>
      <c r="D113" s="30" t="n"/>
      <c r="E113" s="30" t="n"/>
      <c r="F113" s="43">
        <f>IFERROR(IF($A113="","",INDEX(RegCourt,MATCH($A113,RegCaseNo,0))),"")</f>
        <v/>
      </c>
      <c r="G113" s="43">
        <f>IFERROR(IF($A113="","",INDEX(RegPersonnel,MATCH($A113,RegCaseNo,0))),"")</f>
        <v/>
      </c>
      <c r="H113" s="30" t="n"/>
      <c r="I113" s="31" t="n"/>
      <c r="J113" s="44">
        <f>IF(C113="","",C113-TODAY())</f>
        <v/>
      </c>
      <c r="K113" s="45">
        <f>IF(A113="","",IF(AND(H113="",C113&lt;TODAY()),"Overdue",IF(H113="","Upcoming",IF(H113="Held as Scheduled","Held",IF(H113="Cancelled","Cancelled",IF(H113="Submitted for Resolution","Cleared","Postponed"))))))</f>
        <v/>
      </c>
      <c r="L113" s="32" t="n"/>
    </row>
    <row r="114" ht="26" customHeight="1">
      <c r="A114" s="30" t="n"/>
      <c r="B114" s="43">
        <f>IFERROR(IF($A114="","",INDEX(RegTitle,MATCH($A114,RegCaseNo,0))),"Case no. not found")</f>
        <v/>
      </c>
      <c r="C114" s="31" t="n"/>
      <c r="D114" s="30" t="n"/>
      <c r="E114" s="30" t="n"/>
      <c r="F114" s="43">
        <f>IFERROR(IF($A114="","",INDEX(RegCourt,MATCH($A114,RegCaseNo,0))),"")</f>
        <v/>
      </c>
      <c r="G114" s="43">
        <f>IFERROR(IF($A114="","",INDEX(RegPersonnel,MATCH($A114,RegCaseNo,0))),"")</f>
        <v/>
      </c>
      <c r="H114" s="30" t="n"/>
      <c r="I114" s="31" t="n"/>
      <c r="J114" s="44">
        <f>IF(C114="","",C114-TODAY())</f>
        <v/>
      </c>
      <c r="K114" s="45">
        <f>IF(A114="","",IF(AND(H114="",C114&lt;TODAY()),"Overdue",IF(H114="","Upcoming",IF(H114="Held as Scheduled","Held",IF(H114="Cancelled","Cancelled",IF(H114="Submitted for Resolution","Cleared","Postponed"))))))</f>
        <v/>
      </c>
      <c r="L114" s="32" t="n"/>
    </row>
    <row r="115" ht="26" customHeight="1">
      <c r="A115" s="30" t="n"/>
      <c r="B115" s="43">
        <f>IFERROR(IF($A115="","",INDEX(RegTitle,MATCH($A115,RegCaseNo,0))),"Case no. not found")</f>
        <v/>
      </c>
      <c r="C115" s="31" t="n"/>
      <c r="D115" s="30" t="n"/>
      <c r="E115" s="30" t="n"/>
      <c r="F115" s="43">
        <f>IFERROR(IF($A115="","",INDEX(RegCourt,MATCH($A115,RegCaseNo,0))),"")</f>
        <v/>
      </c>
      <c r="G115" s="43">
        <f>IFERROR(IF($A115="","",INDEX(RegPersonnel,MATCH($A115,RegCaseNo,0))),"")</f>
        <v/>
      </c>
      <c r="H115" s="30" t="n"/>
      <c r="I115" s="31" t="n"/>
      <c r="J115" s="44">
        <f>IF(C115="","",C115-TODAY())</f>
        <v/>
      </c>
      <c r="K115" s="45">
        <f>IF(A115="","",IF(AND(H115="",C115&lt;TODAY()),"Overdue",IF(H115="","Upcoming",IF(H115="Held as Scheduled","Held",IF(H115="Cancelled","Cancelled",IF(H115="Submitted for Resolution","Cleared","Postponed"))))))</f>
        <v/>
      </c>
      <c r="L115" s="32" t="n"/>
    </row>
    <row r="116" ht="26" customHeight="1">
      <c r="A116" s="30" t="n"/>
      <c r="B116" s="43">
        <f>IFERROR(IF($A116="","",INDEX(RegTitle,MATCH($A116,RegCaseNo,0))),"Case no. not found")</f>
        <v/>
      </c>
      <c r="C116" s="31" t="n"/>
      <c r="D116" s="30" t="n"/>
      <c r="E116" s="30" t="n"/>
      <c r="F116" s="43">
        <f>IFERROR(IF($A116="","",INDEX(RegCourt,MATCH($A116,RegCaseNo,0))),"")</f>
        <v/>
      </c>
      <c r="G116" s="43">
        <f>IFERROR(IF($A116="","",INDEX(RegPersonnel,MATCH($A116,RegCaseNo,0))),"")</f>
        <v/>
      </c>
      <c r="H116" s="30" t="n"/>
      <c r="I116" s="31" t="n"/>
      <c r="J116" s="44">
        <f>IF(C116="","",C116-TODAY())</f>
        <v/>
      </c>
      <c r="K116" s="45">
        <f>IF(A116="","",IF(AND(H116="",C116&lt;TODAY()),"Overdue",IF(H116="","Upcoming",IF(H116="Held as Scheduled","Held",IF(H116="Cancelled","Cancelled",IF(H116="Submitted for Resolution","Cleared","Postponed"))))))</f>
        <v/>
      </c>
      <c r="L116" s="32" t="n"/>
    </row>
    <row r="117" ht="26" customHeight="1">
      <c r="A117" s="30" t="n"/>
      <c r="B117" s="43">
        <f>IFERROR(IF($A117="","",INDEX(RegTitle,MATCH($A117,RegCaseNo,0))),"Case no. not found")</f>
        <v/>
      </c>
      <c r="C117" s="31" t="n"/>
      <c r="D117" s="30" t="n"/>
      <c r="E117" s="30" t="n"/>
      <c r="F117" s="43">
        <f>IFERROR(IF($A117="","",INDEX(RegCourt,MATCH($A117,RegCaseNo,0))),"")</f>
        <v/>
      </c>
      <c r="G117" s="43">
        <f>IFERROR(IF($A117="","",INDEX(RegPersonnel,MATCH($A117,RegCaseNo,0))),"")</f>
        <v/>
      </c>
      <c r="H117" s="30" t="n"/>
      <c r="I117" s="31" t="n"/>
      <c r="J117" s="44">
        <f>IF(C117="","",C117-TODAY())</f>
        <v/>
      </c>
      <c r="K117" s="45">
        <f>IF(A117="","",IF(AND(H117="",C117&lt;TODAY()),"Overdue",IF(H117="","Upcoming",IF(H117="Held as Scheduled","Held",IF(H117="Cancelled","Cancelled",IF(H117="Submitted for Resolution","Cleared","Postponed"))))))</f>
        <v/>
      </c>
      <c r="L117" s="32" t="n"/>
    </row>
    <row r="118" ht="26" customHeight="1">
      <c r="A118" s="30" t="n"/>
      <c r="B118" s="43">
        <f>IFERROR(IF($A118="","",INDEX(RegTitle,MATCH($A118,RegCaseNo,0))),"Case no. not found")</f>
        <v/>
      </c>
      <c r="C118" s="31" t="n"/>
      <c r="D118" s="30" t="n"/>
      <c r="E118" s="30" t="n"/>
      <c r="F118" s="43">
        <f>IFERROR(IF($A118="","",INDEX(RegCourt,MATCH($A118,RegCaseNo,0))),"")</f>
        <v/>
      </c>
      <c r="G118" s="43">
        <f>IFERROR(IF($A118="","",INDEX(RegPersonnel,MATCH($A118,RegCaseNo,0))),"")</f>
        <v/>
      </c>
      <c r="H118" s="30" t="n"/>
      <c r="I118" s="31" t="n"/>
      <c r="J118" s="44">
        <f>IF(C118="","",C118-TODAY())</f>
        <v/>
      </c>
      <c r="K118" s="45">
        <f>IF(A118="","",IF(AND(H118="",C118&lt;TODAY()),"Overdue",IF(H118="","Upcoming",IF(H118="Held as Scheduled","Held",IF(H118="Cancelled","Cancelled",IF(H118="Submitted for Resolution","Cleared","Postponed"))))))</f>
        <v/>
      </c>
      <c r="L118" s="32" t="n"/>
    </row>
    <row r="119" ht="26" customHeight="1">
      <c r="A119" s="30" t="n"/>
      <c r="B119" s="43">
        <f>IFERROR(IF($A119="","",INDEX(RegTitle,MATCH($A119,RegCaseNo,0))),"Case no. not found")</f>
        <v/>
      </c>
      <c r="C119" s="31" t="n"/>
      <c r="D119" s="30" t="n"/>
      <c r="E119" s="30" t="n"/>
      <c r="F119" s="43">
        <f>IFERROR(IF($A119="","",INDEX(RegCourt,MATCH($A119,RegCaseNo,0))),"")</f>
        <v/>
      </c>
      <c r="G119" s="43">
        <f>IFERROR(IF($A119="","",INDEX(RegPersonnel,MATCH($A119,RegCaseNo,0))),"")</f>
        <v/>
      </c>
      <c r="H119" s="30" t="n"/>
      <c r="I119" s="31" t="n"/>
      <c r="J119" s="44">
        <f>IF(C119="","",C119-TODAY())</f>
        <v/>
      </c>
      <c r="K119" s="45">
        <f>IF(A119="","",IF(AND(H119="",C119&lt;TODAY()),"Overdue",IF(H119="","Upcoming",IF(H119="Held as Scheduled","Held",IF(H119="Cancelled","Cancelled",IF(H119="Submitted for Resolution","Cleared","Postponed"))))))</f>
        <v/>
      </c>
      <c r="L119" s="32" t="n"/>
    </row>
    <row r="120" ht="26" customHeight="1">
      <c r="A120" s="30" t="n"/>
      <c r="B120" s="43">
        <f>IFERROR(IF($A120="","",INDEX(RegTitle,MATCH($A120,RegCaseNo,0))),"Case no. not found")</f>
        <v/>
      </c>
      <c r="C120" s="31" t="n"/>
      <c r="D120" s="30" t="n"/>
      <c r="E120" s="30" t="n"/>
      <c r="F120" s="43">
        <f>IFERROR(IF($A120="","",INDEX(RegCourt,MATCH($A120,RegCaseNo,0))),"")</f>
        <v/>
      </c>
      <c r="G120" s="43">
        <f>IFERROR(IF($A120="","",INDEX(RegPersonnel,MATCH($A120,RegCaseNo,0))),"")</f>
        <v/>
      </c>
      <c r="H120" s="30" t="n"/>
      <c r="I120" s="31" t="n"/>
      <c r="J120" s="44">
        <f>IF(C120="","",C120-TODAY())</f>
        <v/>
      </c>
      <c r="K120" s="45">
        <f>IF(A120="","",IF(AND(H120="",C120&lt;TODAY()),"Overdue",IF(H120="","Upcoming",IF(H120="Held as Scheduled","Held",IF(H120="Cancelled","Cancelled",IF(H120="Submitted for Resolution","Cleared","Postponed"))))))</f>
        <v/>
      </c>
      <c r="L120" s="32" t="n"/>
    </row>
    <row r="121" ht="26" customHeight="1">
      <c r="A121" s="30" t="n"/>
      <c r="B121" s="43">
        <f>IFERROR(IF($A121="","",INDEX(RegTitle,MATCH($A121,RegCaseNo,0))),"Case no. not found")</f>
        <v/>
      </c>
      <c r="C121" s="31" t="n"/>
      <c r="D121" s="30" t="n"/>
      <c r="E121" s="30" t="n"/>
      <c r="F121" s="43">
        <f>IFERROR(IF($A121="","",INDEX(RegCourt,MATCH($A121,RegCaseNo,0))),"")</f>
        <v/>
      </c>
      <c r="G121" s="43">
        <f>IFERROR(IF($A121="","",INDEX(RegPersonnel,MATCH($A121,RegCaseNo,0))),"")</f>
        <v/>
      </c>
      <c r="H121" s="30" t="n"/>
      <c r="I121" s="31" t="n"/>
      <c r="J121" s="44">
        <f>IF(C121="","",C121-TODAY())</f>
        <v/>
      </c>
      <c r="K121" s="45">
        <f>IF(A121="","",IF(AND(H121="",C121&lt;TODAY()),"Overdue",IF(H121="","Upcoming",IF(H121="Held as Scheduled","Held",IF(H121="Cancelled","Cancelled",IF(H121="Submitted for Resolution","Cleared","Postponed"))))))</f>
        <v/>
      </c>
      <c r="L121" s="32" t="n"/>
    </row>
    <row r="122" ht="26" customHeight="1">
      <c r="A122" s="30" t="n"/>
      <c r="B122" s="43">
        <f>IFERROR(IF($A122="","",INDEX(RegTitle,MATCH($A122,RegCaseNo,0))),"Case no. not found")</f>
        <v/>
      </c>
      <c r="C122" s="31" t="n"/>
      <c r="D122" s="30" t="n"/>
      <c r="E122" s="30" t="n"/>
      <c r="F122" s="43">
        <f>IFERROR(IF($A122="","",INDEX(RegCourt,MATCH($A122,RegCaseNo,0))),"")</f>
        <v/>
      </c>
      <c r="G122" s="43">
        <f>IFERROR(IF($A122="","",INDEX(RegPersonnel,MATCH($A122,RegCaseNo,0))),"")</f>
        <v/>
      </c>
      <c r="H122" s="30" t="n"/>
      <c r="I122" s="31" t="n"/>
      <c r="J122" s="44">
        <f>IF(C122="","",C122-TODAY())</f>
        <v/>
      </c>
      <c r="K122" s="45">
        <f>IF(A122="","",IF(AND(H122="",C122&lt;TODAY()),"Overdue",IF(H122="","Upcoming",IF(H122="Held as Scheduled","Held",IF(H122="Cancelled","Cancelled",IF(H122="Submitted for Resolution","Cleared","Postponed"))))))</f>
        <v/>
      </c>
      <c r="L122" s="32" t="n"/>
    </row>
    <row r="123" ht="26" customHeight="1">
      <c r="A123" s="30" t="n"/>
      <c r="B123" s="43">
        <f>IFERROR(IF($A123="","",INDEX(RegTitle,MATCH($A123,RegCaseNo,0))),"Case no. not found")</f>
        <v/>
      </c>
      <c r="C123" s="31" t="n"/>
      <c r="D123" s="30" t="n"/>
      <c r="E123" s="30" t="n"/>
      <c r="F123" s="43">
        <f>IFERROR(IF($A123="","",INDEX(RegCourt,MATCH($A123,RegCaseNo,0))),"")</f>
        <v/>
      </c>
      <c r="G123" s="43">
        <f>IFERROR(IF($A123="","",INDEX(RegPersonnel,MATCH($A123,RegCaseNo,0))),"")</f>
        <v/>
      </c>
      <c r="H123" s="30" t="n"/>
      <c r="I123" s="31" t="n"/>
      <c r="J123" s="44">
        <f>IF(C123="","",C123-TODAY())</f>
        <v/>
      </c>
      <c r="K123" s="45">
        <f>IF(A123="","",IF(AND(H123="",C123&lt;TODAY()),"Overdue",IF(H123="","Upcoming",IF(H123="Held as Scheduled","Held",IF(H123="Cancelled","Cancelled",IF(H123="Submitted for Resolution","Cleared","Postponed"))))))</f>
        <v/>
      </c>
      <c r="L123" s="32" t="n"/>
    </row>
    <row r="124" ht="26" customHeight="1">
      <c r="A124" s="30" t="n"/>
      <c r="B124" s="43">
        <f>IFERROR(IF($A124="","",INDEX(RegTitle,MATCH($A124,RegCaseNo,0))),"Case no. not found")</f>
        <v/>
      </c>
      <c r="C124" s="31" t="n"/>
      <c r="D124" s="30" t="n"/>
      <c r="E124" s="30" t="n"/>
      <c r="F124" s="43">
        <f>IFERROR(IF($A124="","",INDEX(RegCourt,MATCH($A124,RegCaseNo,0))),"")</f>
        <v/>
      </c>
      <c r="G124" s="43">
        <f>IFERROR(IF($A124="","",INDEX(RegPersonnel,MATCH($A124,RegCaseNo,0))),"")</f>
        <v/>
      </c>
      <c r="H124" s="30" t="n"/>
      <c r="I124" s="31" t="n"/>
      <c r="J124" s="44">
        <f>IF(C124="","",C124-TODAY())</f>
        <v/>
      </c>
      <c r="K124" s="45">
        <f>IF(A124="","",IF(AND(H124="",C124&lt;TODAY()),"Overdue",IF(H124="","Upcoming",IF(H124="Held as Scheduled","Held",IF(H124="Cancelled","Cancelled",IF(H124="Submitted for Resolution","Cleared","Postponed"))))))</f>
        <v/>
      </c>
      <c r="L124" s="32" t="n"/>
    </row>
    <row r="125" ht="26" customHeight="1">
      <c r="A125" s="30" t="n"/>
      <c r="B125" s="43">
        <f>IFERROR(IF($A125="","",INDEX(RegTitle,MATCH($A125,RegCaseNo,0))),"Case no. not found")</f>
        <v/>
      </c>
      <c r="C125" s="31" t="n"/>
      <c r="D125" s="30" t="n"/>
      <c r="E125" s="30" t="n"/>
      <c r="F125" s="43">
        <f>IFERROR(IF($A125="","",INDEX(RegCourt,MATCH($A125,RegCaseNo,0))),"")</f>
        <v/>
      </c>
      <c r="G125" s="43">
        <f>IFERROR(IF($A125="","",INDEX(RegPersonnel,MATCH($A125,RegCaseNo,0))),"")</f>
        <v/>
      </c>
      <c r="H125" s="30" t="n"/>
      <c r="I125" s="31" t="n"/>
      <c r="J125" s="44">
        <f>IF(C125="","",C125-TODAY())</f>
        <v/>
      </c>
      <c r="K125" s="45">
        <f>IF(A125="","",IF(AND(H125="",C125&lt;TODAY()),"Overdue",IF(H125="","Upcoming",IF(H125="Held as Scheduled","Held",IF(H125="Cancelled","Cancelled",IF(H125="Submitted for Resolution","Cleared","Postponed"))))))</f>
        <v/>
      </c>
      <c r="L125" s="32" t="n"/>
    </row>
    <row r="126" ht="26" customHeight="1">
      <c r="A126" s="30" t="n"/>
      <c r="B126" s="43">
        <f>IFERROR(IF($A126="","",INDEX(RegTitle,MATCH($A126,RegCaseNo,0))),"Case no. not found")</f>
        <v/>
      </c>
      <c r="C126" s="31" t="n"/>
      <c r="D126" s="30" t="n"/>
      <c r="E126" s="30" t="n"/>
      <c r="F126" s="43">
        <f>IFERROR(IF($A126="","",INDEX(RegCourt,MATCH($A126,RegCaseNo,0))),"")</f>
        <v/>
      </c>
      <c r="G126" s="43">
        <f>IFERROR(IF($A126="","",INDEX(RegPersonnel,MATCH($A126,RegCaseNo,0))),"")</f>
        <v/>
      </c>
      <c r="H126" s="30" t="n"/>
      <c r="I126" s="31" t="n"/>
      <c r="J126" s="44">
        <f>IF(C126="","",C126-TODAY())</f>
        <v/>
      </c>
      <c r="K126" s="45">
        <f>IF(A126="","",IF(AND(H126="",C126&lt;TODAY()),"Overdue",IF(H126="","Upcoming",IF(H126="Held as Scheduled","Held",IF(H126="Cancelled","Cancelled",IF(H126="Submitted for Resolution","Cleared","Postponed"))))))</f>
        <v/>
      </c>
      <c r="L126" s="32" t="n"/>
    </row>
    <row r="127" ht="26" customHeight="1">
      <c r="A127" s="30" t="n"/>
      <c r="B127" s="43">
        <f>IFERROR(IF($A127="","",INDEX(RegTitle,MATCH($A127,RegCaseNo,0))),"Case no. not found")</f>
        <v/>
      </c>
      <c r="C127" s="31" t="n"/>
      <c r="D127" s="30" t="n"/>
      <c r="E127" s="30" t="n"/>
      <c r="F127" s="43">
        <f>IFERROR(IF($A127="","",INDEX(RegCourt,MATCH($A127,RegCaseNo,0))),"")</f>
        <v/>
      </c>
      <c r="G127" s="43">
        <f>IFERROR(IF($A127="","",INDEX(RegPersonnel,MATCH($A127,RegCaseNo,0))),"")</f>
        <v/>
      </c>
      <c r="H127" s="30" t="n"/>
      <c r="I127" s="31" t="n"/>
      <c r="J127" s="44">
        <f>IF(C127="","",C127-TODAY())</f>
        <v/>
      </c>
      <c r="K127" s="45">
        <f>IF(A127="","",IF(AND(H127="",C127&lt;TODAY()),"Overdue",IF(H127="","Upcoming",IF(H127="Held as Scheduled","Held",IF(H127="Cancelled","Cancelled",IF(H127="Submitted for Resolution","Cleared","Postponed"))))))</f>
        <v/>
      </c>
      <c r="L127" s="32" t="n"/>
    </row>
    <row r="128" ht="26" customHeight="1">
      <c r="A128" s="30" t="n"/>
      <c r="B128" s="43">
        <f>IFERROR(IF($A128="","",INDEX(RegTitle,MATCH($A128,RegCaseNo,0))),"Case no. not found")</f>
        <v/>
      </c>
      <c r="C128" s="31" t="n"/>
      <c r="D128" s="30" t="n"/>
      <c r="E128" s="30" t="n"/>
      <c r="F128" s="43">
        <f>IFERROR(IF($A128="","",INDEX(RegCourt,MATCH($A128,RegCaseNo,0))),"")</f>
        <v/>
      </c>
      <c r="G128" s="43">
        <f>IFERROR(IF($A128="","",INDEX(RegPersonnel,MATCH($A128,RegCaseNo,0))),"")</f>
        <v/>
      </c>
      <c r="H128" s="30" t="n"/>
      <c r="I128" s="31" t="n"/>
      <c r="J128" s="44">
        <f>IF(C128="","",C128-TODAY())</f>
        <v/>
      </c>
      <c r="K128" s="45">
        <f>IF(A128="","",IF(AND(H128="",C128&lt;TODAY()),"Overdue",IF(H128="","Upcoming",IF(H128="Held as Scheduled","Held",IF(H128="Cancelled","Cancelled",IF(H128="Submitted for Resolution","Cleared","Postponed"))))))</f>
        <v/>
      </c>
      <c r="L128" s="32" t="n"/>
    </row>
    <row r="129" ht="26" customHeight="1">
      <c r="A129" s="30" t="n"/>
      <c r="B129" s="43">
        <f>IFERROR(IF($A129="","",INDEX(RegTitle,MATCH($A129,RegCaseNo,0))),"Case no. not found")</f>
        <v/>
      </c>
      <c r="C129" s="31" t="n"/>
      <c r="D129" s="30" t="n"/>
      <c r="E129" s="30" t="n"/>
      <c r="F129" s="43">
        <f>IFERROR(IF($A129="","",INDEX(RegCourt,MATCH($A129,RegCaseNo,0))),"")</f>
        <v/>
      </c>
      <c r="G129" s="43">
        <f>IFERROR(IF($A129="","",INDEX(RegPersonnel,MATCH($A129,RegCaseNo,0))),"")</f>
        <v/>
      </c>
      <c r="H129" s="30" t="n"/>
      <c r="I129" s="31" t="n"/>
      <c r="J129" s="44">
        <f>IF(C129="","",C129-TODAY())</f>
        <v/>
      </c>
      <c r="K129" s="45">
        <f>IF(A129="","",IF(AND(H129="",C129&lt;TODAY()),"Overdue",IF(H129="","Upcoming",IF(H129="Held as Scheduled","Held",IF(H129="Cancelled","Cancelled",IF(H129="Submitted for Resolution","Cleared","Postponed"))))))</f>
        <v/>
      </c>
      <c r="L129" s="32" t="n"/>
    </row>
    <row r="130" ht="26" customHeight="1">
      <c r="A130" s="30" t="n"/>
      <c r="B130" s="43">
        <f>IFERROR(IF($A130="","",INDEX(RegTitle,MATCH($A130,RegCaseNo,0))),"Case no. not found")</f>
        <v/>
      </c>
      <c r="C130" s="31" t="n"/>
      <c r="D130" s="30" t="n"/>
      <c r="E130" s="30" t="n"/>
      <c r="F130" s="43">
        <f>IFERROR(IF($A130="","",INDEX(RegCourt,MATCH($A130,RegCaseNo,0))),"")</f>
        <v/>
      </c>
      <c r="G130" s="43">
        <f>IFERROR(IF($A130="","",INDEX(RegPersonnel,MATCH($A130,RegCaseNo,0))),"")</f>
        <v/>
      </c>
      <c r="H130" s="30" t="n"/>
      <c r="I130" s="31" t="n"/>
      <c r="J130" s="44">
        <f>IF(C130="","",C130-TODAY())</f>
        <v/>
      </c>
      <c r="K130" s="45">
        <f>IF(A130="","",IF(AND(H130="",C130&lt;TODAY()),"Overdue",IF(H130="","Upcoming",IF(H130="Held as Scheduled","Held",IF(H130="Cancelled","Cancelled",IF(H130="Submitted for Resolution","Cleared","Postponed"))))))</f>
        <v/>
      </c>
      <c r="L130" s="32" t="n"/>
    </row>
    <row r="131" ht="26" customHeight="1">
      <c r="A131" s="30" t="n"/>
      <c r="B131" s="43">
        <f>IFERROR(IF($A131="","",INDEX(RegTitle,MATCH($A131,RegCaseNo,0))),"Case no. not found")</f>
        <v/>
      </c>
      <c r="C131" s="31" t="n"/>
      <c r="D131" s="30" t="n"/>
      <c r="E131" s="30" t="n"/>
      <c r="F131" s="43">
        <f>IFERROR(IF($A131="","",INDEX(RegCourt,MATCH($A131,RegCaseNo,0))),"")</f>
        <v/>
      </c>
      <c r="G131" s="43">
        <f>IFERROR(IF($A131="","",INDEX(RegPersonnel,MATCH($A131,RegCaseNo,0))),"")</f>
        <v/>
      </c>
      <c r="H131" s="30" t="n"/>
      <c r="I131" s="31" t="n"/>
      <c r="J131" s="44">
        <f>IF(C131="","",C131-TODAY())</f>
        <v/>
      </c>
      <c r="K131" s="45">
        <f>IF(A131="","",IF(AND(H131="",C131&lt;TODAY()),"Overdue",IF(H131="","Upcoming",IF(H131="Held as Scheduled","Held",IF(H131="Cancelled","Cancelled",IF(H131="Submitted for Resolution","Cleared","Postponed"))))))</f>
        <v/>
      </c>
      <c r="L131" s="32" t="n"/>
    </row>
    <row r="132" ht="26" customHeight="1">
      <c r="A132" s="30" t="n"/>
      <c r="B132" s="43">
        <f>IFERROR(IF($A132="","",INDEX(RegTitle,MATCH($A132,RegCaseNo,0))),"Case no. not found")</f>
        <v/>
      </c>
      <c r="C132" s="31" t="n"/>
      <c r="D132" s="30" t="n"/>
      <c r="E132" s="30" t="n"/>
      <c r="F132" s="43">
        <f>IFERROR(IF($A132="","",INDEX(RegCourt,MATCH($A132,RegCaseNo,0))),"")</f>
        <v/>
      </c>
      <c r="G132" s="43">
        <f>IFERROR(IF($A132="","",INDEX(RegPersonnel,MATCH($A132,RegCaseNo,0))),"")</f>
        <v/>
      </c>
      <c r="H132" s="30" t="n"/>
      <c r="I132" s="31" t="n"/>
      <c r="J132" s="44">
        <f>IF(C132="","",C132-TODAY())</f>
        <v/>
      </c>
      <c r="K132" s="45">
        <f>IF(A132="","",IF(AND(H132="",C132&lt;TODAY()),"Overdue",IF(H132="","Upcoming",IF(H132="Held as Scheduled","Held",IF(H132="Cancelled","Cancelled",IF(H132="Submitted for Resolution","Cleared","Postponed"))))))</f>
        <v/>
      </c>
      <c r="L132" s="32" t="n"/>
    </row>
    <row r="133" ht="26" customHeight="1">
      <c r="A133" s="30" t="n"/>
      <c r="B133" s="43">
        <f>IFERROR(IF($A133="","",INDEX(RegTitle,MATCH($A133,RegCaseNo,0))),"Case no. not found")</f>
        <v/>
      </c>
      <c r="C133" s="31" t="n"/>
      <c r="D133" s="30" t="n"/>
      <c r="E133" s="30" t="n"/>
      <c r="F133" s="43">
        <f>IFERROR(IF($A133="","",INDEX(RegCourt,MATCH($A133,RegCaseNo,0))),"")</f>
        <v/>
      </c>
      <c r="G133" s="43">
        <f>IFERROR(IF($A133="","",INDEX(RegPersonnel,MATCH($A133,RegCaseNo,0))),"")</f>
        <v/>
      </c>
      <c r="H133" s="30" t="n"/>
      <c r="I133" s="31" t="n"/>
      <c r="J133" s="44">
        <f>IF(C133="","",C133-TODAY())</f>
        <v/>
      </c>
      <c r="K133" s="45">
        <f>IF(A133="","",IF(AND(H133="",C133&lt;TODAY()),"Overdue",IF(H133="","Upcoming",IF(H133="Held as Scheduled","Held",IF(H133="Cancelled","Cancelled",IF(H133="Submitted for Resolution","Cleared","Postponed"))))))</f>
        <v/>
      </c>
      <c r="L133" s="32" t="n"/>
    </row>
    <row r="134" ht="26" customHeight="1">
      <c r="A134" s="30" t="n"/>
      <c r="B134" s="43">
        <f>IFERROR(IF($A134="","",INDEX(RegTitle,MATCH($A134,RegCaseNo,0))),"Case no. not found")</f>
        <v/>
      </c>
      <c r="C134" s="31" t="n"/>
      <c r="D134" s="30" t="n"/>
      <c r="E134" s="30" t="n"/>
      <c r="F134" s="43">
        <f>IFERROR(IF($A134="","",INDEX(RegCourt,MATCH($A134,RegCaseNo,0))),"")</f>
        <v/>
      </c>
      <c r="G134" s="43">
        <f>IFERROR(IF($A134="","",INDEX(RegPersonnel,MATCH($A134,RegCaseNo,0))),"")</f>
        <v/>
      </c>
      <c r="H134" s="30" t="n"/>
      <c r="I134" s="31" t="n"/>
      <c r="J134" s="44">
        <f>IF(C134="","",C134-TODAY())</f>
        <v/>
      </c>
      <c r="K134" s="45">
        <f>IF(A134="","",IF(AND(H134="",C134&lt;TODAY()),"Overdue",IF(H134="","Upcoming",IF(H134="Held as Scheduled","Held",IF(H134="Cancelled","Cancelled",IF(H134="Submitted for Resolution","Cleared","Postponed"))))))</f>
        <v/>
      </c>
      <c r="L134" s="32" t="n"/>
    </row>
    <row r="135" ht="26" customHeight="1">
      <c r="A135" s="30" t="n"/>
      <c r="B135" s="43">
        <f>IFERROR(IF($A135="","",INDEX(RegTitle,MATCH($A135,RegCaseNo,0))),"Case no. not found")</f>
        <v/>
      </c>
      <c r="C135" s="31" t="n"/>
      <c r="D135" s="30" t="n"/>
      <c r="E135" s="30" t="n"/>
      <c r="F135" s="43">
        <f>IFERROR(IF($A135="","",INDEX(RegCourt,MATCH($A135,RegCaseNo,0))),"")</f>
        <v/>
      </c>
      <c r="G135" s="43">
        <f>IFERROR(IF($A135="","",INDEX(RegPersonnel,MATCH($A135,RegCaseNo,0))),"")</f>
        <v/>
      </c>
      <c r="H135" s="30" t="n"/>
      <c r="I135" s="31" t="n"/>
      <c r="J135" s="44">
        <f>IF(C135="","",C135-TODAY())</f>
        <v/>
      </c>
      <c r="K135" s="45">
        <f>IF(A135="","",IF(AND(H135="",C135&lt;TODAY()),"Overdue",IF(H135="","Upcoming",IF(H135="Held as Scheduled","Held",IF(H135="Cancelled","Cancelled",IF(H135="Submitted for Resolution","Cleared","Postponed"))))))</f>
        <v/>
      </c>
      <c r="L135" s="32" t="n"/>
    </row>
    <row r="136" ht="26" customHeight="1">
      <c r="A136" s="30" t="n"/>
      <c r="B136" s="43">
        <f>IFERROR(IF($A136="","",INDEX(RegTitle,MATCH($A136,RegCaseNo,0))),"Case no. not found")</f>
        <v/>
      </c>
      <c r="C136" s="31" t="n"/>
      <c r="D136" s="30" t="n"/>
      <c r="E136" s="30" t="n"/>
      <c r="F136" s="43">
        <f>IFERROR(IF($A136="","",INDEX(RegCourt,MATCH($A136,RegCaseNo,0))),"")</f>
        <v/>
      </c>
      <c r="G136" s="43">
        <f>IFERROR(IF($A136="","",INDEX(RegPersonnel,MATCH($A136,RegCaseNo,0))),"")</f>
        <v/>
      </c>
      <c r="H136" s="30" t="n"/>
      <c r="I136" s="31" t="n"/>
      <c r="J136" s="44">
        <f>IF(C136="","",C136-TODAY())</f>
        <v/>
      </c>
      <c r="K136" s="45">
        <f>IF(A136="","",IF(AND(H136="",C136&lt;TODAY()),"Overdue",IF(H136="","Upcoming",IF(H136="Held as Scheduled","Held",IF(H136="Cancelled","Cancelled",IF(H136="Submitted for Resolution","Cleared","Postponed"))))))</f>
        <v/>
      </c>
      <c r="L136" s="32" t="n"/>
    </row>
    <row r="137" ht="26" customHeight="1">
      <c r="A137" s="30" t="n"/>
      <c r="B137" s="43">
        <f>IFERROR(IF($A137="","",INDEX(RegTitle,MATCH($A137,RegCaseNo,0))),"Case no. not found")</f>
        <v/>
      </c>
      <c r="C137" s="31" t="n"/>
      <c r="D137" s="30" t="n"/>
      <c r="E137" s="30" t="n"/>
      <c r="F137" s="43">
        <f>IFERROR(IF($A137="","",INDEX(RegCourt,MATCH($A137,RegCaseNo,0))),"")</f>
        <v/>
      </c>
      <c r="G137" s="43">
        <f>IFERROR(IF($A137="","",INDEX(RegPersonnel,MATCH($A137,RegCaseNo,0))),"")</f>
        <v/>
      </c>
      <c r="H137" s="30" t="n"/>
      <c r="I137" s="31" t="n"/>
      <c r="J137" s="44">
        <f>IF(C137="","",C137-TODAY())</f>
        <v/>
      </c>
      <c r="K137" s="45">
        <f>IF(A137="","",IF(AND(H137="",C137&lt;TODAY()),"Overdue",IF(H137="","Upcoming",IF(H137="Held as Scheduled","Held",IF(H137="Cancelled","Cancelled",IF(H137="Submitted for Resolution","Cleared","Postponed"))))))</f>
        <v/>
      </c>
      <c r="L137" s="32" t="n"/>
    </row>
    <row r="138" ht="26" customHeight="1">
      <c r="A138" s="30" t="n"/>
      <c r="B138" s="43">
        <f>IFERROR(IF($A138="","",INDEX(RegTitle,MATCH($A138,RegCaseNo,0))),"Case no. not found")</f>
        <v/>
      </c>
      <c r="C138" s="31" t="n"/>
      <c r="D138" s="30" t="n"/>
      <c r="E138" s="30" t="n"/>
      <c r="F138" s="43">
        <f>IFERROR(IF($A138="","",INDEX(RegCourt,MATCH($A138,RegCaseNo,0))),"")</f>
        <v/>
      </c>
      <c r="G138" s="43">
        <f>IFERROR(IF($A138="","",INDEX(RegPersonnel,MATCH($A138,RegCaseNo,0))),"")</f>
        <v/>
      </c>
      <c r="H138" s="30" t="n"/>
      <c r="I138" s="31" t="n"/>
      <c r="J138" s="44">
        <f>IF(C138="","",C138-TODAY())</f>
        <v/>
      </c>
      <c r="K138" s="45">
        <f>IF(A138="","",IF(AND(H138="",C138&lt;TODAY()),"Overdue",IF(H138="","Upcoming",IF(H138="Held as Scheduled","Held",IF(H138="Cancelled","Cancelled",IF(H138="Submitted for Resolution","Cleared","Postponed"))))))</f>
        <v/>
      </c>
      <c r="L138" s="32" t="n"/>
    </row>
    <row r="139" ht="26" customHeight="1">
      <c r="A139" s="30" t="n"/>
      <c r="B139" s="43">
        <f>IFERROR(IF($A139="","",INDEX(RegTitle,MATCH($A139,RegCaseNo,0))),"Case no. not found")</f>
        <v/>
      </c>
      <c r="C139" s="31" t="n"/>
      <c r="D139" s="30" t="n"/>
      <c r="E139" s="30" t="n"/>
      <c r="F139" s="43">
        <f>IFERROR(IF($A139="","",INDEX(RegCourt,MATCH($A139,RegCaseNo,0))),"")</f>
        <v/>
      </c>
      <c r="G139" s="43">
        <f>IFERROR(IF($A139="","",INDEX(RegPersonnel,MATCH($A139,RegCaseNo,0))),"")</f>
        <v/>
      </c>
      <c r="H139" s="30" t="n"/>
      <c r="I139" s="31" t="n"/>
      <c r="J139" s="44">
        <f>IF(C139="","",C139-TODAY())</f>
        <v/>
      </c>
      <c r="K139" s="45">
        <f>IF(A139="","",IF(AND(H139="",C139&lt;TODAY()),"Overdue",IF(H139="","Upcoming",IF(H139="Held as Scheduled","Held",IF(H139="Cancelled","Cancelled",IF(H139="Submitted for Resolution","Cleared","Postponed"))))))</f>
        <v/>
      </c>
      <c r="L139" s="32" t="n"/>
    </row>
    <row r="140" ht="26" customHeight="1">
      <c r="A140" s="30" t="n"/>
      <c r="B140" s="43">
        <f>IFERROR(IF($A140="","",INDEX(RegTitle,MATCH($A140,RegCaseNo,0))),"Case no. not found")</f>
        <v/>
      </c>
      <c r="C140" s="31" t="n"/>
      <c r="D140" s="30" t="n"/>
      <c r="E140" s="30" t="n"/>
      <c r="F140" s="43">
        <f>IFERROR(IF($A140="","",INDEX(RegCourt,MATCH($A140,RegCaseNo,0))),"")</f>
        <v/>
      </c>
      <c r="G140" s="43">
        <f>IFERROR(IF($A140="","",INDEX(RegPersonnel,MATCH($A140,RegCaseNo,0))),"")</f>
        <v/>
      </c>
      <c r="H140" s="30" t="n"/>
      <c r="I140" s="31" t="n"/>
      <c r="J140" s="44">
        <f>IF(C140="","",C140-TODAY())</f>
        <v/>
      </c>
      <c r="K140" s="45">
        <f>IF(A140="","",IF(AND(H140="",C140&lt;TODAY()),"Overdue",IF(H140="","Upcoming",IF(H140="Held as Scheduled","Held",IF(H140="Cancelled","Cancelled",IF(H140="Submitted for Resolution","Cleared","Postponed"))))))</f>
        <v/>
      </c>
      <c r="L140" s="32" t="n"/>
    </row>
    <row r="141" ht="26" customHeight="1">
      <c r="A141" s="30" t="n"/>
      <c r="B141" s="43">
        <f>IFERROR(IF($A141="","",INDEX(RegTitle,MATCH($A141,RegCaseNo,0))),"Case no. not found")</f>
        <v/>
      </c>
      <c r="C141" s="31" t="n"/>
      <c r="D141" s="30" t="n"/>
      <c r="E141" s="30" t="n"/>
      <c r="F141" s="43">
        <f>IFERROR(IF($A141="","",INDEX(RegCourt,MATCH($A141,RegCaseNo,0))),"")</f>
        <v/>
      </c>
      <c r="G141" s="43">
        <f>IFERROR(IF($A141="","",INDEX(RegPersonnel,MATCH($A141,RegCaseNo,0))),"")</f>
        <v/>
      </c>
      <c r="H141" s="30" t="n"/>
      <c r="I141" s="31" t="n"/>
      <c r="J141" s="44">
        <f>IF(C141="","",C141-TODAY())</f>
        <v/>
      </c>
      <c r="K141" s="45">
        <f>IF(A141="","",IF(AND(H141="",C141&lt;TODAY()),"Overdue",IF(H141="","Upcoming",IF(H141="Held as Scheduled","Held",IF(H141="Cancelled","Cancelled",IF(H141="Submitted for Resolution","Cleared","Postponed"))))))</f>
        <v/>
      </c>
      <c r="L141" s="32" t="n"/>
    </row>
    <row r="142" ht="26" customHeight="1">
      <c r="A142" s="30" t="n"/>
      <c r="B142" s="43">
        <f>IFERROR(IF($A142="","",INDEX(RegTitle,MATCH($A142,RegCaseNo,0))),"Case no. not found")</f>
        <v/>
      </c>
      <c r="C142" s="31" t="n"/>
      <c r="D142" s="30" t="n"/>
      <c r="E142" s="30" t="n"/>
      <c r="F142" s="43">
        <f>IFERROR(IF($A142="","",INDEX(RegCourt,MATCH($A142,RegCaseNo,0))),"")</f>
        <v/>
      </c>
      <c r="G142" s="43">
        <f>IFERROR(IF($A142="","",INDEX(RegPersonnel,MATCH($A142,RegCaseNo,0))),"")</f>
        <v/>
      </c>
      <c r="H142" s="30" t="n"/>
      <c r="I142" s="31" t="n"/>
      <c r="J142" s="44">
        <f>IF(C142="","",C142-TODAY())</f>
        <v/>
      </c>
      <c r="K142" s="45">
        <f>IF(A142="","",IF(AND(H142="",C142&lt;TODAY()),"Overdue",IF(H142="","Upcoming",IF(H142="Held as Scheduled","Held",IF(H142="Cancelled","Cancelled",IF(H142="Submitted for Resolution","Cleared","Postponed"))))))</f>
        <v/>
      </c>
      <c r="L142" s="32" t="n"/>
    </row>
    <row r="143" ht="26" customHeight="1">
      <c r="A143" s="30" t="n"/>
      <c r="B143" s="43">
        <f>IFERROR(IF($A143="","",INDEX(RegTitle,MATCH($A143,RegCaseNo,0))),"Case no. not found")</f>
        <v/>
      </c>
      <c r="C143" s="31" t="n"/>
      <c r="D143" s="30" t="n"/>
      <c r="E143" s="30" t="n"/>
      <c r="F143" s="43">
        <f>IFERROR(IF($A143="","",INDEX(RegCourt,MATCH($A143,RegCaseNo,0))),"")</f>
        <v/>
      </c>
      <c r="G143" s="43">
        <f>IFERROR(IF($A143="","",INDEX(RegPersonnel,MATCH($A143,RegCaseNo,0))),"")</f>
        <v/>
      </c>
      <c r="H143" s="30" t="n"/>
      <c r="I143" s="31" t="n"/>
      <c r="J143" s="44">
        <f>IF(C143="","",C143-TODAY())</f>
        <v/>
      </c>
      <c r="K143" s="45">
        <f>IF(A143="","",IF(AND(H143="",C143&lt;TODAY()),"Overdue",IF(H143="","Upcoming",IF(H143="Held as Scheduled","Held",IF(H143="Cancelled","Cancelled",IF(H143="Submitted for Resolution","Cleared","Postponed"))))))</f>
        <v/>
      </c>
      <c r="L143" s="32" t="n"/>
    </row>
    <row r="144" ht="26" customHeight="1">
      <c r="A144" s="30" t="n"/>
      <c r="B144" s="43">
        <f>IFERROR(IF($A144="","",INDEX(RegTitle,MATCH($A144,RegCaseNo,0))),"Case no. not found")</f>
        <v/>
      </c>
      <c r="C144" s="31" t="n"/>
      <c r="D144" s="30" t="n"/>
      <c r="E144" s="30" t="n"/>
      <c r="F144" s="43">
        <f>IFERROR(IF($A144="","",INDEX(RegCourt,MATCH($A144,RegCaseNo,0))),"")</f>
        <v/>
      </c>
      <c r="G144" s="43">
        <f>IFERROR(IF($A144="","",INDEX(RegPersonnel,MATCH($A144,RegCaseNo,0))),"")</f>
        <v/>
      </c>
      <c r="H144" s="30" t="n"/>
      <c r="I144" s="31" t="n"/>
      <c r="J144" s="44">
        <f>IF(C144="","",C144-TODAY())</f>
        <v/>
      </c>
      <c r="K144" s="45">
        <f>IF(A144="","",IF(AND(H144="",C144&lt;TODAY()),"Overdue",IF(H144="","Upcoming",IF(H144="Held as Scheduled","Held",IF(H144="Cancelled","Cancelled",IF(H144="Submitted for Resolution","Cleared","Postponed"))))))</f>
        <v/>
      </c>
      <c r="L144" s="32" t="n"/>
    </row>
    <row r="145" ht="26" customHeight="1">
      <c r="A145" s="30" t="n"/>
      <c r="B145" s="43">
        <f>IFERROR(IF($A145="","",INDEX(RegTitle,MATCH($A145,RegCaseNo,0))),"Case no. not found")</f>
        <v/>
      </c>
      <c r="C145" s="31" t="n"/>
      <c r="D145" s="30" t="n"/>
      <c r="E145" s="30" t="n"/>
      <c r="F145" s="43">
        <f>IFERROR(IF($A145="","",INDEX(RegCourt,MATCH($A145,RegCaseNo,0))),"")</f>
        <v/>
      </c>
      <c r="G145" s="43">
        <f>IFERROR(IF($A145="","",INDEX(RegPersonnel,MATCH($A145,RegCaseNo,0))),"")</f>
        <v/>
      </c>
      <c r="H145" s="30" t="n"/>
      <c r="I145" s="31" t="n"/>
      <c r="J145" s="44">
        <f>IF(C145="","",C145-TODAY())</f>
        <v/>
      </c>
      <c r="K145" s="45">
        <f>IF(A145="","",IF(AND(H145="",C145&lt;TODAY()),"Overdue",IF(H145="","Upcoming",IF(H145="Held as Scheduled","Held",IF(H145="Cancelled","Cancelled",IF(H145="Submitted for Resolution","Cleared","Postponed"))))))</f>
        <v/>
      </c>
      <c r="L145" s="32" t="n"/>
    </row>
    <row r="146" ht="26" customHeight="1">
      <c r="A146" s="30" t="n"/>
      <c r="B146" s="43">
        <f>IFERROR(IF($A146="","",INDEX(RegTitle,MATCH($A146,RegCaseNo,0))),"Case no. not found")</f>
        <v/>
      </c>
      <c r="C146" s="31" t="n"/>
      <c r="D146" s="30" t="n"/>
      <c r="E146" s="30" t="n"/>
      <c r="F146" s="43">
        <f>IFERROR(IF($A146="","",INDEX(RegCourt,MATCH($A146,RegCaseNo,0))),"")</f>
        <v/>
      </c>
      <c r="G146" s="43">
        <f>IFERROR(IF($A146="","",INDEX(RegPersonnel,MATCH($A146,RegCaseNo,0))),"")</f>
        <v/>
      </c>
      <c r="H146" s="30" t="n"/>
      <c r="I146" s="31" t="n"/>
      <c r="J146" s="44">
        <f>IF(C146="","",C146-TODAY())</f>
        <v/>
      </c>
      <c r="K146" s="45">
        <f>IF(A146="","",IF(AND(H146="",C146&lt;TODAY()),"Overdue",IF(H146="","Upcoming",IF(H146="Held as Scheduled","Held",IF(H146="Cancelled","Cancelled",IF(H146="Submitted for Resolution","Cleared","Postponed"))))))</f>
        <v/>
      </c>
      <c r="L146" s="32" t="n"/>
    </row>
    <row r="147" ht="26" customHeight="1">
      <c r="A147" s="30" t="n"/>
      <c r="B147" s="43">
        <f>IFERROR(IF($A147="","",INDEX(RegTitle,MATCH($A147,RegCaseNo,0))),"Case no. not found")</f>
        <v/>
      </c>
      <c r="C147" s="31" t="n"/>
      <c r="D147" s="30" t="n"/>
      <c r="E147" s="30" t="n"/>
      <c r="F147" s="43">
        <f>IFERROR(IF($A147="","",INDEX(RegCourt,MATCH($A147,RegCaseNo,0))),"")</f>
        <v/>
      </c>
      <c r="G147" s="43">
        <f>IFERROR(IF($A147="","",INDEX(RegPersonnel,MATCH($A147,RegCaseNo,0))),"")</f>
        <v/>
      </c>
      <c r="H147" s="30" t="n"/>
      <c r="I147" s="31" t="n"/>
      <c r="J147" s="44">
        <f>IF(C147="","",C147-TODAY())</f>
        <v/>
      </c>
      <c r="K147" s="45">
        <f>IF(A147="","",IF(AND(H147="",C147&lt;TODAY()),"Overdue",IF(H147="","Upcoming",IF(H147="Held as Scheduled","Held",IF(H147="Cancelled","Cancelled",IF(H147="Submitted for Resolution","Cleared","Postponed"))))))</f>
        <v/>
      </c>
      <c r="L147" s="32" t="n"/>
    </row>
    <row r="148" ht="26" customHeight="1">
      <c r="A148" s="30" t="n"/>
      <c r="B148" s="43">
        <f>IFERROR(IF($A148="","",INDEX(RegTitle,MATCH($A148,RegCaseNo,0))),"Case no. not found")</f>
        <v/>
      </c>
      <c r="C148" s="31" t="n"/>
      <c r="D148" s="30" t="n"/>
      <c r="E148" s="30" t="n"/>
      <c r="F148" s="43">
        <f>IFERROR(IF($A148="","",INDEX(RegCourt,MATCH($A148,RegCaseNo,0))),"")</f>
        <v/>
      </c>
      <c r="G148" s="43">
        <f>IFERROR(IF($A148="","",INDEX(RegPersonnel,MATCH($A148,RegCaseNo,0))),"")</f>
        <v/>
      </c>
      <c r="H148" s="30" t="n"/>
      <c r="I148" s="31" t="n"/>
      <c r="J148" s="44">
        <f>IF(C148="","",C148-TODAY())</f>
        <v/>
      </c>
      <c r="K148" s="45">
        <f>IF(A148="","",IF(AND(H148="",C148&lt;TODAY()),"Overdue",IF(H148="","Upcoming",IF(H148="Held as Scheduled","Held",IF(H148="Cancelled","Cancelled",IF(H148="Submitted for Resolution","Cleared","Postponed"))))))</f>
        <v/>
      </c>
      <c r="L148" s="32" t="n"/>
    </row>
    <row r="149" ht="26" customHeight="1">
      <c r="A149" s="30" t="n"/>
      <c r="B149" s="43">
        <f>IFERROR(IF($A149="","",INDEX(RegTitle,MATCH($A149,RegCaseNo,0))),"Case no. not found")</f>
        <v/>
      </c>
      <c r="C149" s="31" t="n"/>
      <c r="D149" s="30" t="n"/>
      <c r="E149" s="30" t="n"/>
      <c r="F149" s="43">
        <f>IFERROR(IF($A149="","",INDEX(RegCourt,MATCH($A149,RegCaseNo,0))),"")</f>
        <v/>
      </c>
      <c r="G149" s="43">
        <f>IFERROR(IF($A149="","",INDEX(RegPersonnel,MATCH($A149,RegCaseNo,0))),"")</f>
        <v/>
      </c>
      <c r="H149" s="30" t="n"/>
      <c r="I149" s="31" t="n"/>
      <c r="J149" s="44">
        <f>IF(C149="","",C149-TODAY())</f>
        <v/>
      </c>
      <c r="K149" s="45">
        <f>IF(A149="","",IF(AND(H149="",C149&lt;TODAY()),"Overdue",IF(H149="","Upcoming",IF(H149="Held as Scheduled","Held",IF(H149="Cancelled","Cancelled",IF(H149="Submitted for Resolution","Cleared","Postponed"))))))</f>
        <v/>
      </c>
      <c r="L149" s="32" t="n"/>
    </row>
    <row r="150" ht="26" customHeight="1">
      <c r="A150" s="30" t="n"/>
      <c r="B150" s="43">
        <f>IFERROR(IF($A150="","",INDEX(RegTitle,MATCH($A150,RegCaseNo,0))),"Case no. not found")</f>
        <v/>
      </c>
      <c r="C150" s="31" t="n"/>
      <c r="D150" s="30" t="n"/>
      <c r="E150" s="30" t="n"/>
      <c r="F150" s="43">
        <f>IFERROR(IF($A150="","",INDEX(RegCourt,MATCH($A150,RegCaseNo,0))),"")</f>
        <v/>
      </c>
      <c r="G150" s="43">
        <f>IFERROR(IF($A150="","",INDEX(RegPersonnel,MATCH($A150,RegCaseNo,0))),"")</f>
        <v/>
      </c>
      <c r="H150" s="30" t="n"/>
      <c r="I150" s="31" t="n"/>
      <c r="J150" s="44">
        <f>IF(C150="","",C150-TODAY())</f>
        <v/>
      </c>
      <c r="K150" s="45">
        <f>IF(A150="","",IF(AND(H150="",C150&lt;TODAY()),"Overdue",IF(H150="","Upcoming",IF(H150="Held as Scheduled","Held",IF(H150="Cancelled","Cancelled",IF(H150="Submitted for Resolution","Cleared","Postponed"))))))</f>
        <v/>
      </c>
      <c r="L150" s="32" t="n"/>
    </row>
    <row r="151" ht="26" customHeight="1">
      <c r="A151" s="30" t="n"/>
      <c r="B151" s="43">
        <f>IFERROR(IF($A151="","",INDEX(RegTitle,MATCH($A151,RegCaseNo,0))),"Case no. not found")</f>
        <v/>
      </c>
      <c r="C151" s="31" t="n"/>
      <c r="D151" s="30" t="n"/>
      <c r="E151" s="30" t="n"/>
      <c r="F151" s="43">
        <f>IFERROR(IF($A151="","",INDEX(RegCourt,MATCH($A151,RegCaseNo,0))),"")</f>
        <v/>
      </c>
      <c r="G151" s="43">
        <f>IFERROR(IF($A151="","",INDEX(RegPersonnel,MATCH($A151,RegCaseNo,0))),"")</f>
        <v/>
      </c>
      <c r="H151" s="30" t="n"/>
      <c r="I151" s="31" t="n"/>
      <c r="J151" s="44">
        <f>IF(C151="","",C151-TODAY())</f>
        <v/>
      </c>
      <c r="K151" s="45">
        <f>IF(A151="","",IF(AND(H151="",C151&lt;TODAY()),"Overdue",IF(H151="","Upcoming",IF(H151="Held as Scheduled","Held",IF(H151="Cancelled","Cancelled",IF(H151="Submitted for Resolution","Cleared","Postponed"))))))</f>
        <v/>
      </c>
      <c r="L151" s="32" t="n"/>
    </row>
    <row r="152" ht="26" customHeight="1">
      <c r="A152" s="30" t="n"/>
      <c r="B152" s="43">
        <f>IFERROR(IF($A152="","",INDEX(RegTitle,MATCH($A152,RegCaseNo,0))),"Case no. not found")</f>
        <v/>
      </c>
      <c r="C152" s="31" t="n"/>
      <c r="D152" s="30" t="n"/>
      <c r="E152" s="30" t="n"/>
      <c r="F152" s="43">
        <f>IFERROR(IF($A152="","",INDEX(RegCourt,MATCH($A152,RegCaseNo,0))),"")</f>
        <v/>
      </c>
      <c r="G152" s="43">
        <f>IFERROR(IF($A152="","",INDEX(RegPersonnel,MATCH($A152,RegCaseNo,0))),"")</f>
        <v/>
      </c>
      <c r="H152" s="30" t="n"/>
      <c r="I152" s="31" t="n"/>
      <c r="J152" s="44">
        <f>IF(C152="","",C152-TODAY())</f>
        <v/>
      </c>
      <c r="K152" s="45">
        <f>IF(A152="","",IF(AND(H152="",C152&lt;TODAY()),"Overdue",IF(H152="","Upcoming",IF(H152="Held as Scheduled","Held",IF(H152="Cancelled","Cancelled",IF(H152="Submitted for Resolution","Cleared","Postponed"))))))</f>
        <v/>
      </c>
      <c r="L152" s="32" t="n"/>
    </row>
    <row r="153" ht="26" customHeight="1">
      <c r="A153" s="30" t="n"/>
      <c r="B153" s="43">
        <f>IFERROR(IF($A153="","",INDEX(RegTitle,MATCH($A153,RegCaseNo,0))),"Case no. not found")</f>
        <v/>
      </c>
      <c r="C153" s="31" t="n"/>
      <c r="D153" s="30" t="n"/>
      <c r="E153" s="30" t="n"/>
      <c r="F153" s="43">
        <f>IFERROR(IF($A153="","",INDEX(RegCourt,MATCH($A153,RegCaseNo,0))),"")</f>
        <v/>
      </c>
      <c r="G153" s="43">
        <f>IFERROR(IF($A153="","",INDEX(RegPersonnel,MATCH($A153,RegCaseNo,0))),"")</f>
        <v/>
      </c>
      <c r="H153" s="30" t="n"/>
      <c r="I153" s="31" t="n"/>
      <c r="J153" s="44">
        <f>IF(C153="","",C153-TODAY())</f>
        <v/>
      </c>
      <c r="K153" s="45">
        <f>IF(A153="","",IF(AND(H153="",C153&lt;TODAY()),"Overdue",IF(H153="","Upcoming",IF(H153="Held as Scheduled","Held",IF(H153="Cancelled","Cancelled",IF(H153="Submitted for Resolution","Cleared","Postponed"))))))</f>
        <v/>
      </c>
      <c r="L153" s="32" t="n"/>
    </row>
    <row r="154" ht="26" customHeight="1">
      <c r="A154" s="30" t="n"/>
      <c r="B154" s="43">
        <f>IFERROR(IF($A154="","",INDEX(RegTitle,MATCH($A154,RegCaseNo,0))),"Case no. not found")</f>
        <v/>
      </c>
      <c r="C154" s="31" t="n"/>
      <c r="D154" s="30" t="n"/>
      <c r="E154" s="30" t="n"/>
      <c r="F154" s="43">
        <f>IFERROR(IF($A154="","",INDEX(RegCourt,MATCH($A154,RegCaseNo,0))),"")</f>
        <v/>
      </c>
      <c r="G154" s="43">
        <f>IFERROR(IF($A154="","",INDEX(RegPersonnel,MATCH($A154,RegCaseNo,0))),"")</f>
        <v/>
      </c>
      <c r="H154" s="30" t="n"/>
      <c r="I154" s="31" t="n"/>
      <c r="J154" s="44">
        <f>IF(C154="","",C154-TODAY())</f>
        <v/>
      </c>
      <c r="K154" s="45">
        <f>IF(A154="","",IF(AND(H154="",C154&lt;TODAY()),"Overdue",IF(H154="","Upcoming",IF(H154="Held as Scheduled","Held",IF(H154="Cancelled","Cancelled",IF(H154="Submitted for Resolution","Cleared","Postponed"))))))</f>
        <v/>
      </c>
      <c r="L154" s="32" t="n"/>
    </row>
    <row r="155" ht="26" customHeight="1">
      <c r="A155" s="30" t="n"/>
      <c r="B155" s="43">
        <f>IFERROR(IF($A155="","",INDEX(RegTitle,MATCH($A155,RegCaseNo,0))),"Case no. not found")</f>
        <v/>
      </c>
      <c r="C155" s="31" t="n"/>
      <c r="D155" s="30" t="n"/>
      <c r="E155" s="30" t="n"/>
      <c r="F155" s="43">
        <f>IFERROR(IF($A155="","",INDEX(RegCourt,MATCH($A155,RegCaseNo,0))),"")</f>
        <v/>
      </c>
      <c r="G155" s="43">
        <f>IFERROR(IF($A155="","",INDEX(RegPersonnel,MATCH($A155,RegCaseNo,0))),"")</f>
        <v/>
      </c>
      <c r="H155" s="30" t="n"/>
      <c r="I155" s="31" t="n"/>
      <c r="J155" s="44">
        <f>IF(C155="","",C155-TODAY())</f>
        <v/>
      </c>
      <c r="K155" s="45">
        <f>IF(A155="","",IF(AND(H155="",C155&lt;TODAY()),"Overdue",IF(H155="","Upcoming",IF(H155="Held as Scheduled","Held",IF(H155="Cancelled","Cancelled",IF(H155="Submitted for Resolution","Cleared","Postponed"))))))</f>
        <v/>
      </c>
      <c r="L155" s="32" t="n"/>
    </row>
    <row r="156" ht="26" customHeight="1">
      <c r="A156" s="30" t="n"/>
      <c r="B156" s="43">
        <f>IFERROR(IF($A156="","",INDEX(RegTitle,MATCH($A156,RegCaseNo,0))),"Case no. not found")</f>
        <v/>
      </c>
      <c r="C156" s="31" t="n"/>
      <c r="D156" s="30" t="n"/>
      <c r="E156" s="30" t="n"/>
      <c r="F156" s="43">
        <f>IFERROR(IF($A156="","",INDEX(RegCourt,MATCH($A156,RegCaseNo,0))),"")</f>
        <v/>
      </c>
      <c r="G156" s="43">
        <f>IFERROR(IF($A156="","",INDEX(RegPersonnel,MATCH($A156,RegCaseNo,0))),"")</f>
        <v/>
      </c>
      <c r="H156" s="30" t="n"/>
      <c r="I156" s="31" t="n"/>
      <c r="J156" s="44">
        <f>IF(C156="","",C156-TODAY())</f>
        <v/>
      </c>
      <c r="K156" s="45">
        <f>IF(A156="","",IF(AND(H156="",C156&lt;TODAY()),"Overdue",IF(H156="","Upcoming",IF(H156="Held as Scheduled","Held",IF(H156="Cancelled","Cancelled",IF(H156="Submitted for Resolution","Cleared","Postponed"))))))</f>
        <v/>
      </c>
      <c r="L156" s="32" t="n"/>
    </row>
    <row r="157" ht="26" customHeight="1">
      <c r="A157" s="30" t="n"/>
      <c r="B157" s="43">
        <f>IFERROR(IF($A157="","",INDEX(RegTitle,MATCH($A157,RegCaseNo,0))),"Case no. not found")</f>
        <v/>
      </c>
      <c r="C157" s="31" t="n"/>
      <c r="D157" s="30" t="n"/>
      <c r="E157" s="30" t="n"/>
      <c r="F157" s="43">
        <f>IFERROR(IF($A157="","",INDEX(RegCourt,MATCH($A157,RegCaseNo,0))),"")</f>
        <v/>
      </c>
      <c r="G157" s="43">
        <f>IFERROR(IF($A157="","",INDEX(RegPersonnel,MATCH($A157,RegCaseNo,0))),"")</f>
        <v/>
      </c>
      <c r="H157" s="30" t="n"/>
      <c r="I157" s="31" t="n"/>
      <c r="J157" s="44">
        <f>IF(C157="","",C157-TODAY())</f>
        <v/>
      </c>
      <c r="K157" s="45">
        <f>IF(A157="","",IF(AND(H157="",C157&lt;TODAY()),"Overdue",IF(H157="","Upcoming",IF(H157="Held as Scheduled","Held",IF(H157="Cancelled","Cancelled",IF(H157="Submitted for Resolution","Cleared","Postponed"))))))</f>
        <v/>
      </c>
      <c r="L157" s="32" t="n"/>
    </row>
    <row r="158" ht="26" customHeight="1">
      <c r="A158" s="30" t="n"/>
      <c r="B158" s="43">
        <f>IFERROR(IF($A158="","",INDEX(RegTitle,MATCH($A158,RegCaseNo,0))),"Case no. not found")</f>
        <v/>
      </c>
      <c r="C158" s="31" t="n"/>
      <c r="D158" s="30" t="n"/>
      <c r="E158" s="30" t="n"/>
      <c r="F158" s="43">
        <f>IFERROR(IF($A158="","",INDEX(RegCourt,MATCH($A158,RegCaseNo,0))),"")</f>
        <v/>
      </c>
      <c r="G158" s="43">
        <f>IFERROR(IF($A158="","",INDEX(RegPersonnel,MATCH($A158,RegCaseNo,0))),"")</f>
        <v/>
      </c>
      <c r="H158" s="30" t="n"/>
      <c r="I158" s="31" t="n"/>
      <c r="J158" s="44">
        <f>IF(C158="","",C158-TODAY())</f>
        <v/>
      </c>
      <c r="K158" s="45">
        <f>IF(A158="","",IF(AND(H158="",C158&lt;TODAY()),"Overdue",IF(H158="","Upcoming",IF(H158="Held as Scheduled","Held",IF(H158="Cancelled","Cancelled",IF(H158="Submitted for Resolution","Cleared","Postponed"))))))</f>
        <v/>
      </c>
      <c r="L158" s="32" t="n"/>
    </row>
    <row r="159" ht="26" customHeight="1">
      <c r="A159" s="30" t="n"/>
      <c r="B159" s="43">
        <f>IFERROR(IF($A159="","",INDEX(RegTitle,MATCH($A159,RegCaseNo,0))),"Case no. not found")</f>
        <v/>
      </c>
      <c r="C159" s="31" t="n"/>
      <c r="D159" s="30" t="n"/>
      <c r="E159" s="30" t="n"/>
      <c r="F159" s="43">
        <f>IFERROR(IF($A159="","",INDEX(RegCourt,MATCH($A159,RegCaseNo,0))),"")</f>
        <v/>
      </c>
      <c r="G159" s="43">
        <f>IFERROR(IF($A159="","",INDEX(RegPersonnel,MATCH($A159,RegCaseNo,0))),"")</f>
        <v/>
      </c>
      <c r="H159" s="30" t="n"/>
      <c r="I159" s="31" t="n"/>
      <c r="J159" s="44">
        <f>IF(C159="","",C159-TODAY())</f>
        <v/>
      </c>
      <c r="K159" s="45">
        <f>IF(A159="","",IF(AND(H159="",C159&lt;TODAY()),"Overdue",IF(H159="","Upcoming",IF(H159="Held as Scheduled","Held",IF(H159="Cancelled","Cancelled",IF(H159="Submitted for Resolution","Cleared","Postponed"))))))</f>
        <v/>
      </c>
      <c r="L159" s="32" t="n"/>
    </row>
    <row r="160" ht="26" customHeight="1">
      <c r="A160" s="30" t="n"/>
      <c r="B160" s="43">
        <f>IFERROR(IF($A160="","",INDEX(RegTitle,MATCH($A160,RegCaseNo,0))),"Case no. not found")</f>
        <v/>
      </c>
      <c r="C160" s="31" t="n"/>
      <c r="D160" s="30" t="n"/>
      <c r="E160" s="30" t="n"/>
      <c r="F160" s="43">
        <f>IFERROR(IF($A160="","",INDEX(RegCourt,MATCH($A160,RegCaseNo,0))),"")</f>
        <v/>
      </c>
      <c r="G160" s="43">
        <f>IFERROR(IF($A160="","",INDEX(RegPersonnel,MATCH($A160,RegCaseNo,0))),"")</f>
        <v/>
      </c>
      <c r="H160" s="30" t="n"/>
      <c r="I160" s="31" t="n"/>
      <c r="J160" s="44">
        <f>IF(C160="","",C160-TODAY())</f>
        <v/>
      </c>
      <c r="K160" s="45">
        <f>IF(A160="","",IF(AND(H160="",C160&lt;TODAY()),"Overdue",IF(H160="","Upcoming",IF(H160="Held as Scheduled","Held",IF(H160="Cancelled","Cancelled",IF(H160="Submitted for Resolution","Cleared","Postponed"))))))</f>
        <v/>
      </c>
      <c r="L160" s="32" t="n"/>
    </row>
    <row r="161" ht="26" customHeight="1">
      <c r="A161" s="30" t="n"/>
      <c r="B161" s="43">
        <f>IFERROR(IF($A161="","",INDEX(RegTitle,MATCH($A161,RegCaseNo,0))),"Case no. not found")</f>
        <v/>
      </c>
      <c r="C161" s="31" t="n"/>
      <c r="D161" s="30" t="n"/>
      <c r="E161" s="30" t="n"/>
      <c r="F161" s="43">
        <f>IFERROR(IF($A161="","",INDEX(RegCourt,MATCH($A161,RegCaseNo,0))),"")</f>
        <v/>
      </c>
      <c r="G161" s="43">
        <f>IFERROR(IF($A161="","",INDEX(RegPersonnel,MATCH($A161,RegCaseNo,0))),"")</f>
        <v/>
      </c>
      <c r="H161" s="30" t="n"/>
      <c r="I161" s="31" t="n"/>
      <c r="J161" s="44">
        <f>IF(C161="","",C161-TODAY())</f>
        <v/>
      </c>
      <c r="K161" s="45">
        <f>IF(A161="","",IF(AND(H161="",C161&lt;TODAY()),"Overdue",IF(H161="","Upcoming",IF(H161="Held as Scheduled","Held",IF(H161="Cancelled","Cancelled",IF(H161="Submitted for Resolution","Cleared","Postponed"))))))</f>
        <v/>
      </c>
      <c r="L161" s="32" t="n"/>
    </row>
    <row r="162" ht="26" customHeight="1">
      <c r="A162" s="30" t="n"/>
      <c r="B162" s="43">
        <f>IFERROR(IF($A162="","",INDEX(RegTitle,MATCH($A162,RegCaseNo,0))),"Case no. not found")</f>
        <v/>
      </c>
      <c r="C162" s="31" t="n"/>
      <c r="D162" s="30" t="n"/>
      <c r="E162" s="30" t="n"/>
      <c r="F162" s="43">
        <f>IFERROR(IF($A162="","",INDEX(RegCourt,MATCH($A162,RegCaseNo,0))),"")</f>
        <v/>
      </c>
      <c r="G162" s="43">
        <f>IFERROR(IF($A162="","",INDEX(RegPersonnel,MATCH($A162,RegCaseNo,0))),"")</f>
        <v/>
      </c>
      <c r="H162" s="30" t="n"/>
      <c r="I162" s="31" t="n"/>
      <c r="J162" s="44">
        <f>IF(C162="","",C162-TODAY())</f>
        <v/>
      </c>
      <c r="K162" s="45">
        <f>IF(A162="","",IF(AND(H162="",C162&lt;TODAY()),"Overdue",IF(H162="","Upcoming",IF(H162="Held as Scheduled","Held",IF(H162="Cancelled","Cancelled",IF(H162="Submitted for Resolution","Cleared","Postponed"))))))</f>
        <v/>
      </c>
      <c r="L162" s="32" t="n"/>
    </row>
    <row r="163" ht="26" customHeight="1">
      <c r="A163" s="30" t="n"/>
      <c r="B163" s="43">
        <f>IFERROR(IF($A163="","",INDEX(RegTitle,MATCH($A163,RegCaseNo,0))),"Case no. not found")</f>
        <v/>
      </c>
      <c r="C163" s="31" t="n"/>
      <c r="D163" s="30" t="n"/>
      <c r="E163" s="30" t="n"/>
      <c r="F163" s="43">
        <f>IFERROR(IF($A163="","",INDEX(RegCourt,MATCH($A163,RegCaseNo,0))),"")</f>
        <v/>
      </c>
      <c r="G163" s="43">
        <f>IFERROR(IF($A163="","",INDEX(RegPersonnel,MATCH($A163,RegCaseNo,0))),"")</f>
        <v/>
      </c>
      <c r="H163" s="30" t="n"/>
      <c r="I163" s="31" t="n"/>
      <c r="J163" s="44">
        <f>IF(C163="","",C163-TODAY())</f>
        <v/>
      </c>
      <c r="K163" s="45">
        <f>IF(A163="","",IF(AND(H163="",C163&lt;TODAY()),"Overdue",IF(H163="","Upcoming",IF(H163="Held as Scheduled","Held",IF(H163="Cancelled","Cancelled",IF(H163="Submitted for Resolution","Cleared","Postponed"))))))</f>
        <v/>
      </c>
      <c r="L163" s="32" t="n"/>
    </row>
    <row r="164" ht="26" customHeight="1">
      <c r="A164" s="30" t="n"/>
      <c r="B164" s="43">
        <f>IFERROR(IF($A164="","",INDEX(RegTitle,MATCH($A164,RegCaseNo,0))),"Case no. not found")</f>
        <v/>
      </c>
      <c r="C164" s="31" t="n"/>
      <c r="D164" s="30" t="n"/>
      <c r="E164" s="30" t="n"/>
      <c r="F164" s="43">
        <f>IFERROR(IF($A164="","",INDEX(RegCourt,MATCH($A164,RegCaseNo,0))),"")</f>
        <v/>
      </c>
      <c r="G164" s="43">
        <f>IFERROR(IF($A164="","",INDEX(RegPersonnel,MATCH($A164,RegCaseNo,0))),"")</f>
        <v/>
      </c>
      <c r="H164" s="30" t="n"/>
      <c r="I164" s="31" t="n"/>
      <c r="J164" s="44">
        <f>IF(C164="","",C164-TODAY())</f>
        <v/>
      </c>
      <c r="K164" s="45">
        <f>IF(A164="","",IF(AND(H164="",C164&lt;TODAY()),"Overdue",IF(H164="","Upcoming",IF(H164="Held as Scheduled","Held",IF(H164="Cancelled","Cancelled",IF(H164="Submitted for Resolution","Cleared","Postponed"))))))</f>
        <v/>
      </c>
      <c r="L164" s="32" t="n"/>
    </row>
    <row r="165" ht="26" customHeight="1">
      <c r="A165" s="30" t="n"/>
      <c r="B165" s="43">
        <f>IFERROR(IF($A165="","",INDEX(RegTitle,MATCH($A165,RegCaseNo,0))),"Case no. not found")</f>
        <v/>
      </c>
      <c r="C165" s="31" t="n"/>
      <c r="D165" s="30" t="n"/>
      <c r="E165" s="30" t="n"/>
      <c r="F165" s="43">
        <f>IFERROR(IF($A165="","",INDEX(RegCourt,MATCH($A165,RegCaseNo,0))),"")</f>
        <v/>
      </c>
      <c r="G165" s="43">
        <f>IFERROR(IF($A165="","",INDEX(RegPersonnel,MATCH($A165,RegCaseNo,0))),"")</f>
        <v/>
      </c>
      <c r="H165" s="30" t="n"/>
      <c r="I165" s="31" t="n"/>
      <c r="J165" s="44">
        <f>IF(C165="","",C165-TODAY())</f>
        <v/>
      </c>
      <c r="K165" s="45">
        <f>IF(A165="","",IF(AND(H165="",C165&lt;TODAY()),"Overdue",IF(H165="","Upcoming",IF(H165="Held as Scheduled","Held",IF(H165="Cancelled","Cancelled",IF(H165="Submitted for Resolution","Cleared","Postponed"))))))</f>
        <v/>
      </c>
      <c r="L165" s="32" t="n"/>
    </row>
    <row r="166" ht="26" customHeight="1">
      <c r="A166" s="30" t="n"/>
      <c r="B166" s="43">
        <f>IFERROR(IF($A166="","",INDEX(RegTitle,MATCH($A166,RegCaseNo,0))),"Case no. not found")</f>
        <v/>
      </c>
      <c r="C166" s="31" t="n"/>
      <c r="D166" s="30" t="n"/>
      <c r="E166" s="30" t="n"/>
      <c r="F166" s="43">
        <f>IFERROR(IF($A166="","",INDEX(RegCourt,MATCH($A166,RegCaseNo,0))),"")</f>
        <v/>
      </c>
      <c r="G166" s="43">
        <f>IFERROR(IF($A166="","",INDEX(RegPersonnel,MATCH($A166,RegCaseNo,0))),"")</f>
        <v/>
      </c>
      <c r="H166" s="30" t="n"/>
      <c r="I166" s="31" t="n"/>
      <c r="J166" s="44">
        <f>IF(C166="","",C166-TODAY())</f>
        <v/>
      </c>
      <c r="K166" s="45">
        <f>IF(A166="","",IF(AND(H166="",C166&lt;TODAY()),"Overdue",IF(H166="","Upcoming",IF(H166="Held as Scheduled","Held",IF(H166="Cancelled","Cancelled",IF(H166="Submitted for Resolution","Cleared","Postponed"))))))</f>
        <v/>
      </c>
      <c r="L166" s="32" t="n"/>
    </row>
    <row r="167" ht="26" customHeight="1">
      <c r="A167" s="30" t="n"/>
      <c r="B167" s="43">
        <f>IFERROR(IF($A167="","",INDEX(RegTitle,MATCH($A167,RegCaseNo,0))),"Case no. not found")</f>
        <v/>
      </c>
      <c r="C167" s="31" t="n"/>
      <c r="D167" s="30" t="n"/>
      <c r="E167" s="30" t="n"/>
      <c r="F167" s="43">
        <f>IFERROR(IF($A167="","",INDEX(RegCourt,MATCH($A167,RegCaseNo,0))),"")</f>
        <v/>
      </c>
      <c r="G167" s="43">
        <f>IFERROR(IF($A167="","",INDEX(RegPersonnel,MATCH($A167,RegCaseNo,0))),"")</f>
        <v/>
      </c>
      <c r="H167" s="30" t="n"/>
      <c r="I167" s="31" t="n"/>
      <c r="J167" s="44">
        <f>IF(C167="","",C167-TODAY())</f>
        <v/>
      </c>
      <c r="K167" s="45">
        <f>IF(A167="","",IF(AND(H167="",C167&lt;TODAY()),"Overdue",IF(H167="","Upcoming",IF(H167="Held as Scheduled","Held",IF(H167="Cancelled","Cancelled",IF(H167="Submitted for Resolution","Cleared","Postponed"))))))</f>
        <v/>
      </c>
      <c r="L167" s="32" t="n"/>
    </row>
    <row r="168" ht="26" customHeight="1">
      <c r="A168" s="30" t="n"/>
      <c r="B168" s="43">
        <f>IFERROR(IF($A168="","",INDEX(RegTitle,MATCH($A168,RegCaseNo,0))),"Case no. not found")</f>
        <v/>
      </c>
      <c r="C168" s="31" t="n"/>
      <c r="D168" s="30" t="n"/>
      <c r="E168" s="30" t="n"/>
      <c r="F168" s="43">
        <f>IFERROR(IF($A168="","",INDEX(RegCourt,MATCH($A168,RegCaseNo,0))),"")</f>
        <v/>
      </c>
      <c r="G168" s="43">
        <f>IFERROR(IF($A168="","",INDEX(RegPersonnel,MATCH($A168,RegCaseNo,0))),"")</f>
        <v/>
      </c>
      <c r="H168" s="30" t="n"/>
      <c r="I168" s="31" t="n"/>
      <c r="J168" s="44">
        <f>IF(C168="","",C168-TODAY())</f>
        <v/>
      </c>
      <c r="K168" s="45">
        <f>IF(A168="","",IF(AND(H168="",C168&lt;TODAY()),"Overdue",IF(H168="","Upcoming",IF(H168="Held as Scheduled","Held",IF(H168="Cancelled","Cancelled",IF(H168="Submitted for Resolution","Cleared","Postponed"))))))</f>
        <v/>
      </c>
      <c r="L168" s="32" t="n"/>
    </row>
    <row r="169" ht="26" customHeight="1">
      <c r="A169" s="30" t="n"/>
      <c r="B169" s="43">
        <f>IFERROR(IF($A169="","",INDEX(RegTitle,MATCH($A169,RegCaseNo,0))),"Case no. not found")</f>
        <v/>
      </c>
      <c r="C169" s="31" t="n"/>
      <c r="D169" s="30" t="n"/>
      <c r="E169" s="30" t="n"/>
      <c r="F169" s="43">
        <f>IFERROR(IF($A169="","",INDEX(RegCourt,MATCH($A169,RegCaseNo,0))),"")</f>
        <v/>
      </c>
      <c r="G169" s="43">
        <f>IFERROR(IF($A169="","",INDEX(RegPersonnel,MATCH($A169,RegCaseNo,0))),"")</f>
        <v/>
      </c>
      <c r="H169" s="30" t="n"/>
      <c r="I169" s="31" t="n"/>
      <c r="J169" s="44">
        <f>IF(C169="","",C169-TODAY())</f>
        <v/>
      </c>
      <c r="K169" s="45">
        <f>IF(A169="","",IF(AND(H169="",C169&lt;TODAY()),"Overdue",IF(H169="","Upcoming",IF(H169="Held as Scheduled","Held",IF(H169="Cancelled","Cancelled",IF(H169="Submitted for Resolution","Cleared","Postponed"))))))</f>
        <v/>
      </c>
      <c r="L169" s="32" t="n"/>
    </row>
    <row r="170" ht="26" customHeight="1">
      <c r="A170" s="30" t="n"/>
      <c r="B170" s="43">
        <f>IFERROR(IF($A170="","",INDEX(RegTitle,MATCH($A170,RegCaseNo,0))),"Case no. not found")</f>
        <v/>
      </c>
      <c r="C170" s="31" t="n"/>
      <c r="D170" s="30" t="n"/>
      <c r="E170" s="30" t="n"/>
      <c r="F170" s="43">
        <f>IFERROR(IF($A170="","",INDEX(RegCourt,MATCH($A170,RegCaseNo,0))),"")</f>
        <v/>
      </c>
      <c r="G170" s="43">
        <f>IFERROR(IF($A170="","",INDEX(RegPersonnel,MATCH($A170,RegCaseNo,0))),"")</f>
        <v/>
      </c>
      <c r="H170" s="30" t="n"/>
      <c r="I170" s="31" t="n"/>
      <c r="J170" s="44">
        <f>IF(C170="","",C170-TODAY())</f>
        <v/>
      </c>
      <c r="K170" s="45">
        <f>IF(A170="","",IF(AND(H170="",C170&lt;TODAY()),"Overdue",IF(H170="","Upcoming",IF(H170="Held as Scheduled","Held",IF(H170="Cancelled","Cancelled",IF(H170="Submitted for Resolution","Cleared","Postponed"))))))</f>
        <v/>
      </c>
      <c r="L170" s="32" t="n"/>
    </row>
    <row r="171" ht="26" customHeight="1">
      <c r="A171" s="30" t="n"/>
      <c r="B171" s="43">
        <f>IFERROR(IF($A171="","",INDEX(RegTitle,MATCH($A171,RegCaseNo,0))),"Case no. not found")</f>
        <v/>
      </c>
      <c r="C171" s="31" t="n"/>
      <c r="D171" s="30" t="n"/>
      <c r="E171" s="30" t="n"/>
      <c r="F171" s="43">
        <f>IFERROR(IF($A171="","",INDEX(RegCourt,MATCH($A171,RegCaseNo,0))),"")</f>
        <v/>
      </c>
      <c r="G171" s="43">
        <f>IFERROR(IF($A171="","",INDEX(RegPersonnel,MATCH($A171,RegCaseNo,0))),"")</f>
        <v/>
      </c>
      <c r="H171" s="30" t="n"/>
      <c r="I171" s="31" t="n"/>
      <c r="J171" s="44">
        <f>IF(C171="","",C171-TODAY())</f>
        <v/>
      </c>
      <c r="K171" s="45">
        <f>IF(A171="","",IF(AND(H171="",C171&lt;TODAY()),"Overdue",IF(H171="","Upcoming",IF(H171="Held as Scheduled","Held",IF(H171="Cancelled","Cancelled",IF(H171="Submitted for Resolution","Cleared","Postponed"))))))</f>
        <v/>
      </c>
      <c r="L171" s="32" t="n"/>
    </row>
    <row r="172" ht="26" customHeight="1">
      <c r="A172" s="30" t="n"/>
      <c r="B172" s="43">
        <f>IFERROR(IF($A172="","",INDEX(RegTitle,MATCH($A172,RegCaseNo,0))),"Case no. not found")</f>
        <v/>
      </c>
      <c r="C172" s="31" t="n"/>
      <c r="D172" s="30" t="n"/>
      <c r="E172" s="30" t="n"/>
      <c r="F172" s="43">
        <f>IFERROR(IF($A172="","",INDEX(RegCourt,MATCH($A172,RegCaseNo,0))),"")</f>
        <v/>
      </c>
      <c r="G172" s="43">
        <f>IFERROR(IF($A172="","",INDEX(RegPersonnel,MATCH($A172,RegCaseNo,0))),"")</f>
        <v/>
      </c>
      <c r="H172" s="30" t="n"/>
      <c r="I172" s="31" t="n"/>
      <c r="J172" s="44">
        <f>IF(C172="","",C172-TODAY())</f>
        <v/>
      </c>
      <c r="K172" s="45">
        <f>IF(A172="","",IF(AND(H172="",C172&lt;TODAY()),"Overdue",IF(H172="","Upcoming",IF(H172="Held as Scheduled","Held",IF(H172="Cancelled","Cancelled",IF(H172="Submitted for Resolution","Cleared","Postponed"))))))</f>
        <v/>
      </c>
      <c r="L172" s="32" t="n"/>
    </row>
    <row r="173" ht="26" customHeight="1">
      <c r="A173" s="30" t="n"/>
      <c r="B173" s="43">
        <f>IFERROR(IF($A173="","",INDEX(RegTitle,MATCH($A173,RegCaseNo,0))),"Case no. not found")</f>
        <v/>
      </c>
      <c r="C173" s="31" t="n"/>
      <c r="D173" s="30" t="n"/>
      <c r="E173" s="30" t="n"/>
      <c r="F173" s="43">
        <f>IFERROR(IF($A173="","",INDEX(RegCourt,MATCH($A173,RegCaseNo,0))),"")</f>
        <v/>
      </c>
      <c r="G173" s="43">
        <f>IFERROR(IF($A173="","",INDEX(RegPersonnel,MATCH($A173,RegCaseNo,0))),"")</f>
        <v/>
      </c>
      <c r="H173" s="30" t="n"/>
      <c r="I173" s="31" t="n"/>
      <c r="J173" s="44">
        <f>IF(C173="","",C173-TODAY())</f>
        <v/>
      </c>
      <c r="K173" s="45">
        <f>IF(A173="","",IF(AND(H173="",C173&lt;TODAY()),"Overdue",IF(H173="","Upcoming",IF(H173="Held as Scheduled","Held",IF(H173="Cancelled","Cancelled",IF(H173="Submitted for Resolution","Cleared","Postponed"))))))</f>
        <v/>
      </c>
      <c r="L173" s="32" t="n"/>
    </row>
    <row r="174" ht="26" customHeight="1">
      <c r="A174" s="30" t="n"/>
      <c r="B174" s="43">
        <f>IFERROR(IF($A174="","",INDEX(RegTitle,MATCH($A174,RegCaseNo,0))),"Case no. not found")</f>
        <v/>
      </c>
      <c r="C174" s="31" t="n"/>
      <c r="D174" s="30" t="n"/>
      <c r="E174" s="30" t="n"/>
      <c r="F174" s="43">
        <f>IFERROR(IF($A174="","",INDEX(RegCourt,MATCH($A174,RegCaseNo,0))),"")</f>
        <v/>
      </c>
      <c r="G174" s="43">
        <f>IFERROR(IF($A174="","",INDEX(RegPersonnel,MATCH($A174,RegCaseNo,0))),"")</f>
        <v/>
      </c>
      <c r="H174" s="30" t="n"/>
      <c r="I174" s="31" t="n"/>
      <c r="J174" s="44">
        <f>IF(C174="","",C174-TODAY())</f>
        <v/>
      </c>
      <c r="K174" s="45">
        <f>IF(A174="","",IF(AND(H174="",C174&lt;TODAY()),"Overdue",IF(H174="","Upcoming",IF(H174="Held as Scheduled","Held",IF(H174="Cancelled","Cancelled",IF(H174="Submitted for Resolution","Cleared","Postponed"))))))</f>
        <v/>
      </c>
      <c r="L174" s="32" t="n"/>
    </row>
    <row r="175" ht="26" customHeight="1">
      <c r="A175" s="30" t="n"/>
      <c r="B175" s="43">
        <f>IFERROR(IF($A175="","",INDEX(RegTitle,MATCH($A175,RegCaseNo,0))),"Case no. not found")</f>
        <v/>
      </c>
      <c r="C175" s="31" t="n"/>
      <c r="D175" s="30" t="n"/>
      <c r="E175" s="30" t="n"/>
      <c r="F175" s="43">
        <f>IFERROR(IF($A175="","",INDEX(RegCourt,MATCH($A175,RegCaseNo,0))),"")</f>
        <v/>
      </c>
      <c r="G175" s="43">
        <f>IFERROR(IF($A175="","",INDEX(RegPersonnel,MATCH($A175,RegCaseNo,0))),"")</f>
        <v/>
      </c>
      <c r="H175" s="30" t="n"/>
      <c r="I175" s="31" t="n"/>
      <c r="J175" s="44">
        <f>IF(C175="","",C175-TODAY())</f>
        <v/>
      </c>
      <c r="K175" s="45">
        <f>IF(A175="","",IF(AND(H175="",C175&lt;TODAY()),"Overdue",IF(H175="","Upcoming",IF(H175="Held as Scheduled","Held",IF(H175="Cancelled","Cancelled",IF(H175="Submitted for Resolution","Cleared","Postponed"))))))</f>
        <v/>
      </c>
      <c r="L175" s="32" t="n"/>
    </row>
    <row r="176" ht="26" customHeight="1">
      <c r="A176" s="30" t="n"/>
      <c r="B176" s="43">
        <f>IFERROR(IF($A176="","",INDEX(RegTitle,MATCH($A176,RegCaseNo,0))),"Case no. not found")</f>
        <v/>
      </c>
      <c r="C176" s="31" t="n"/>
      <c r="D176" s="30" t="n"/>
      <c r="E176" s="30" t="n"/>
      <c r="F176" s="43">
        <f>IFERROR(IF($A176="","",INDEX(RegCourt,MATCH($A176,RegCaseNo,0))),"")</f>
        <v/>
      </c>
      <c r="G176" s="43">
        <f>IFERROR(IF($A176="","",INDEX(RegPersonnel,MATCH($A176,RegCaseNo,0))),"")</f>
        <v/>
      </c>
      <c r="H176" s="30" t="n"/>
      <c r="I176" s="31" t="n"/>
      <c r="J176" s="44">
        <f>IF(C176="","",C176-TODAY())</f>
        <v/>
      </c>
      <c r="K176" s="45">
        <f>IF(A176="","",IF(AND(H176="",C176&lt;TODAY()),"Overdue",IF(H176="","Upcoming",IF(H176="Held as Scheduled","Held",IF(H176="Cancelled","Cancelled",IF(H176="Submitted for Resolution","Cleared","Postponed"))))))</f>
        <v/>
      </c>
      <c r="L176" s="32" t="n"/>
    </row>
    <row r="177" ht="26" customHeight="1">
      <c r="A177" s="30" t="n"/>
      <c r="B177" s="43">
        <f>IFERROR(IF($A177="","",INDEX(RegTitle,MATCH($A177,RegCaseNo,0))),"Case no. not found")</f>
        <v/>
      </c>
      <c r="C177" s="31" t="n"/>
      <c r="D177" s="30" t="n"/>
      <c r="E177" s="30" t="n"/>
      <c r="F177" s="43">
        <f>IFERROR(IF($A177="","",INDEX(RegCourt,MATCH($A177,RegCaseNo,0))),"")</f>
        <v/>
      </c>
      <c r="G177" s="43">
        <f>IFERROR(IF($A177="","",INDEX(RegPersonnel,MATCH($A177,RegCaseNo,0))),"")</f>
        <v/>
      </c>
      <c r="H177" s="30" t="n"/>
      <c r="I177" s="31" t="n"/>
      <c r="J177" s="44">
        <f>IF(C177="","",C177-TODAY())</f>
        <v/>
      </c>
      <c r="K177" s="45">
        <f>IF(A177="","",IF(AND(H177="",C177&lt;TODAY()),"Overdue",IF(H177="","Upcoming",IF(H177="Held as Scheduled","Held",IF(H177="Cancelled","Cancelled",IF(H177="Submitted for Resolution","Cleared","Postponed"))))))</f>
        <v/>
      </c>
      <c r="L177" s="32" t="n"/>
    </row>
    <row r="178" ht="26" customHeight="1">
      <c r="A178" s="30" t="n"/>
      <c r="B178" s="43">
        <f>IFERROR(IF($A178="","",INDEX(RegTitle,MATCH($A178,RegCaseNo,0))),"Case no. not found")</f>
        <v/>
      </c>
      <c r="C178" s="31" t="n"/>
      <c r="D178" s="30" t="n"/>
      <c r="E178" s="30" t="n"/>
      <c r="F178" s="43">
        <f>IFERROR(IF($A178="","",INDEX(RegCourt,MATCH($A178,RegCaseNo,0))),"")</f>
        <v/>
      </c>
      <c r="G178" s="43">
        <f>IFERROR(IF($A178="","",INDEX(RegPersonnel,MATCH($A178,RegCaseNo,0))),"")</f>
        <v/>
      </c>
      <c r="H178" s="30" t="n"/>
      <c r="I178" s="31" t="n"/>
      <c r="J178" s="44">
        <f>IF(C178="","",C178-TODAY())</f>
        <v/>
      </c>
      <c r="K178" s="45">
        <f>IF(A178="","",IF(AND(H178="",C178&lt;TODAY()),"Overdue",IF(H178="","Upcoming",IF(H178="Held as Scheduled","Held",IF(H178="Cancelled","Cancelled",IF(H178="Submitted for Resolution","Cleared","Postponed"))))))</f>
        <v/>
      </c>
      <c r="L178" s="32" t="n"/>
    </row>
    <row r="179" ht="26" customHeight="1">
      <c r="A179" s="30" t="n"/>
      <c r="B179" s="43">
        <f>IFERROR(IF($A179="","",INDEX(RegTitle,MATCH($A179,RegCaseNo,0))),"Case no. not found")</f>
        <v/>
      </c>
      <c r="C179" s="31" t="n"/>
      <c r="D179" s="30" t="n"/>
      <c r="E179" s="30" t="n"/>
      <c r="F179" s="43">
        <f>IFERROR(IF($A179="","",INDEX(RegCourt,MATCH($A179,RegCaseNo,0))),"")</f>
        <v/>
      </c>
      <c r="G179" s="43">
        <f>IFERROR(IF($A179="","",INDEX(RegPersonnel,MATCH($A179,RegCaseNo,0))),"")</f>
        <v/>
      </c>
      <c r="H179" s="30" t="n"/>
      <c r="I179" s="31" t="n"/>
      <c r="J179" s="44">
        <f>IF(C179="","",C179-TODAY())</f>
        <v/>
      </c>
      <c r="K179" s="45">
        <f>IF(A179="","",IF(AND(H179="",C179&lt;TODAY()),"Overdue",IF(H179="","Upcoming",IF(H179="Held as Scheduled","Held",IF(H179="Cancelled","Cancelled",IF(H179="Submitted for Resolution","Cleared","Postponed"))))))</f>
        <v/>
      </c>
      <c r="L179" s="32" t="n"/>
    </row>
    <row r="180" ht="26" customHeight="1">
      <c r="A180" s="30" t="n"/>
      <c r="B180" s="43">
        <f>IFERROR(IF($A180="","",INDEX(RegTitle,MATCH($A180,RegCaseNo,0))),"Case no. not found")</f>
        <v/>
      </c>
      <c r="C180" s="31" t="n"/>
      <c r="D180" s="30" t="n"/>
      <c r="E180" s="30" t="n"/>
      <c r="F180" s="43">
        <f>IFERROR(IF($A180="","",INDEX(RegCourt,MATCH($A180,RegCaseNo,0))),"")</f>
        <v/>
      </c>
      <c r="G180" s="43">
        <f>IFERROR(IF($A180="","",INDEX(RegPersonnel,MATCH($A180,RegCaseNo,0))),"")</f>
        <v/>
      </c>
      <c r="H180" s="30" t="n"/>
      <c r="I180" s="31" t="n"/>
      <c r="J180" s="44">
        <f>IF(C180="","",C180-TODAY())</f>
        <v/>
      </c>
      <c r="K180" s="45">
        <f>IF(A180="","",IF(AND(H180="",C180&lt;TODAY()),"Overdue",IF(H180="","Upcoming",IF(H180="Held as Scheduled","Held",IF(H180="Cancelled","Cancelled",IF(H180="Submitted for Resolution","Cleared","Postponed"))))))</f>
        <v/>
      </c>
      <c r="L180" s="32" t="n"/>
    </row>
    <row r="181" ht="26" customHeight="1">
      <c r="A181" s="30" t="n"/>
      <c r="B181" s="43">
        <f>IFERROR(IF($A181="","",INDEX(RegTitle,MATCH($A181,RegCaseNo,0))),"Case no. not found")</f>
        <v/>
      </c>
      <c r="C181" s="31" t="n"/>
      <c r="D181" s="30" t="n"/>
      <c r="E181" s="30" t="n"/>
      <c r="F181" s="43">
        <f>IFERROR(IF($A181="","",INDEX(RegCourt,MATCH($A181,RegCaseNo,0))),"")</f>
        <v/>
      </c>
      <c r="G181" s="43">
        <f>IFERROR(IF($A181="","",INDEX(RegPersonnel,MATCH($A181,RegCaseNo,0))),"")</f>
        <v/>
      </c>
      <c r="H181" s="30" t="n"/>
      <c r="I181" s="31" t="n"/>
      <c r="J181" s="44">
        <f>IF(C181="","",C181-TODAY())</f>
        <v/>
      </c>
      <c r="K181" s="45">
        <f>IF(A181="","",IF(AND(H181="",C181&lt;TODAY()),"Overdue",IF(H181="","Upcoming",IF(H181="Held as Scheduled","Held",IF(H181="Cancelled","Cancelled",IF(H181="Submitted for Resolution","Cleared","Postponed"))))))</f>
        <v/>
      </c>
      <c r="L181" s="32" t="n"/>
    </row>
    <row r="182" ht="26" customHeight="1">
      <c r="A182" s="30" t="n"/>
      <c r="B182" s="43">
        <f>IFERROR(IF($A182="","",INDEX(RegTitle,MATCH($A182,RegCaseNo,0))),"Case no. not found")</f>
        <v/>
      </c>
      <c r="C182" s="31" t="n"/>
      <c r="D182" s="30" t="n"/>
      <c r="E182" s="30" t="n"/>
      <c r="F182" s="43">
        <f>IFERROR(IF($A182="","",INDEX(RegCourt,MATCH($A182,RegCaseNo,0))),"")</f>
        <v/>
      </c>
      <c r="G182" s="43">
        <f>IFERROR(IF($A182="","",INDEX(RegPersonnel,MATCH($A182,RegCaseNo,0))),"")</f>
        <v/>
      </c>
      <c r="H182" s="30" t="n"/>
      <c r="I182" s="31" t="n"/>
      <c r="J182" s="44">
        <f>IF(C182="","",C182-TODAY())</f>
        <v/>
      </c>
      <c r="K182" s="45">
        <f>IF(A182="","",IF(AND(H182="",C182&lt;TODAY()),"Overdue",IF(H182="","Upcoming",IF(H182="Held as Scheduled","Held",IF(H182="Cancelled","Cancelled",IF(H182="Submitted for Resolution","Cleared","Postponed"))))))</f>
        <v/>
      </c>
      <c r="L182" s="32" t="n"/>
    </row>
    <row r="183" ht="26" customHeight="1">
      <c r="A183" s="30" t="n"/>
      <c r="B183" s="43">
        <f>IFERROR(IF($A183="","",INDEX(RegTitle,MATCH($A183,RegCaseNo,0))),"Case no. not found")</f>
        <v/>
      </c>
      <c r="C183" s="31" t="n"/>
      <c r="D183" s="30" t="n"/>
      <c r="E183" s="30" t="n"/>
      <c r="F183" s="43">
        <f>IFERROR(IF($A183="","",INDEX(RegCourt,MATCH($A183,RegCaseNo,0))),"")</f>
        <v/>
      </c>
      <c r="G183" s="43">
        <f>IFERROR(IF($A183="","",INDEX(RegPersonnel,MATCH($A183,RegCaseNo,0))),"")</f>
        <v/>
      </c>
      <c r="H183" s="30" t="n"/>
      <c r="I183" s="31" t="n"/>
      <c r="J183" s="44">
        <f>IF(C183="","",C183-TODAY())</f>
        <v/>
      </c>
      <c r="K183" s="45">
        <f>IF(A183="","",IF(AND(H183="",C183&lt;TODAY()),"Overdue",IF(H183="","Upcoming",IF(H183="Held as Scheduled","Held",IF(H183="Cancelled","Cancelled",IF(H183="Submitted for Resolution","Cleared","Postponed"))))))</f>
        <v/>
      </c>
      <c r="L183" s="32" t="n"/>
    </row>
    <row r="184" ht="26" customHeight="1">
      <c r="A184" s="30" t="n"/>
      <c r="B184" s="43">
        <f>IFERROR(IF($A184="","",INDEX(RegTitle,MATCH($A184,RegCaseNo,0))),"Case no. not found")</f>
        <v/>
      </c>
      <c r="C184" s="31" t="n"/>
      <c r="D184" s="30" t="n"/>
      <c r="E184" s="30" t="n"/>
      <c r="F184" s="43">
        <f>IFERROR(IF($A184="","",INDEX(RegCourt,MATCH($A184,RegCaseNo,0))),"")</f>
        <v/>
      </c>
      <c r="G184" s="43">
        <f>IFERROR(IF($A184="","",INDEX(RegPersonnel,MATCH($A184,RegCaseNo,0))),"")</f>
        <v/>
      </c>
      <c r="H184" s="30" t="n"/>
      <c r="I184" s="31" t="n"/>
      <c r="J184" s="44">
        <f>IF(C184="","",C184-TODAY())</f>
        <v/>
      </c>
      <c r="K184" s="45">
        <f>IF(A184="","",IF(AND(H184="",C184&lt;TODAY()),"Overdue",IF(H184="","Upcoming",IF(H184="Held as Scheduled","Held",IF(H184="Cancelled","Cancelled",IF(H184="Submitted for Resolution","Cleared","Postponed"))))))</f>
        <v/>
      </c>
      <c r="L184" s="32" t="n"/>
    </row>
    <row r="185" ht="26" customHeight="1">
      <c r="A185" s="30" t="n"/>
      <c r="B185" s="43">
        <f>IFERROR(IF($A185="","",INDEX(RegTitle,MATCH($A185,RegCaseNo,0))),"Case no. not found")</f>
        <v/>
      </c>
      <c r="C185" s="31" t="n"/>
      <c r="D185" s="30" t="n"/>
      <c r="E185" s="30" t="n"/>
      <c r="F185" s="43">
        <f>IFERROR(IF($A185="","",INDEX(RegCourt,MATCH($A185,RegCaseNo,0))),"")</f>
        <v/>
      </c>
      <c r="G185" s="43">
        <f>IFERROR(IF($A185="","",INDEX(RegPersonnel,MATCH($A185,RegCaseNo,0))),"")</f>
        <v/>
      </c>
      <c r="H185" s="30" t="n"/>
      <c r="I185" s="31" t="n"/>
      <c r="J185" s="44">
        <f>IF(C185="","",C185-TODAY())</f>
        <v/>
      </c>
      <c r="K185" s="45">
        <f>IF(A185="","",IF(AND(H185="",C185&lt;TODAY()),"Overdue",IF(H185="","Upcoming",IF(H185="Held as Scheduled","Held",IF(H185="Cancelled","Cancelled",IF(H185="Submitted for Resolution","Cleared","Postponed"))))))</f>
        <v/>
      </c>
      <c r="L185" s="32" t="n"/>
    </row>
    <row r="186" ht="26" customHeight="1">
      <c r="A186" s="30" t="n"/>
      <c r="B186" s="43">
        <f>IFERROR(IF($A186="","",INDEX(RegTitle,MATCH($A186,RegCaseNo,0))),"Case no. not found")</f>
        <v/>
      </c>
      <c r="C186" s="31" t="n"/>
      <c r="D186" s="30" t="n"/>
      <c r="E186" s="30" t="n"/>
      <c r="F186" s="43">
        <f>IFERROR(IF($A186="","",INDEX(RegCourt,MATCH($A186,RegCaseNo,0))),"")</f>
        <v/>
      </c>
      <c r="G186" s="43">
        <f>IFERROR(IF($A186="","",INDEX(RegPersonnel,MATCH($A186,RegCaseNo,0))),"")</f>
        <v/>
      </c>
      <c r="H186" s="30" t="n"/>
      <c r="I186" s="31" t="n"/>
      <c r="J186" s="44">
        <f>IF(C186="","",C186-TODAY())</f>
        <v/>
      </c>
      <c r="K186" s="45">
        <f>IF(A186="","",IF(AND(H186="",C186&lt;TODAY()),"Overdue",IF(H186="","Upcoming",IF(H186="Held as Scheduled","Held",IF(H186="Cancelled","Cancelled",IF(H186="Submitted for Resolution","Cleared","Postponed"))))))</f>
        <v/>
      </c>
      <c r="L186" s="32" t="n"/>
    </row>
    <row r="187" ht="26" customHeight="1">
      <c r="A187" s="30" t="n"/>
      <c r="B187" s="43">
        <f>IFERROR(IF($A187="","",INDEX(RegTitle,MATCH($A187,RegCaseNo,0))),"Case no. not found")</f>
        <v/>
      </c>
      <c r="C187" s="31" t="n"/>
      <c r="D187" s="30" t="n"/>
      <c r="E187" s="30" t="n"/>
      <c r="F187" s="43">
        <f>IFERROR(IF($A187="","",INDEX(RegCourt,MATCH($A187,RegCaseNo,0))),"")</f>
        <v/>
      </c>
      <c r="G187" s="43">
        <f>IFERROR(IF($A187="","",INDEX(RegPersonnel,MATCH($A187,RegCaseNo,0))),"")</f>
        <v/>
      </c>
      <c r="H187" s="30" t="n"/>
      <c r="I187" s="31" t="n"/>
      <c r="J187" s="44">
        <f>IF(C187="","",C187-TODAY())</f>
        <v/>
      </c>
      <c r="K187" s="45">
        <f>IF(A187="","",IF(AND(H187="",C187&lt;TODAY()),"Overdue",IF(H187="","Upcoming",IF(H187="Held as Scheduled","Held",IF(H187="Cancelled","Cancelled",IF(H187="Submitted for Resolution","Cleared","Postponed"))))))</f>
        <v/>
      </c>
      <c r="L187" s="32" t="n"/>
    </row>
    <row r="188" ht="26" customHeight="1">
      <c r="A188" s="30" t="n"/>
      <c r="B188" s="43">
        <f>IFERROR(IF($A188="","",INDEX(RegTitle,MATCH($A188,RegCaseNo,0))),"Case no. not found")</f>
        <v/>
      </c>
      <c r="C188" s="31" t="n"/>
      <c r="D188" s="30" t="n"/>
      <c r="E188" s="30" t="n"/>
      <c r="F188" s="43">
        <f>IFERROR(IF($A188="","",INDEX(RegCourt,MATCH($A188,RegCaseNo,0))),"")</f>
        <v/>
      </c>
      <c r="G188" s="43">
        <f>IFERROR(IF($A188="","",INDEX(RegPersonnel,MATCH($A188,RegCaseNo,0))),"")</f>
        <v/>
      </c>
      <c r="H188" s="30" t="n"/>
      <c r="I188" s="31" t="n"/>
      <c r="J188" s="44">
        <f>IF(C188="","",C188-TODAY())</f>
        <v/>
      </c>
      <c r="K188" s="45">
        <f>IF(A188="","",IF(AND(H188="",C188&lt;TODAY()),"Overdue",IF(H188="","Upcoming",IF(H188="Held as Scheduled","Held",IF(H188="Cancelled","Cancelled",IF(H188="Submitted for Resolution","Cleared","Postponed"))))))</f>
        <v/>
      </c>
      <c r="L188" s="32" t="n"/>
    </row>
    <row r="189" ht="26" customHeight="1">
      <c r="A189" s="30" t="n"/>
      <c r="B189" s="43">
        <f>IFERROR(IF($A189="","",INDEX(RegTitle,MATCH($A189,RegCaseNo,0))),"Case no. not found")</f>
        <v/>
      </c>
      <c r="C189" s="31" t="n"/>
      <c r="D189" s="30" t="n"/>
      <c r="E189" s="30" t="n"/>
      <c r="F189" s="43">
        <f>IFERROR(IF($A189="","",INDEX(RegCourt,MATCH($A189,RegCaseNo,0))),"")</f>
        <v/>
      </c>
      <c r="G189" s="43">
        <f>IFERROR(IF($A189="","",INDEX(RegPersonnel,MATCH($A189,RegCaseNo,0))),"")</f>
        <v/>
      </c>
      <c r="H189" s="30" t="n"/>
      <c r="I189" s="31" t="n"/>
      <c r="J189" s="44">
        <f>IF(C189="","",C189-TODAY())</f>
        <v/>
      </c>
      <c r="K189" s="45">
        <f>IF(A189="","",IF(AND(H189="",C189&lt;TODAY()),"Overdue",IF(H189="","Upcoming",IF(H189="Held as Scheduled","Held",IF(H189="Cancelled","Cancelled",IF(H189="Submitted for Resolution","Cleared","Postponed"))))))</f>
        <v/>
      </c>
      <c r="L189" s="32" t="n"/>
    </row>
    <row r="190" ht="26" customHeight="1">
      <c r="A190" s="30" t="n"/>
      <c r="B190" s="43">
        <f>IFERROR(IF($A190="","",INDEX(RegTitle,MATCH($A190,RegCaseNo,0))),"Case no. not found")</f>
        <v/>
      </c>
      <c r="C190" s="31" t="n"/>
      <c r="D190" s="30" t="n"/>
      <c r="E190" s="30" t="n"/>
      <c r="F190" s="43">
        <f>IFERROR(IF($A190="","",INDEX(RegCourt,MATCH($A190,RegCaseNo,0))),"")</f>
        <v/>
      </c>
      <c r="G190" s="43">
        <f>IFERROR(IF($A190="","",INDEX(RegPersonnel,MATCH($A190,RegCaseNo,0))),"")</f>
        <v/>
      </c>
      <c r="H190" s="30" t="n"/>
      <c r="I190" s="31" t="n"/>
      <c r="J190" s="44">
        <f>IF(C190="","",C190-TODAY())</f>
        <v/>
      </c>
      <c r="K190" s="45">
        <f>IF(A190="","",IF(AND(H190="",C190&lt;TODAY()),"Overdue",IF(H190="","Upcoming",IF(H190="Held as Scheduled","Held",IF(H190="Cancelled","Cancelled",IF(H190="Submitted for Resolution","Cleared","Postponed"))))))</f>
        <v/>
      </c>
      <c r="L190" s="32" t="n"/>
    </row>
    <row r="191" ht="26" customHeight="1">
      <c r="A191" s="30" t="n"/>
      <c r="B191" s="43">
        <f>IFERROR(IF($A191="","",INDEX(RegTitle,MATCH($A191,RegCaseNo,0))),"Case no. not found")</f>
        <v/>
      </c>
      <c r="C191" s="31" t="n"/>
      <c r="D191" s="30" t="n"/>
      <c r="E191" s="30" t="n"/>
      <c r="F191" s="43">
        <f>IFERROR(IF($A191="","",INDEX(RegCourt,MATCH($A191,RegCaseNo,0))),"")</f>
        <v/>
      </c>
      <c r="G191" s="43">
        <f>IFERROR(IF($A191="","",INDEX(RegPersonnel,MATCH($A191,RegCaseNo,0))),"")</f>
        <v/>
      </c>
      <c r="H191" s="30" t="n"/>
      <c r="I191" s="31" t="n"/>
      <c r="J191" s="44">
        <f>IF(C191="","",C191-TODAY())</f>
        <v/>
      </c>
      <c r="K191" s="45">
        <f>IF(A191="","",IF(AND(H191="",C191&lt;TODAY()),"Overdue",IF(H191="","Upcoming",IF(H191="Held as Scheduled","Held",IF(H191="Cancelled","Cancelled",IF(H191="Submitted for Resolution","Cleared","Postponed"))))))</f>
        <v/>
      </c>
      <c r="L191" s="32" t="n"/>
    </row>
    <row r="192" ht="26" customHeight="1">
      <c r="A192" s="30" t="n"/>
      <c r="B192" s="43">
        <f>IFERROR(IF($A192="","",INDEX(RegTitle,MATCH($A192,RegCaseNo,0))),"Case no. not found")</f>
        <v/>
      </c>
      <c r="C192" s="31" t="n"/>
      <c r="D192" s="30" t="n"/>
      <c r="E192" s="30" t="n"/>
      <c r="F192" s="43">
        <f>IFERROR(IF($A192="","",INDEX(RegCourt,MATCH($A192,RegCaseNo,0))),"")</f>
        <v/>
      </c>
      <c r="G192" s="43">
        <f>IFERROR(IF($A192="","",INDEX(RegPersonnel,MATCH($A192,RegCaseNo,0))),"")</f>
        <v/>
      </c>
      <c r="H192" s="30" t="n"/>
      <c r="I192" s="31" t="n"/>
      <c r="J192" s="44">
        <f>IF(C192="","",C192-TODAY())</f>
        <v/>
      </c>
      <c r="K192" s="45">
        <f>IF(A192="","",IF(AND(H192="",C192&lt;TODAY()),"Overdue",IF(H192="","Upcoming",IF(H192="Held as Scheduled","Held",IF(H192="Cancelled","Cancelled",IF(H192="Submitted for Resolution","Cleared","Postponed"))))))</f>
        <v/>
      </c>
      <c r="L192" s="32" t="n"/>
    </row>
    <row r="193" ht="26" customHeight="1">
      <c r="A193" s="30" t="n"/>
      <c r="B193" s="43">
        <f>IFERROR(IF($A193="","",INDEX(RegTitle,MATCH($A193,RegCaseNo,0))),"Case no. not found")</f>
        <v/>
      </c>
      <c r="C193" s="31" t="n"/>
      <c r="D193" s="30" t="n"/>
      <c r="E193" s="30" t="n"/>
      <c r="F193" s="43">
        <f>IFERROR(IF($A193="","",INDEX(RegCourt,MATCH($A193,RegCaseNo,0))),"")</f>
        <v/>
      </c>
      <c r="G193" s="43">
        <f>IFERROR(IF($A193="","",INDEX(RegPersonnel,MATCH($A193,RegCaseNo,0))),"")</f>
        <v/>
      </c>
      <c r="H193" s="30" t="n"/>
      <c r="I193" s="31" t="n"/>
      <c r="J193" s="44">
        <f>IF(C193="","",C193-TODAY())</f>
        <v/>
      </c>
      <c r="K193" s="45">
        <f>IF(A193="","",IF(AND(H193="",C193&lt;TODAY()),"Overdue",IF(H193="","Upcoming",IF(H193="Held as Scheduled","Held",IF(H193="Cancelled","Cancelled",IF(H193="Submitted for Resolution","Cleared","Postponed"))))))</f>
        <v/>
      </c>
      <c r="L193" s="32" t="n"/>
    </row>
    <row r="194" ht="26" customHeight="1">
      <c r="A194" s="30" t="n"/>
      <c r="B194" s="43">
        <f>IFERROR(IF($A194="","",INDEX(RegTitle,MATCH($A194,RegCaseNo,0))),"Case no. not found")</f>
        <v/>
      </c>
      <c r="C194" s="31" t="n"/>
      <c r="D194" s="30" t="n"/>
      <c r="E194" s="30" t="n"/>
      <c r="F194" s="43">
        <f>IFERROR(IF($A194="","",INDEX(RegCourt,MATCH($A194,RegCaseNo,0))),"")</f>
        <v/>
      </c>
      <c r="G194" s="43">
        <f>IFERROR(IF($A194="","",INDEX(RegPersonnel,MATCH($A194,RegCaseNo,0))),"")</f>
        <v/>
      </c>
      <c r="H194" s="30" t="n"/>
      <c r="I194" s="31" t="n"/>
      <c r="J194" s="44">
        <f>IF(C194="","",C194-TODAY())</f>
        <v/>
      </c>
      <c r="K194" s="45">
        <f>IF(A194="","",IF(AND(H194="",C194&lt;TODAY()),"Overdue",IF(H194="","Upcoming",IF(H194="Held as Scheduled","Held",IF(H194="Cancelled","Cancelled",IF(H194="Submitted for Resolution","Cleared","Postponed"))))))</f>
        <v/>
      </c>
      <c r="L194" s="32" t="n"/>
    </row>
    <row r="195" ht="26" customHeight="1">
      <c r="A195" s="30" t="n"/>
      <c r="B195" s="43">
        <f>IFERROR(IF($A195="","",INDEX(RegTitle,MATCH($A195,RegCaseNo,0))),"Case no. not found")</f>
        <v/>
      </c>
      <c r="C195" s="31" t="n"/>
      <c r="D195" s="30" t="n"/>
      <c r="E195" s="30" t="n"/>
      <c r="F195" s="43">
        <f>IFERROR(IF($A195="","",INDEX(RegCourt,MATCH($A195,RegCaseNo,0))),"")</f>
        <v/>
      </c>
      <c r="G195" s="43">
        <f>IFERROR(IF($A195="","",INDEX(RegPersonnel,MATCH($A195,RegCaseNo,0))),"")</f>
        <v/>
      </c>
      <c r="H195" s="30" t="n"/>
      <c r="I195" s="31" t="n"/>
      <c r="J195" s="44">
        <f>IF(C195="","",C195-TODAY())</f>
        <v/>
      </c>
      <c r="K195" s="45">
        <f>IF(A195="","",IF(AND(H195="",C195&lt;TODAY()),"Overdue",IF(H195="","Upcoming",IF(H195="Held as Scheduled","Held",IF(H195="Cancelled","Cancelled",IF(H195="Submitted for Resolution","Cleared","Postponed"))))))</f>
        <v/>
      </c>
      <c r="L195" s="32" t="n"/>
    </row>
    <row r="196" ht="26" customHeight="1">
      <c r="A196" s="30" t="n"/>
      <c r="B196" s="43">
        <f>IFERROR(IF($A196="","",INDEX(RegTitle,MATCH($A196,RegCaseNo,0))),"Case no. not found")</f>
        <v/>
      </c>
      <c r="C196" s="31" t="n"/>
      <c r="D196" s="30" t="n"/>
      <c r="E196" s="30" t="n"/>
      <c r="F196" s="43">
        <f>IFERROR(IF($A196="","",INDEX(RegCourt,MATCH($A196,RegCaseNo,0))),"")</f>
        <v/>
      </c>
      <c r="G196" s="43">
        <f>IFERROR(IF($A196="","",INDEX(RegPersonnel,MATCH($A196,RegCaseNo,0))),"")</f>
        <v/>
      </c>
      <c r="H196" s="30" t="n"/>
      <c r="I196" s="31" t="n"/>
      <c r="J196" s="44">
        <f>IF(C196="","",C196-TODAY())</f>
        <v/>
      </c>
      <c r="K196" s="45">
        <f>IF(A196="","",IF(AND(H196="",C196&lt;TODAY()),"Overdue",IF(H196="","Upcoming",IF(H196="Held as Scheduled","Held",IF(H196="Cancelled","Cancelled",IF(H196="Submitted for Resolution","Cleared","Postponed"))))))</f>
        <v/>
      </c>
      <c r="L196" s="32" t="n"/>
    </row>
    <row r="197" ht="26" customHeight="1">
      <c r="A197" s="30" t="n"/>
      <c r="B197" s="43">
        <f>IFERROR(IF($A197="","",INDEX(RegTitle,MATCH($A197,RegCaseNo,0))),"Case no. not found")</f>
        <v/>
      </c>
      <c r="C197" s="31" t="n"/>
      <c r="D197" s="30" t="n"/>
      <c r="E197" s="30" t="n"/>
      <c r="F197" s="43">
        <f>IFERROR(IF($A197="","",INDEX(RegCourt,MATCH($A197,RegCaseNo,0))),"")</f>
        <v/>
      </c>
      <c r="G197" s="43">
        <f>IFERROR(IF($A197="","",INDEX(RegPersonnel,MATCH($A197,RegCaseNo,0))),"")</f>
        <v/>
      </c>
      <c r="H197" s="30" t="n"/>
      <c r="I197" s="31" t="n"/>
      <c r="J197" s="44">
        <f>IF(C197="","",C197-TODAY())</f>
        <v/>
      </c>
      <c r="K197" s="45">
        <f>IF(A197="","",IF(AND(H197="",C197&lt;TODAY()),"Overdue",IF(H197="","Upcoming",IF(H197="Held as Scheduled","Held",IF(H197="Cancelled","Cancelled",IF(H197="Submitted for Resolution","Cleared","Postponed"))))))</f>
        <v/>
      </c>
      <c r="L197" s="32" t="n"/>
    </row>
    <row r="198" ht="26" customHeight="1">
      <c r="A198" s="30" t="n"/>
      <c r="B198" s="43">
        <f>IFERROR(IF($A198="","",INDEX(RegTitle,MATCH($A198,RegCaseNo,0))),"Case no. not found")</f>
        <v/>
      </c>
      <c r="C198" s="31" t="n"/>
      <c r="D198" s="30" t="n"/>
      <c r="E198" s="30" t="n"/>
      <c r="F198" s="43">
        <f>IFERROR(IF($A198="","",INDEX(RegCourt,MATCH($A198,RegCaseNo,0))),"")</f>
        <v/>
      </c>
      <c r="G198" s="43">
        <f>IFERROR(IF($A198="","",INDEX(RegPersonnel,MATCH($A198,RegCaseNo,0))),"")</f>
        <v/>
      </c>
      <c r="H198" s="30" t="n"/>
      <c r="I198" s="31" t="n"/>
      <c r="J198" s="44">
        <f>IF(C198="","",C198-TODAY())</f>
        <v/>
      </c>
      <c r="K198" s="45">
        <f>IF(A198="","",IF(AND(H198="",C198&lt;TODAY()),"Overdue",IF(H198="","Upcoming",IF(H198="Held as Scheduled","Held",IF(H198="Cancelled","Cancelled",IF(H198="Submitted for Resolution","Cleared","Postponed"))))))</f>
        <v/>
      </c>
      <c r="L198" s="32" t="n"/>
    </row>
    <row r="199" ht="26" customHeight="1">
      <c r="A199" s="30" t="n"/>
      <c r="B199" s="43">
        <f>IFERROR(IF($A199="","",INDEX(RegTitle,MATCH($A199,RegCaseNo,0))),"Case no. not found")</f>
        <v/>
      </c>
      <c r="C199" s="31" t="n"/>
      <c r="D199" s="30" t="n"/>
      <c r="E199" s="30" t="n"/>
      <c r="F199" s="43">
        <f>IFERROR(IF($A199="","",INDEX(RegCourt,MATCH($A199,RegCaseNo,0))),"")</f>
        <v/>
      </c>
      <c r="G199" s="43">
        <f>IFERROR(IF($A199="","",INDEX(RegPersonnel,MATCH($A199,RegCaseNo,0))),"")</f>
        <v/>
      </c>
      <c r="H199" s="30" t="n"/>
      <c r="I199" s="31" t="n"/>
      <c r="J199" s="44">
        <f>IF(C199="","",C199-TODAY())</f>
        <v/>
      </c>
      <c r="K199" s="45">
        <f>IF(A199="","",IF(AND(H199="",C199&lt;TODAY()),"Overdue",IF(H199="","Upcoming",IF(H199="Held as Scheduled","Held",IF(H199="Cancelled","Cancelled",IF(H199="Submitted for Resolution","Cleared","Postponed"))))))</f>
        <v/>
      </c>
      <c r="L199" s="32" t="n"/>
    </row>
    <row r="200" ht="26" customHeight="1">
      <c r="A200" s="30" t="n"/>
      <c r="B200" s="43">
        <f>IFERROR(IF($A200="","",INDEX(RegTitle,MATCH($A200,RegCaseNo,0))),"Case no. not found")</f>
        <v/>
      </c>
      <c r="C200" s="31" t="n"/>
      <c r="D200" s="30" t="n"/>
      <c r="E200" s="30" t="n"/>
      <c r="F200" s="43">
        <f>IFERROR(IF($A200="","",INDEX(RegCourt,MATCH($A200,RegCaseNo,0))),"")</f>
        <v/>
      </c>
      <c r="G200" s="43">
        <f>IFERROR(IF($A200="","",INDEX(RegPersonnel,MATCH($A200,RegCaseNo,0))),"")</f>
        <v/>
      </c>
      <c r="H200" s="30" t="n"/>
      <c r="I200" s="31" t="n"/>
      <c r="J200" s="44">
        <f>IF(C200="","",C200-TODAY())</f>
        <v/>
      </c>
      <c r="K200" s="45">
        <f>IF(A200="","",IF(AND(H200="",C200&lt;TODAY()),"Overdue",IF(H200="","Upcoming",IF(H200="Held as Scheduled","Held",IF(H200="Cancelled","Cancelled",IF(H200="Submitted for Resolution","Cleared","Postponed"))))))</f>
        <v/>
      </c>
      <c r="L200" s="32" t="n"/>
    </row>
    <row r="201" ht="26" customHeight="1">
      <c r="A201" s="30" t="n"/>
      <c r="B201" s="43">
        <f>IFERROR(IF($A201="","",INDEX(RegTitle,MATCH($A201,RegCaseNo,0))),"Case no. not found")</f>
        <v/>
      </c>
      <c r="C201" s="31" t="n"/>
      <c r="D201" s="30" t="n"/>
      <c r="E201" s="30" t="n"/>
      <c r="F201" s="43">
        <f>IFERROR(IF($A201="","",INDEX(RegCourt,MATCH($A201,RegCaseNo,0))),"")</f>
        <v/>
      </c>
      <c r="G201" s="43">
        <f>IFERROR(IF($A201="","",INDEX(RegPersonnel,MATCH($A201,RegCaseNo,0))),"")</f>
        <v/>
      </c>
      <c r="H201" s="30" t="n"/>
      <c r="I201" s="31" t="n"/>
      <c r="J201" s="44">
        <f>IF(C201="","",C201-TODAY())</f>
        <v/>
      </c>
      <c r="K201" s="45">
        <f>IF(A201="","",IF(AND(H201="",C201&lt;TODAY()),"Overdue",IF(H201="","Upcoming",IF(H201="Held as Scheduled","Held",IF(H201="Cancelled","Cancelled",IF(H201="Submitted for Resolution","Cleared","Postponed"))))))</f>
        <v/>
      </c>
      <c r="L201" s="32" t="n"/>
    </row>
    <row r="202" ht="26" customHeight="1">
      <c r="A202" s="30" t="n"/>
      <c r="B202" s="43">
        <f>IFERROR(IF($A202="","",INDEX(RegTitle,MATCH($A202,RegCaseNo,0))),"Case no. not found")</f>
        <v/>
      </c>
      <c r="C202" s="31" t="n"/>
      <c r="D202" s="30" t="n"/>
      <c r="E202" s="30" t="n"/>
      <c r="F202" s="43">
        <f>IFERROR(IF($A202="","",INDEX(RegCourt,MATCH($A202,RegCaseNo,0))),"")</f>
        <v/>
      </c>
      <c r="G202" s="43">
        <f>IFERROR(IF($A202="","",INDEX(RegPersonnel,MATCH($A202,RegCaseNo,0))),"")</f>
        <v/>
      </c>
      <c r="H202" s="30" t="n"/>
      <c r="I202" s="31" t="n"/>
      <c r="J202" s="44">
        <f>IF(C202="","",C202-TODAY())</f>
        <v/>
      </c>
      <c r="K202" s="45">
        <f>IF(A202="","",IF(AND(H202="",C202&lt;TODAY()),"Overdue",IF(H202="","Upcoming",IF(H202="Held as Scheduled","Held",IF(H202="Cancelled","Cancelled",IF(H202="Submitted for Resolution","Cleared","Postponed"))))))</f>
        <v/>
      </c>
      <c r="L202" s="32" t="n"/>
    </row>
    <row r="203" ht="26" customHeight="1">
      <c r="A203" s="30" t="n"/>
      <c r="B203" s="43">
        <f>IFERROR(IF($A203="","",INDEX(RegTitle,MATCH($A203,RegCaseNo,0))),"Case no. not found")</f>
        <v/>
      </c>
      <c r="C203" s="31" t="n"/>
      <c r="D203" s="30" t="n"/>
      <c r="E203" s="30" t="n"/>
      <c r="F203" s="43">
        <f>IFERROR(IF($A203="","",INDEX(RegCourt,MATCH($A203,RegCaseNo,0))),"")</f>
        <v/>
      </c>
      <c r="G203" s="43">
        <f>IFERROR(IF($A203="","",INDEX(RegPersonnel,MATCH($A203,RegCaseNo,0))),"")</f>
        <v/>
      </c>
      <c r="H203" s="30" t="n"/>
      <c r="I203" s="31" t="n"/>
      <c r="J203" s="44">
        <f>IF(C203="","",C203-TODAY())</f>
        <v/>
      </c>
      <c r="K203" s="45">
        <f>IF(A203="","",IF(AND(H203="",C203&lt;TODAY()),"Overdue",IF(H203="","Upcoming",IF(H203="Held as Scheduled","Held",IF(H203="Cancelled","Cancelled",IF(H203="Submitted for Resolution","Cleared","Postponed"))))))</f>
        <v/>
      </c>
      <c r="L203" s="32" t="n"/>
    </row>
    <row r="204" ht="26" customHeight="1">
      <c r="A204" s="30" t="n"/>
      <c r="B204" s="43">
        <f>IFERROR(IF($A204="","",INDEX(RegTitle,MATCH($A204,RegCaseNo,0))),"Case no. not found")</f>
        <v/>
      </c>
      <c r="C204" s="31" t="n"/>
      <c r="D204" s="30" t="n"/>
      <c r="E204" s="30" t="n"/>
      <c r="F204" s="43">
        <f>IFERROR(IF($A204="","",INDEX(RegCourt,MATCH($A204,RegCaseNo,0))),"")</f>
        <v/>
      </c>
      <c r="G204" s="43">
        <f>IFERROR(IF($A204="","",INDEX(RegPersonnel,MATCH($A204,RegCaseNo,0))),"")</f>
        <v/>
      </c>
      <c r="H204" s="30" t="n"/>
      <c r="I204" s="31" t="n"/>
      <c r="J204" s="44">
        <f>IF(C204="","",C204-TODAY())</f>
        <v/>
      </c>
      <c r="K204" s="45">
        <f>IF(A204="","",IF(AND(H204="",C204&lt;TODAY()),"Overdue",IF(H204="","Upcoming",IF(H204="Held as Scheduled","Held",IF(H204="Cancelled","Cancelled",IF(H204="Submitted for Resolution","Cleared","Postponed"))))))</f>
        <v/>
      </c>
      <c r="L204" s="32" t="n"/>
    </row>
    <row r="205" ht="26" customHeight="1">
      <c r="A205" s="30" t="n"/>
      <c r="B205" s="43">
        <f>IFERROR(IF($A205="","",INDEX(RegTitle,MATCH($A205,RegCaseNo,0))),"Case no. not found")</f>
        <v/>
      </c>
      <c r="C205" s="31" t="n"/>
      <c r="D205" s="30" t="n"/>
      <c r="E205" s="30" t="n"/>
      <c r="F205" s="43">
        <f>IFERROR(IF($A205="","",INDEX(RegCourt,MATCH($A205,RegCaseNo,0))),"")</f>
        <v/>
      </c>
      <c r="G205" s="43">
        <f>IFERROR(IF($A205="","",INDEX(RegPersonnel,MATCH($A205,RegCaseNo,0))),"")</f>
        <v/>
      </c>
      <c r="H205" s="30" t="n"/>
      <c r="I205" s="31" t="n"/>
      <c r="J205" s="44">
        <f>IF(C205="","",C205-TODAY())</f>
        <v/>
      </c>
      <c r="K205" s="45">
        <f>IF(A205="","",IF(AND(H205="",C205&lt;TODAY()),"Overdue",IF(H205="","Upcoming",IF(H205="Held as Scheduled","Held",IF(H205="Cancelled","Cancelled",IF(H205="Submitted for Resolution","Cleared","Postponed"))))))</f>
        <v/>
      </c>
      <c r="L205" s="32" t="n"/>
    </row>
    <row r="206" ht="26" customHeight="1">
      <c r="A206" s="30" t="n"/>
      <c r="B206" s="43">
        <f>IFERROR(IF($A206="","",INDEX(RegTitle,MATCH($A206,RegCaseNo,0))),"Case no. not found")</f>
        <v/>
      </c>
      <c r="C206" s="31" t="n"/>
      <c r="D206" s="30" t="n"/>
      <c r="E206" s="30" t="n"/>
      <c r="F206" s="43">
        <f>IFERROR(IF($A206="","",INDEX(RegCourt,MATCH($A206,RegCaseNo,0))),"")</f>
        <v/>
      </c>
      <c r="G206" s="43">
        <f>IFERROR(IF($A206="","",INDEX(RegPersonnel,MATCH($A206,RegCaseNo,0))),"")</f>
        <v/>
      </c>
      <c r="H206" s="30" t="n"/>
      <c r="I206" s="31" t="n"/>
      <c r="J206" s="44">
        <f>IF(C206="","",C206-TODAY())</f>
        <v/>
      </c>
      <c r="K206" s="45">
        <f>IF(A206="","",IF(AND(H206="",C206&lt;TODAY()),"Overdue",IF(H206="","Upcoming",IF(H206="Held as Scheduled","Held",IF(H206="Cancelled","Cancelled",IF(H206="Submitted for Resolution","Cleared","Postponed"))))))</f>
        <v/>
      </c>
      <c r="L206" s="32" t="n"/>
    </row>
    <row r="207" ht="26" customHeight="1">
      <c r="A207" s="30" t="n"/>
      <c r="B207" s="43">
        <f>IFERROR(IF($A207="","",INDEX(RegTitle,MATCH($A207,RegCaseNo,0))),"Case no. not found")</f>
        <v/>
      </c>
      <c r="C207" s="31" t="n"/>
      <c r="D207" s="30" t="n"/>
      <c r="E207" s="30" t="n"/>
      <c r="F207" s="43">
        <f>IFERROR(IF($A207="","",INDEX(RegCourt,MATCH($A207,RegCaseNo,0))),"")</f>
        <v/>
      </c>
      <c r="G207" s="43">
        <f>IFERROR(IF($A207="","",INDEX(RegPersonnel,MATCH($A207,RegCaseNo,0))),"")</f>
        <v/>
      </c>
      <c r="H207" s="30" t="n"/>
      <c r="I207" s="31" t="n"/>
      <c r="J207" s="44">
        <f>IF(C207="","",C207-TODAY())</f>
        <v/>
      </c>
      <c r="K207" s="45">
        <f>IF(A207="","",IF(AND(H207="",C207&lt;TODAY()),"Overdue",IF(H207="","Upcoming",IF(H207="Held as Scheduled","Held",IF(H207="Cancelled","Cancelled",IF(H207="Submitted for Resolution","Cleared","Postponed"))))))</f>
        <v/>
      </c>
      <c r="L207" s="32" t="n"/>
    </row>
    <row r="208" ht="26" customHeight="1">
      <c r="A208" s="30" t="n"/>
      <c r="B208" s="43">
        <f>IFERROR(IF($A208="","",INDEX(RegTitle,MATCH($A208,RegCaseNo,0))),"Case no. not found")</f>
        <v/>
      </c>
      <c r="C208" s="31" t="n"/>
      <c r="D208" s="30" t="n"/>
      <c r="E208" s="30" t="n"/>
      <c r="F208" s="43">
        <f>IFERROR(IF($A208="","",INDEX(RegCourt,MATCH($A208,RegCaseNo,0))),"")</f>
        <v/>
      </c>
      <c r="G208" s="43">
        <f>IFERROR(IF($A208="","",INDEX(RegPersonnel,MATCH($A208,RegCaseNo,0))),"")</f>
        <v/>
      </c>
      <c r="H208" s="30" t="n"/>
      <c r="I208" s="31" t="n"/>
      <c r="J208" s="44">
        <f>IF(C208="","",C208-TODAY())</f>
        <v/>
      </c>
      <c r="K208" s="45">
        <f>IF(A208="","",IF(AND(H208="",C208&lt;TODAY()),"Overdue",IF(H208="","Upcoming",IF(H208="Held as Scheduled","Held",IF(H208="Cancelled","Cancelled",IF(H208="Submitted for Resolution","Cleared","Postponed"))))))</f>
        <v/>
      </c>
      <c r="L208" s="32" t="n"/>
    </row>
    <row r="209" ht="26" customHeight="1">
      <c r="A209" s="30" t="n"/>
      <c r="B209" s="43">
        <f>IFERROR(IF($A209="","",INDEX(RegTitle,MATCH($A209,RegCaseNo,0))),"Case no. not found")</f>
        <v/>
      </c>
      <c r="C209" s="31" t="n"/>
      <c r="D209" s="30" t="n"/>
      <c r="E209" s="30" t="n"/>
      <c r="F209" s="43">
        <f>IFERROR(IF($A209="","",INDEX(RegCourt,MATCH($A209,RegCaseNo,0))),"")</f>
        <v/>
      </c>
      <c r="G209" s="43">
        <f>IFERROR(IF($A209="","",INDEX(RegPersonnel,MATCH($A209,RegCaseNo,0))),"")</f>
        <v/>
      </c>
      <c r="H209" s="30" t="n"/>
      <c r="I209" s="31" t="n"/>
      <c r="J209" s="44">
        <f>IF(C209="","",C209-TODAY())</f>
        <v/>
      </c>
      <c r="K209" s="45">
        <f>IF(A209="","",IF(AND(H209="",C209&lt;TODAY()),"Overdue",IF(H209="","Upcoming",IF(H209="Held as Scheduled","Held",IF(H209="Cancelled","Cancelled",IF(H209="Submitted for Resolution","Cleared","Postponed"))))))</f>
        <v/>
      </c>
      <c r="L209" s="32" t="n"/>
    </row>
    <row r="210" ht="26" customHeight="1">
      <c r="A210" s="30" t="n"/>
      <c r="B210" s="43">
        <f>IFERROR(IF($A210="","",INDEX(RegTitle,MATCH($A210,RegCaseNo,0))),"Case no. not found")</f>
        <v/>
      </c>
      <c r="C210" s="31" t="n"/>
      <c r="D210" s="30" t="n"/>
      <c r="E210" s="30" t="n"/>
      <c r="F210" s="43">
        <f>IFERROR(IF($A210="","",INDEX(RegCourt,MATCH($A210,RegCaseNo,0))),"")</f>
        <v/>
      </c>
      <c r="G210" s="43">
        <f>IFERROR(IF($A210="","",INDEX(RegPersonnel,MATCH($A210,RegCaseNo,0))),"")</f>
        <v/>
      </c>
      <c r="H210" s="30" t="n"/>
      <c r="I210" s="31" t="n"/>
      <c r="J210" s="44">
        <f>IF(C210="","",C210-TODAY())</f>
        <v/>
      </c>
      <c r="K210" s="45">
        <f>IF(A210="","",IF(AND(H210="",C210&lt;TODAY()),"Overdue",IF(H210="","Upcoming",IF(H210="Held as Scheduled","Held",IF(H210="Cancelled","Cancelled",IF(H210="Submitted for Resolution","Cleared","Postponed"))))))</f>
        <v/>
      </c>
      <c r="L210" s="32" t="n"/>
    </row>
    <row r="211" ht="26" customHeight="1">
      <c r="A211" s="30" t="n"/>
      <c r="B211" s="43">
        <f>IFERROR(IF($A211="","",INDEX(RegTitle,MATCH($A211,RegCaseNo,0))),"Case no. not found")</f>
        <v/>
      </c>
      <c r="C211" s="31" t="n"/>
      <c r="D211" s="30" t="n"/>
      <c r="E211" s="30" t="n"/>
      <c r="F211" s="43">
        <f>IFERROR(IF($A211="","",INDEX(RegCourt,MATCH($A211,RegCaseNo,0))),"")</f>
        <v/>
      </c>
      <c r="G211" s="43">
        <f>IFERROR(IF($A211="","",INDEX(RegPersonnel,MATCH($A211,RegCaseNo,0))),"")</f>
        <v/>
      </c>
      <c r="H211" s="30" t="n"/>
      <c r="I211" s="31" t="n"/>
      <c r="J211" s="44">
        <f>IF(C211="","",C211-TODAY())</f>
        <v/>
      </c>
      <c r="K211" s="45">
        <f>IF(A211="","",IF(AND(H211="",C211&lt;TODAY()),"Overdue",IF(H211="","Upcoming",IF(H211="Held as Scheduled","Held",IF(H211="Cancelled","Cancelled",IF(H211="Submitted for Resolution","Cleared","Postponed"))))))</f>
        <v/>
      </c>
      <c r="L211" s="32" t="n"/>
    </row>
    <row r="212" ht="26" customHeight="1">
      <c r="A212" s="30" t="n"/>
      <c r="B212" s="43">
        <f>IFERROR(IF($A212="","",INDEX(RegTitle,MATCH($A212,RegCaseNo,0))),"Case no. not found")</f>
        <v/>
      </c>
      <c r="C212" s="31" t="n"/>
      <c r="D212" s="30" t="n"/>
      <c r="E212" s="30" t="n"/>
      <c r="F212" s="43">
        <f>IFERROR(IF($A212="","",INDEX(RegCourt,MATCH($A212,RegCaseNo,0))),"")</f>
        <v/>
      </c>
      <c r="G212" s="43">
        <f>IFERROR(IF($A212="","",INDEX(RegPersonnel,MATCH($A212,RegCaseNo,0))),"")</f>
        <v/>
      </c>
      <c r="H212" s="30" t="n"/>
      <c r="I212" s="31" t="n"/>
      <c r="J212" s="44">
        <f>IF(C212="","",C212-TODAY())</f>
        <v/>
      </c>
      <c r="K212" s="45">
        <f>IF(A212="","",IF(AND(H212="",C212&lt;TODAY()),"Overdue",IF(H212="","Upcoming",IF(H212="Held as Scheduled","Held",IF(H212="Cancelled","Cancelled",IF(H212="Submitted for Resolution","Cleared","Postponed"))))))</f>
        <v/>
      </c>
      <c r="L212" s="32" t="n"/>
    </row>
    <row r="213" ht="26" customHeight="1">
      <c r="A213" s="30" t="n"/>
      <c r="B213" s="43">
        <f>IFERROR(IF($A213="","",INDEX(RegTitle,MATCH($A213,RegCaseNo,0))),"Case no. not found")</f>
        <v/>
      </c>
      <c r="C213" s="31" t="n"/>
      <c r="D213" s="30" t="n"/>
      <c r="E213" s="30" t="n"/>
      <c r="F213" s="43">
        <f>IFERROR(IF($A213="","",INDEX(RegCourt,MATCH($A213,RegCaseNo,0))),"")</f>
        <v/>
      </c>
      <c r="G213" s="43">
        <f>IFERROR(IF($A213="","",INDEX(RegPersonnel,MATCH($A213,RegCaseNo,0))),"")</f>
        <v/>
      </c>
      <c r="H213" s="30" t="n"/>
      <c r="I213" s="31" t="n"/>
      <c r="J213" s="44">
        <f>IF(C213="","",C213-TODAY())</f>
        <v/>
      </c>
      <c r="K213" s="45">
        <f>IF(A213="","",IF(AND(H213="",C213&lt;TODAY()),"Overdue",IF(H213="","Upcoming",IF(H213="Held as Scheduled","Held",IF(H213="Cancelled","Cancelled",IF(H213="Submitted for Resolution","Cleared","Postponed"))))))</f>
        <v/>
      </c>
      <c r="L213" s="32" t="n"/>
    </row>
    <row r="214" ht="26" customHeight="1">
      <c r="A214" s="30" t="n"/>
      <c r="B214" s="43">
        <f>IFERROR(IF($A214="","",INDEX(RegTitle,MATCH($A214,RegCaseNo,0))),"Case no. not found")</f>
        <v/>
      </c>
      <c r="C214" s="31" t="n"/>
      <c r="D214" s="30" t="n"/>
      <c r="E214" s="30" t="n"/>
      <c r="F214" s="43">
        <f>IFERROR(IF($A214="","",INDEX(RegCourt,MATCH($A214,RegCaseNo,0))),"")</f>
        <v/>
      </c>
      <c r="G214" s="43">
        <f>IFERROR(IF($A214="","",INDEX(RegPersonnel,MATCH($A214,RegCaseNo,0))),"")</f>
        <v/>
      </c>
      <c r="H214" s="30" t="n"/>
      <c r="I214" s="31" t="n"/>
      <c r="J214" s="44">
        <f>IF(C214="","",C214-TODAY())</f>
        <v/>
      </c>
      <c r="K214" s="45">
        <f>IF(A214="","",IF(AND(H214="",C214&lt;TODAY()),"Overdue",IF(H214="","Upcoming",IF(H214="Held as Scheduled","Held",IF(H214="Cancelled","Cancelled",IF(H214="Submitted for Resolution","Cleared","Postponed"))))))</f>
        <v/>
      </c>
      <c r="L214" s="32" t="n"/>
    </row>
    <row r="215" ht="26" customHeight="1">
      <c r="A215" s="30" t="n"/>
      <c r="B215" s="43">
        <f>IFERROR(IF($A215="","",INDEX(RegTitle,MATCH($A215,RegCaseNo,0))),"Case no. not found")</f>
        <v/>
      </c>
      <c r="C215" s="31" t="n"/>
      <c r="D215" s="30" t="n"/>
      <c r="E215" s="30" t="n"/>
      <c r="F215" s="43">
        <f>IFERROR(IF($A215="","",INDEX(RegCourt,MATCH($A215,RegCaseNo,0))),"")</f>
        <v/>
      </c>
      <c r="G215" s="43">
        <f>IFERROR(IF($A215="","",INDEX(RegPersonnel,MATCH($A215,RegCaseNo,0))),"")</f>
        <v/>
      </c>
      <c r="H215" s="30" t="n"/>
      <c r="I215" s="31" t="n"/>
      <c r="J215" s="44">
        <f>IF(C215="","",C215-TODAY())</f>
        <v/>
      </c>
      <c r="K215" s="45">
        <f>IF(A215="","",IF(AND(H215="",C215&lt;TODAY()),"Overdue",IF(H215="","Upcoming",IF(H215="Held as Scheduled","Held",IF(H215="Cancelled","Cancelled",IF(H215="Submitted for Resolution","Cleared","Postponed"))))))</f>
        <v/>
      </c>
      <c r="L215" s="32" t="n"/>
    </row>
    <row r="216" ht="26" customHeight="1">
      <c r="A216" s="30" t="n"/>
      <c r="B216" s="43">
        <f>IFERROR(IF($A216="","",INDEX(RegTitle,MATCH($A216,RegCaseNo,0))),"Case no. not found")</f>
        <v/>
      </c>
      <c r="C216" s="31" t="n"/>
      <c r="D216" s="30" t="n"/>
      <c r="E216" s="30" t="n"/>
      <c r="F216" s="43">
        <f>IFERROR(IF($A216="","",INDEX(RegCourt,MATCH($A216,RegCaseNo,0))),"")</f>
        <v/>
      </c>
      <c r="G216" s="43">
        <f>IFERROR(IF($A216="","",INDEX(RegPersonnel,MATCH($A216,RegCaseNo,0))),"")</f>
        <v/>
      </c>
      <c r="H216" s="30" t="n"/>
      <c r="I216" s="31" t="n"/>
      <c r="J216" s="44">
        <f>IF(C216="","",C216-TODAY())</f>
        <v/>
      </c>
      <c r="K216" s="45">
        <f>IF(A216="","",IF(AND(H216="",C216&lt;TODAY()),"Overdue",IF(H216="","Upcoming",IF(H216="Held as Scheduled","Held",IF(H216="Cancelled","Cancelled",IF(H216="Submitted for Resolution","Cleared","Postponed"))))))</f>
        <v/>
      </c>
      <c r="L216" s="32" t="n"/>
    </row>
    <row r="217" ht="26" customHeight="1">
      <c r="A217" s="30" t="n"/>
      <c r="B217" s="43">
        <f>IFERROR(IF($A217="","",INDEX(RegTitle,MATCH($A217,RegCaseNo,0))),"Case no. not found")</f>
        <v/>
      </c>
      <c r="C217" s="31" t="n"/>
      <c r="D217" s="30" t="n"/>
      <c r="E217" s="30" t="n"/>
      <c r="F217" s="43">
        <f>IFERROR(IF($A217="","",INDEX(RegCourt,MATCH($A217,RegCaseNo,0))),"")</f>
        <v/>
      </c>
      <c r="G217" s="43">
        <f>IFERROR(IF($A217="","",INDEX(RegPersonnel,MATCH($A217,RegCaseNo,0))),"")</f>
        <v/>
      </c>
      <c r="H217" s="30" t="n"/>
      <c r="I217" s="31" t="n"/>
      <c r="J217" s="44">
        <f>IF(C217="","",C217-TODAY())</f>
        <v/>
      </c>
      <c r="K217" s="45">
        <f>IF(A217="","",IF(AND(H217="",C217&lt;TODAY()),"Overdue",IF(H217="","Upcoming",IF(H217="Held as Scheduled","Held",IF(H217="Cancelled","Cancelled",IF(H217="Submitted for Resolution","Cleared","Postponed"))))))</f>
        <v/>
      </c>
      <c r="L217" s="32" t="n"/>
    </row>
    <row r="218" ht="26" customHeight="1">
      <c r="A218" s="30" t="n"/>
      <c r="B218" s="43">
        <f>IFERROR(IF($A218="","",INDEX(RegTitle,MATCH($A218,RegCaseNo,0))),"Case no. not found")</f>
        <v/>
      </c>
      <c r="C218" s="31" t="n"/>
      <c r="D218" s="30" t="n"/>
      <c r="E218" s="30" t="n"/>
      <c r="F218" s="43">
        <f>IFERROR(IF($A218="","",INDEX(RegCourt,MATCH($A218,RegCaseNo,0))),"")</f>
        <v/>
      </c>
      <c r="G218" s="43">
        <f>IFERROR(IF($A218="","",INDEX(RegPersonnel,MATCH($A218,RegCaseNo,0))),"")</f>
        <v/>
      </c>
      <c r="H218" s="30" t="n"/>
      <c r="I218" s="31" t="n"/>
      <c r="J218" s="44">
        <f>IF(C218="","",C218-TODAY())</f>
        <v/>
      </c>
      <c r="K218" s="45">
        <f>IF(A218="","",IF(AND(H218="",C218&lt;TODAY()),"Overdue",IF(H218="","Upcoming",IF(H218="Held as Scheduled","Held",IF(H218="Cancelled","Cancelled",IF(H218="Submitted for Resolution","Cleared","Postponed"))))))</f>
        <v/>
      </c>
      <c r="L218" s="32" t="n"/>
    </row>
    <row r="219" ht="26" customHeight="1">
      <c r="A219" s="30" t="n"/>
      <c r="B219" s="43">
        <f>IFERROR(IF($A219="","",INDEX(RegTitle,MATCH($A219,RegCaseNo,0))),"Case no. not found")</f>
        <v/>
      </c>
      <c r="C219" s="31" t="n"/>
      <c r="D219" s="30" t="n"/>
      <c r="E219" s="30" t="n"/>
      <c r="F219" s="43">
        <f>IFERROR(IF($A219="","",INDEX(RegCourt,MATCH($A219,RegCaseNo,0))),"")</f>
        <v/>
      </c>
      <c r="G219" s="43">
        <f>IFERROR(IF($A219="","",INDEX(RegPersonnel,MATCH($A219,RegCaseNo,0))),"")</f>
        <v/>
      </c>
      <c r="H219" s="30" t="n"/>
      <c r="I219" s="31" t="n"/>
      <c r="J219" s="44">
        <f>IF(C219="","",C219-TODAY())</f>
        <v/>
      </c>
      <c r="K219" s="45">
        <f>IF(A219="","",IF(AND(H219="",C219&lt;TODAY()),"Overdue",IF(H219="","Upcoming",IF(H219="Held as Scheduled","Held",IF(H219="Cancelled","Cancelled",IF(H219="Submitted for Resolution","Cleared","Postponed"))))))</f>
        <v/>
      </c>
      <c r="L219" s="32" t="n"/>
    </row>
    <row r="220" ht="26" customHeight="1">
      <c r="A220" s="30" t="n"/>
      <c r="B220" s="43">
        <f>IFERROR(IF($A220="","",INDEX(RegTitle,MATCH($A220,RegCaseNo,0))),"Case no. not found")</f>
        <v/>
      </c>
      <c r="C220" s="31" t="n"/>
      <c r="D220" s="30" t="n"/>
      <c r="E220" s="30" t="n"/>
      <c r="F220" s="43">
        <f>IFERROR(IF($A220="","",INDEX(RegCourt,MATCH($A220,RegCaseNo,0))),"")</f>
        <v/>
      </c>
      <c r="G220" s="43">
        <f>IFERROR(IF($A220="","",INDEX(RegPersonnel,MATCH($A220,RegCaseNo,0))),"")</f>
        <v/>
      </c>
      <c r="H220" s="30" t="n"/>
      <c r="I220" s="31" t="n"/>
      <c r="J220" s="44">
        <f>IF(C220="","",C220-TODAY())</f>
        <v/>
      </c>
      <c r="K220" s="45">
        <f>IF(A220="","",IF(AND(H220="",C220&lt;TODAY()),"Overdue",IF(H220="","Upcoming",IF(H220="Held as Scheduled","Held",IF(H220="Cancelled","Cancelled",IF(H220="Submitted for Resolution","Cleared","Postponed"))))))</f>
        <v/>
      </c>
      <c r="L220" s="32" t="n"/>
    </row>
    <row r="221" ht="26" customHeight="1">
      <c r="A221" s="30" t="n"/>
      <c r="B221" s="43">
        <f>IFERROR(IF($A221="","",INDEX(RegTitle,MATCH($A221,RegCaseNo,0))),"Case no. not found")</f>
        <v/>
      </c>
      <c r="C221" s="31" t="n"/>
      <c r="D221" s="30" t="n"/>
      <c r="E221" s="30" t="n"/>
      <c r="F221" s="43">
        <f>IFERROR(IF($A221="","",INDEX(RegCourt,MATCH($A221,RegCaseNo,0))),"")</f>
        <v/>
      </c>
      <c r="G221" s="43">
        <f>IFERROR(IF($A221="","",INDEX(RegPersonnel,MATCH($A221,RegCaseNo,0))),"")</f>
        <v/>
      </c>
      <c r="H221" s="30" t="n"/>
      <c r="I221" s="31" t="n"/>
      <c r="J221" s="44">
        <f>IF(C221="","",C221-TODAY())</f>
        <v/>
      </c>
      <c r="K221" s="45">
        <f>IF(A221="","",IF(AND(H221="",C221&lt;TODAY()),"Overdue",IF(H221="","Upcoming",IF(H221="Held as Scheduled","Held",IF(H221="Cancelled","Cancelled",IF(H221="Submitted for Resolution","Cleared","Postponed"))))))</f>
        <v/>
      </c>
      <c r="L221" s="32" t="n"/>
    </row>
    <row r="222" ht="26" customHeight="1">
      <c r="A222" s="30" t="n"/>
      <c r="B222" s="43">
        <f>IFERROR(IF($A222="","",INDEX(RegTitle,MATCH($A222,RegCaseNo,0))),"Case no. not found")</f>
        <v/>
      </c>
      <c r="C222" s="31" t="n"/>
      <c r="D222" s="30" t="n"/>
      <c r="E222" s="30" t="n"/>
      <c r="F222" s="43">
        <f>IFERROR(IF($A222="","",INDEX(RegCourt,MATCH($A222,RegCaseNo,0))),"")</f>
        <v/>
      </c>
      <c r="G222" s="43">
        <f>IFERROR(IF($A222="","",INDEX(RegPersonnel,MATCH($A222,RegCaseNo,0))),"")</f>
        <v/>
      </c>
      <c r="H222" s="30" t="n"/>
      <c r="I222" s="31" t="n"/>
      <c r="J222" s="44">
        <f>IF(C222="","",C222-TODAY())</f>
        <v/>
      </c>
      <c r="K222" s="45">
        <f>IF(A222="","",IF(AND(H222="",C222&lt;TODAY()),"Overdue",IF(H222="","Upcoming",IF(H222="Held as Scheduled","Held",IF(H222="Cancelled","Cancelled",IF(H222="Submitted for Resolution","Cleared","Postponed"))))))</f>
        <v/>
      </c>
      <c r="L222" s="32" t="n"/>
    </row>
    <row r="223" ht="26" customHeight="1">
      <c r="A223" s="30" t="n"/>
      <c r="B223" s="43">
        <f>IFERROR(IF($A223="","",INDEX(RegTitle,MATCH($A223,RegCaseNo,0))),"Case no. not found")</f>
        <v/>
      </c>
      <c r="C223" s="31" t="n"/>
      <c r="D223" s="30" t="n"/>
      <c r="E223" s="30" t="n"/>
      <c r="F223" s="43">
        <f>IFERROR(IF($A223="","",INDEX(RegCourt,MATCH($A223,RegCaseNo,0))),"")</f>
        <v/>
      </c>
      <c r="G223" s="43">
        <f>IFERROR(IF($A223="","",INDEX(RegPersonnel,MATCH($A223,RegCaseNo,0))),"")</f>
        <v/>
      </c>
      <c r="H223" s="30" t="n"/>
      <c r="I223" s="31" t="n"/>
      <c r="J223" s="44">
        <f>IF(C223="","",C223-TODAY())</f>
        <v/>
      </c>
      <c r="K223" s="45">
        <f>IF(A223="","",IF(AND(H223="",C223&lt;TODAY()),"Overdue",IF(H223="","Upcoming",IF(H223="Held as Scheduled","Held",IF(H223="Cancelled","Cancelled",IF(H223="Submitted for Resolution","Cleared","Postponed"))))))</f>
        <v/>
      </c>
      <c r="L223" s="32" t="n"/>
    </row>
    <row r="224" ht="26" customHeight="1">
      <c r="A224" s="30" t="n"/>
      <c r="B224" s="43">
        <f>IFERROR(IF($A224="","",INDEX(RegTitle,MATCH($A224,RegCaseNo,0))),"Case no. not found")</f>
        <v/>
      </c>
      <c r="C224" s="31" t="n"/>
      <c r="D224" s="30" t="n"/>
      <c r="E224" s="30" t="n"/>
      <c r="F224" s="43">
        <f>IFERROR(IF($A224="","",INDEX(RegCourt,MATCH($A224,RegCaseNo,0))),"")</f>
        <v/>
      </c>
      <c r="G224" s="43">
        <f>IFERROR(IF($A224="","",INDEX(RegPersonnel,MATCH($A224,RegCaseNo,0))),"")</f>
        <v/>
      </c>
      <c r="H224" s="30" t="n"/>
      <c r="I224" s="31" t="n"/>
      <c r="J224" s="44">
        <f>IF(C224="","",C224-TODAY())</f>
        <v/>
      </c>
      <c r="K224" s="45">
        <f>IF(A224="","",IF(AND(H224="",C224&lt;TODAY()),"Overdue",IF(H224="","Upcoming",IF(H224="Held as Scheduled","Held",IF(H224="Cancelled","Cancelled",IF(H224="Submitted for Resolution","Cleared","Postponed"))))))</f>
        <v/>
      </c>
      <c r="L224" s="32" t="n"/>
    </row>
    <row r="225" ht="26" customHeight="1">
      <c r="A225" s="30" t="n"/>
      <c r="B225" s="43">
        <f>IFERROR(IF($A225="","",INDEX(RegTitle,MATCH($A225,RegCaseNo,0))),"Case no. not found")</f>
        <v/>
      </c>
      <c r="C225" s="31" t="n"/>
      <c r="D225" s="30" t="n"/>
      <c r="E225" s="30" t="n"/>
      <c r="F225" s="43">
        <f>IFERROR(IF($A225="","",INDEX(RegCourt,MATCH($A225,RegCaseNo,0))),"")</f>
        <v/>
      </c>
      <c r="G225" s="43">
        <f>IFERROR(IF($A225="","",INDEX(RegPersonnel,MATCH($A225,RegCaseNo,0))),"")</f>
        <v/>
      </c>
      <c r="H225" s="30" t="n"/>
      <c r="I225" s="31" t="n"/>
      <c r="J225" s="44">
        <f>IF(C225="","",C225-TODAY())</f>
        <v/>
      </c>
      <c r="K225" s="45">
        <f>IF(A225="","",IF(AND(H225="",C225&lt;TODAY()),"Overdue",IF(H225="","Upcoming",IF(H225="Held as Scheduled","Held",IF(H225="Cancelled","Cancelled",IF(H225="Submitted for Resolution","Cleared","Postponed"))))))</f>
        <v/>
      </c>
      <c r="L225" s="32" t="n"/>
    </row>
    <row r="226" ht="26" customHeight="1">
      <c r="A226" s="30" t="n"/>
      <c r="B226" s="43">
        <f>IFERROR(IF($A226="","",INDEX(RegTitle,MATCH($A226,RegCaseNo,0))),"Case no. not found")</f>
        <v/>
      </c>
      <c r="C226" s="31" t="n"/>
      <c r="D226" s="30" t="n"/>
      <c r="E226" s="30" t="n"/>
      <c r="F226" s="43">
        <f>IFERROR(IF($A226="","",INDEX(RegCourt,MATCH($A226,RegCaseNo,0))),"")</f>
        <v/>
      </c>
      <c r="G226" s="43">
        <f>IFERROR(IF($A226="","",INDEX(RegPersonnel,MATCH($A226,RegCaseNo,0))),"")</f>
        <v/>
      </c>
      <c r="H226" s="30" t="n"/>
      <c r="I226" s="31" t="n"/>
      <c r="J226" s="44">
        <f>IF(C226="","",C226-TODAY())</f>
        <v/>
      </c>
      <c r="K226" s="45">
        <f>IF(A226="","",IF(AND(H226="",C226&lt;TODAY()),"Overdue",IF(H226="","Upcoming",IF(H226="Held as Scheduled","Held",IF(H226="Cancelled","Cancelled",IF(H226="Submitted for Resolution","Cleared","Postponed"))))))</f>
        <v/>
      </c>
      <c r="L226" s="32" t="n"/>
    </row>
    <row r="227" ht="26" customHeight="1">
      <c r="A227" s="30" t="n"/>
      <c r="B227" s="43">
        <f>IFERROR(IF($A227="","",INDEX(RegTitle,MATCH($A227,RegCaseNo,0))),"Case no. not found")</f>
        <v/>
      </c>
      <c r="C227" s="31" t="n"/>
      <c r="D227" s="30" t="n"/>
      <c r="E227" s="30" t="n"/>
      <c r="F227" s="43">
        <f>IFERROR(IF($A227="","",INDEX(RegCourt,MATCH($A227,RegCaseNo,0))),"")</f>
        <v/>
      </c>
      <c r="G227" s="43">
        <f>IFERROR(IF($A227="","",INDEX(RegPersonnel,MATCH($A227,RegCaseNo,0))),"")</f>
        <v/>
      </c>
      <c r="H227" s="30" t="n"/>
      <c r="I227" s="31" t="n"/>
      <c r="J227" s="44">
        <f>IF(C227="","",C227-TODAY())</f>
        <v/>
      </c>
      <c r="K227" s="45">
        <f>IF(A227="","",IF(AND(H227="",C227&lt;TODAY()),"Overdue",IF(H227="","Upcoming",IF(H227="Held as Scheduled","Held",IF(H227="Cancelled","Cancelled",IF(H227="Submitted for Resolution","Cleared","Postponed"))))))</f>
        <v/>
      </c>
      <c r="L227" s="32" t="n"/>
    </row>
    <row r="228" ht="26" customHeight="1">
      <c r="A228" s="30" t="n"/>
      <c r="B228" s="43">
        <f>IFERROR(IF($A228="","",INDEX(RegTitle,MATCH($A228,RegCaseNo,0))),"Case no. not found")</f>
        <v/>
      </c>
      <c r="C228" s="31" t="n"/>
      <c r="D228" s="30" t="n"/>
      <c r="E228" s="30" t="n"/>
      <c r="F228" s="43">
        <f>IFERROR(IF($A228="","",INDEX(RegCourt,MATCH($A228,RegCaseNo,0))),"")</f>
        <v/>
      </c>
      <c r="G228" s="43">
        <f>IFERROR(IF($A228="","",INDEX(RegPersonnel,MATCH($A228,RegCaseNo,0))),"")</f>
        <v/>
      </c>
      <c r="H228" s="30" t="n"/>
      <c r="I228" s="31" t="n"/>
      <c r="J228" s="44">
        <f>IF(C228="","",C228-TODAY())</f>
        <v/>
      </c>
      <c r="K228" s="45">
        <f>IF(A228="","",IF(AND(H228="",C228&lt;TODAY()),"Overdue",IF(H228="","Upcoming",IF(H228="Held as Scheduled","Held",IF(H228="Cancelled","Cancelled",IF(H228="Submitted for Resolution","Cleared","Postponed"))))))</f>
        <v/>
      </c>
      <c r="L228" s="32" t="n"/>
    </row>
    <row r="229" ht="26" customHeight="1">
      <c r="A229" s="30" t="n"/>
      <c r="B229" s="43">
        <f>IFERROR(IF($A229="","",INDEX(RegTitle,MATCH($A229,RegCaseNo,0))),"Case no. not found")</f>
        <v/>
      </c>
      <c r="C229" s="31" t="n"/>
      <c r="D229" s="30" t="n"/>
      <c r="E229" s="30" t="n"/>
      <c r="F229" s="43">
        <f>IFERROR(IF($A229="","",INDEX(RegCourt,MATCH($A229,RegCaseNo,0))),"")</f>
        <v/>
      </c>
      <c r="G229" s="43">
        <f>IFERROR(IF($A229="","",INDEX(RegPersonnel,MATCH($A229,RegCaseNo,0))),"")</f>
        <v/>
      </c>
      <c r="H229" s="30" t="n"/>
      <c r="I229" s="31" t="n"/>
      <c r="J229" s="44">
        <f>IF(C229="","",C229-TODAY())</f>
        <v/>
      </c>
      <c r="K229" s="45">
        <f>IF(A229="","",IF(AND(H229="",C229&lt;TODAY()),"Overdue",IF(H229="","Upcoming",IF(H229="Held as Scheduled","Held",IF(H229="Cancelled","Cancelled",IF(H229="Submitted for Resolution","Cleared","Postponed"))))))</f>
        <v/>
      </c>
      <c r="L229" s="32" t="n"/>
    </row>
    <row r="230" ht="26" customHeight="1">
      <c r="A230" s="30" t="n"/>
      <c r="B230" s="43">
        <f>IFERROR(IF($A230="","",INDEX(RegTitle,MATCH($A230,RegCaseNo,0))),"Case no. not found")</f>
        <v/>
      </c>
      <c r="C230" s="31" t="n"/>
      <c r="D230" s="30" t="n"/>
      <c r="E230" s="30" t="n"/>
      <c r="F230" s="43">
        <f>IFERROR(IF($A230="","",INDEX(RegCourt,MATCH($A230,RegCaseNo,0))),"")</f>
        <v/>
      </c>
      <c r="G230" s="43">
        <f>IFERROR(IF($A230="","",INDEX(RegPersonnel,MATCH($A230,RegCaseNo,0))),"")</f>
        <v/>
      </c>
      <c r="H230" s="30" t="n"/>
      <c r="I230" s="31" t="n"/>
      <c r="J230" s="44">
        <f>IF(C230="","",C230-TODAY())</f>
        <v/>
      </c>
      <c r="K230" s="45">
        <f>IF(A230="","",IF(AND(H230="",C230&lt;TODAY()),"Overdue",IF(H230="","Upcoming",IF(H230="Held as Scheduled","Held",IF(H230="Cancelled","Cancelled",IF(H230="Submitted for Resolution","Cleared","Postponed"))))))</f>
        <v/>
      </c>
      <c r="L230" s="32" t="n"/>
    </row>
    <row r="231" ht="26" customHeight="1">
      <c r="A231" s="30" t="n"/>
      <c r="B231" s="43">
        <f>IFERROR(IF($A231="","",INDEX(RegTitle,MATCH($A231,RegCaseNo,0))),"Case no. not found")</f>
        <v/>
      </c>
      <c r="C231" s="31" t="n"/>
      <c r="D231" s="30" t="n"/>
      <c r="E231" s="30" t="n"/>
      <c r="F231" s="43">
        <f>IFERROR(IF($A231="","",INDEX(RegCourt,MATCH($A231,RegCaseNo,0))),"")</f>
        <v/>
      </c>
      <c r="G231" s="43">
        <f>IFERROR(IF($A231="","",INDEX(RegPersonnel,MATCH($A231,RegCaseNo,0))),"")</f>
        <v/>
      </c>
      <c r="H231" s="30" t="n"/>
      <c r="I231" s="31" t="n"/>
      <c r="J231" s="44">
        <f>IF(C231="","",C231-TODAY())</f>
        <v/>
      </c>
      <c r="K231" s="45">
        <f>IF(A231="","",IF(AND(H231="",C231&lt;TODAY()),"Overdue",IF(H231="","Upcoming",IF(H231="Held as Scheduled","Held",IF(H231="Cancelled","Cancelled",IF(H231="Submitted for Resolution","Cleared","Postponed"))))))</f>
        <v/>
      </c>
      <c r="L231" s="32" t="n"/>
    </row>
    <row r="232" ht="26" customHeight="1">
      <c r="A232" s="30" t="n"/>
      <c r="B232" s="43">
        <f>IFERROR(IF($A232="","",INDEX(RegTitle,MATCH($A232,RegCaseNo,0))),"Case no. not found")</f>
        <v/>
      </c>
      <c r="C232" s="31" t="n"/>
      <c r="D232" s="30" t="n"/>
      <c r="E232" s="30" t="n"/>
      <c r="F232" s="43">
        <f>IFERROR(IF($A232="","",INDEX(RegCourt,MATCH($A232,RegCaseNo,0))),"")</f>
        <v/>
      </c>
      <c r="G232" s="43">
        <f>IFERROR(IF($A232="","",INDEX(RegPersonnel,MATCH($A232,RegCaseNo,0))),"")</f>
        <v/>
      </c>
      <c r="H232" s="30" t="n"/>
      <c r="I232" s="31" t="n"/>
      <c r="J232" s="44">
        <f>IF(C232="","",C232-TODAY())</f>
        <v/>
      </c>
      <c r="K232" s="45">
        <f>IF(A232="","",IF(AND(H232="",C232&lt;TODAY()),"Overdue",IF(H232="","Upcoming",IF(H232="Held as Scheduled","Held",IF(H232="Cancelled","Cancelled",IF(H232="Submitted for Resolution","Cleared","Postponed"))))))</f>
        <v/>
      </c>
      <c r="L232" s="32" t="n"/>
    </row>
    <row r="233" ht="26" customHeight="1">
      <c r="A233" s="30" t="n"/>
      <c r="B233" s="43">
        <f>IFERROR(IF($A233="","",INDEX(RegTitle,MATCH($A233,RegCaseNo,0))),"Case no. not found")</f>
        <v/>
      </c>
      <c r="C233" s="31" t="n"/>
      <c r="D233" s="30" t="n"/>
      <c r="E233" s="30" t="n"/>
      <c r="F233" s="43">
        <f>IFERROR(IF($A233="","",INDEX(RegCourt,MATCH($A233,RegCaseNo,0))),"")</f>
        <v/>
      </c>
      <c r="G233" s="43">
        <f>IFERROR(IF($A233="","",INDEX(RegPersonnel,MATCH($A233,RegCaseNo,0))),"")</f>
        <v/>
      </c>
      <c r="H233" s="30" t="n"/>
      <c r="I233" s="31" t="n"/>
      <c r="J233" s="44">
        <f>IF(C233="","",C233-TODAY())</f>
        <v/>
      </c>
      <c r="K233" s="45">
        <f>IF(A233="","",IF(AND(H233="",C233&lt;TODAY()),"Overdue",IF(H233="","Upcoming",IF(H233="Held as Scheduled","Held",IF(H233="Cancelled","Cancelled",IF(H233="Submitted for Resolution","Cleared","Postponed"))))))</f>
        <v/>
      </c>
      <c r="L233" s="32" t="n"/>
    </row>
    <row r="234" ht="26" customHeight="1">
      <c r="A234" s="30" t="n"/>
      <c r="B234" s="43">
        <f>IFERROR(IF($A234="","",INDEX(RegTitle,MATCH($A234,RegCaseNo,0))),"Case no. not found")</f>
        <v/>
      </c>
      <c r="C234" s="31" t="n"/>
      <c r="D234" s="30" t="n"/>
      <c r="E234" s="30" t="n"/>
      <c r="F234" s="43">
        <f>IFERROR(IF($A234="","",INDEX(RegCourt,MATCH($A234,RegCaseNo,0))),"")</f>
        <v/>
      </c>
      <c r="G234" s="43">
        <f>IFERROR(IF($A234="","",INDEX(RegPersonnel,MATCH($A234,RegCaseNo,0))),"")</f>
        <v/>
      </c>
      <c r="H234" s="30" t="n"/>
      <c r="I234" s="31" t="n"/>
      <c r="J234" s="44">
        <f>IF(C234="","",C234-TODAY())</f>
        <v/>
      </c>
      <c r="K234" s="45">
        <f>IF(A234="","",IF(AND(H234="",C234&lt;TODAY()),"Overdue",IF(H234="","Upcoming",IF(H234="Held as Scheduled","Held",IF(H234="Cancelled","Cancelled",IF(H234="Submitted for Resolution","Cleared","Postponed"))))))</f>
        <v/>
      </c>
      <c r="L234" s="32" t="n"/>
    </row>
    <row r="235" ht="26" customHeight="1">
      <c r="A235" s="30" t="n"/>
      <c r="B235" s="43">
        <f>IFERROR(IF($A235="","",INDEX(RegTitle,MATCH($A235,RegCaseNo,0))),"Case no. not found")</f>
        <v/>
      </c>
      <c r="C235" s="31" t="n"/>
      <c r="D235" s="30" t="n"/>
      <c r="E235" s="30" t="n"/>
      <c r="F235" s="43">
        <f>IFERROR(IF($A235="","",INDEX(RegCourt,MATCH($A235,RegCaseNo,0))),"")</f>
        <v/>
      </c>
      <c r="G235" s="43">
        <f>IFERROR(IF($A235="","",INDEX(RegPersonnel,MATCH($A235,RegCaseNo,0))),"")</f>
        <v/>
      </c>
      <c r="H235" s="30" t="n"/>
      <c r="I235" s="31" t="n"/>
      <c r="J235" s="44">
        <f>IF(C235="","",C235-TODAY())</f>
        <v/>
      </c>
      <c r="K235" s="45">
        <f>IF(A235="","",IF(AND(H235="",C235&lt;TODAY()),"Overdue",IF(H235="","Upcoming",IF(H235="Held as Scheduled","Held",IF(H235="Cancelled","Cancelled",IF(H235="Submitted for Resolution","Cleared","Postponed"))))))</f>
        <v/>
      </c>
      <c r="L235" s="32" t="n"/>
    </row>
    <row r="236" ht="26" customHeight="1">
      <c r="A236" s="30" t="n"/>
      <c r="B236" s="43">
        <f>IFERROR(IF($A236="","",INDEX(RegTitle,MATCH($A236,RegCaseNo,0))),"Case no. not found")</f>
        <v/>
      </c>
      <c r="C236" s="31" t="n"/>
      <c r="D236" s="30" t="n"/>
      <c r="E236" s="30" t="n"/>
      <c r="F236" s="43">
        <f>IFERROR(IF($A236="","",INDEX(RegCourt,MATCH($A236,RegCaseNo,0))),"")</f>
        <v/>
      </c>
      <c r="G236" s="43">
        <f>IFERROR(IF($A236="","",INDEX(RegPersonnel,MATCH($A236,RegCaseNo,0))),"")</f>
        <v/>
      </c>
      <c r="H236" s="30" t="n"/>
      <c r="I236" s="31" t="n"/>
      <c r="J236" s="44">
        <f>IF(C236="","",C236-TODAY())</f>
        <v/>
      </c>
      <c r="K236" s="45">
        <f>IF(A236="","",IF(AND(H236="",C236&lt;TODAY()),"Overdue",IF(H236="","Upcoming",IF(H236="Held as Scheduled","Held",IF(H236="Cancelled","Cancelled",IF(H236="Submitted for Resolution","Cleared","Postponed"))))))</f>
        <v/>
      </c>
      <c r="L236" s="32" t="n"/>
    </row>
    <row r="237" ht="26" customHeight="1">
      <c r="A237" s="30" t="n"/>
      <c r="B237" s="43">
        <f>IFERROR(IF($A237="","",INDEX(RegTitle,MATCH($A237,RegCaseNo,0))),"Case no. not found")</f>
        <v/>
      </c>
      <c r="C237" s="31" t="n"/>
      <c r="D237" s="30" t="n"/>
      <c r="E237" s="30" t="n"/>
      <c r="F237" s="43">
        <f>IFERROR(IF($A237="","",INDEX(RegCourt,MATCH($A237,RegCaseNo,0))),"")</f>
        <v/>
      </c>
      <c r="G237" s="43">
        <f>IFERROR(IF($A237="","",INDEX(RegPersonnel,MATCH($A237,RegCaseNo,0))),"")</f>
        <v/>
      </c>
      <c r="H237" s="30" t="n"/>
      <c r="I237" s="31" t="n"/>
      <c r="J237" s="44">
        <f>IF(C237="","",C237-TODAY())</f>
        <v/>
      </c>
      <c r="K237" s="45">
        <f>IF(A237="","",IF(AND(H237="",C237&lt;TODAY()),"Overdue",IF(H237="","Upcoming",IF(H237="Held as Scheduled","Held",IF(H237="Cancelled","Cancelled",IF(H237="Submitted for Resolution","Cleared","Postponed"))))))</f>
        <v/>
      </c>
      <c r="L237" s="32" t="n"/>
    </row>
    <row r="238" ht="26" customHeight="1">
      <c r="A238" s="30" t="n"/>
      <c r="B238" s="43">
        <f>IFERROR(IF($A238="","",INDEX(RegTitle,MATCH($A238,RegCaseNo,0))),"Case no. not found")</f>
        <v/>
      </c>
      <c r="C238" s="31" t="n"/>
      <c r="D238" s="30" t="n"/>
      <c r="E238" s="30" t="n"/>
      <c r="F238" s="43">
        <f>IFERROR(IF($A238="","",INDEX(RegCourt,MATCH($A238,RegCaseNo,0))),"")</f>
        <v/>
      </c>
      <c r="G238" s="43">
        <f>IFERROR(IF($A238="","",INDEX(RegPersonnel,MATCH($A238,RegCaseNo,0))),"")</f>
        <v/>
      </c>
      <c r="H238" s="30" t="n"/>
      <c r="I238" s="31" t="n"/>
      <c r="J238" s="44">
        <f>IF(C238="","",C238-TODAY())</f>
        <v/>
      </c>
      <c r="K238" s="45">
        <f>IF(A238="","",IF(AND(H238="",C238&lt;TODAY()),"Overdue",IF(H238="","Upcoming",IF(H238="Held as Scheduled","Held",IF(H238="Cancelled","Cancelled",IF(H238="Submitted for Resolution","Cleared","Postponed"))))))</f>
        <v/>
      </c>
      <c r="L238" s="32" t="n"/>
    </row>
    <row r="239" ht="26" customHeight="1">
      <c r="A239" s="30" t="n"/>
      <c r="B239" s="43">
        <f>IFERROR(IF($A239="","",INDEX(RegTitle,MATCH($A239,RegCaseNo,0))),"Case no. not found")</f>
        <v/>
      </c>
      <c r="C239" s="31" t="n"/>
      <c r="D239" s="30" t="n"/>
      <c r="E239" s="30" t="n"/>
      <c r="F239" s="43">
        <f>IFERROR(IF($A239="","",INDEX(RegCourt,MATCH($A239,RegCaseNo,0))),"")</f>
        <v/>
      </c>
      <c r="G239" s="43">
        <f>IFERROR(IF($A239="","",INDEX(RegPersonnel,MATCH($A239,RegCaseNo,0))),"")</f>
        <v/>
      </c>
      <c r="H239" s="30" t="n"/>
      <c r="I239" s="31" t="n"/>
      <c r="J239" s="44">
        <f>IF(C239="","",C239-TODAY())</f>
        <v/>
      </c>
      <c r="K239" s="45">
        <f>IF(A239="","",IF(AND(H239="",C239&lt;TODAY()),"Overdue",IF(H239="","Upcoming",IF(H239="Held as Scheduled","Held",IF(H239="Cancelled","Cancelled",IF(H239="Submitted for Resolution","Cleared","Postponed"))))))</f>
        <v/>
      </c>
      <c r="L239" s="32" t="n"/>
    </row>
    <row r="240" ht="26" customHeight="1">
      <c r="A240" s="30" t="n"/>
      <c r="B240" s="43">
        <f>IFERROR(IF($A240="","",INDEX(RegTitle,MATCH($A240,RegCaseNo,0))),"Case no. not found")</f>
        <v/>
      </c>
      <c r="C240" s="31" t="n"/>
      <c r="D240" s="30" t="n"/>
      <c r="E240" s="30" t="n"/>
      <c r="F240" s="43">
        <f>IFERROR(IF($A240="","",INDEX(RegCourt,MATCH($A240,RegCaseNo,0))),"")</f>
        <v/>
      </c>
      <c r="G240" s="43">
        <f>IFERROR(IF($A240="","",INDEX(RegPersonnel,MATCH($A240,RegCaseNo,0))),"")</f>
        <v/>
      </c>
      <c r="H240" s="30" t="n"/>
      <c r="I240" s="31" t="n"/>
      <c r="J240" s="44">
        <f>IF(C240="","",C240-TODAY())</f>
        <v/>
      </c>
      <c r="K240" s="45">
        <f>IF(A240="","",IF(AND(H240="",C240&lt;TODAY()),"Overdue",IF(H240="","Upcoming",IF(H240="Held as Scheduled","Held",IF(H240="Cancelled","Cancelled",IF(H240="Submitted for Resolution","Cleared","Postponed"))))))</f>
        <v/>
      </c>
      <c r="L240" s="32" t="n"/>
    </row>
    <row r="241" ht="26" customHeight="1">
      <c r="A241" s="30" t="n"/>
      <c r="B241" s="43">
        <f>IFERROR(IF($A241="","",INDEX(RegTitle,MATCH($A241,RegCaseNo,0))),"Case no. not found")</f>
        <v/>
      </c>
      <c r="C241" s="31" t="n"/>
      <c r="D241" s="30" t="n"/>
      <c r="E241" s="30" t="n"/>
      <c r="F241" s="43">
        <f>IFERROR(IF($A241="","",INDEX(RegCourt,MATCH($A241,RegCaseNo,0))),"")</f>
        <v/>
      </c>
      <c r="G241" s="43">
        <f>IFERROR(IF($A241="","",INDEX(RegPersonnel,MATCH($A241,RegCaseNo,0))),"")</f>
        <v/>
      </c>
      <c r="H241" s="30" t="n"/>
      <c r="I241" s="31" t="n"/>
      <c r="J241" s="44">
        <f>IF(C241="","",C241-TODAY())</f>
        <v/>
      </c>
      <c r="K241" s="45">
        <f>IF(A241="","",IF(AND(H241="",C241&lt;TODAY()),"Overdue",IF(H241="","Upcoming",IF(H241="Held as Scheduled","Held",IF(H241="Cancelled","Cancelled",IF(H241="Submitted for Resolution","Cleared","Postponed"))))))</f>
        <v/>
      </c>
      <c r="L241" s="32" t="n"/>
    </row>
    <row r="242" ht="26" customHeight="1">
      <c r="A242" s="30" t="n"/>
      <c r="B242" s="43">
        <f>IFERROR(IF($A242="","",INDEX(RegTitle,MATCH($A242,RegCaseNo,0))),"Case no. not found")</f>
        <v/>
      </c>
      <c r="C242" s="31" t="n"/>
      <c r="D242" s="30" t="n"/>
      <c r="E242" s="30" t="n"/>
      <c r="F242" s="43">
        <f>IFERROR(IF($A242="","",INDEX(RegCourt,MATCH($A242,RegCaseNo,0))),"")</f>
        <v/>
      </c>
      <c r="G242" s="43">
        <f>IFERROR(IF($A242="","",INDEX(RegPersonnel,MATCH($A242,RegCaseNo,0))),"")</f>
        <v/>
      </c>
      <c r="H242" s="30" t="n"/>
      <c r="I242" s="31" t="n"/>
      <c r="J242" s="44">
        <f>IF(C242="","",C242-TODAY())</f>
        <v/>
      </c>
      <c r="K242" s="45">
        <f>IF(A242="","",IF(AND(H242="",C242&lt;TODAY()),"Overdue",IF(H242="","Upcoming",IF(H242="Held as Scheduled","Held",IF(H242="Cancelled","Cancelled",IF(H242="Submitted for Resolution","Cleared","Postponed"))))))</f>
        <v/>
      </c>
      <c r="L242" s="32" t="n"/>
    </row>
    <row r="243" ht="26" customHeight="1">
      <c r="A243" s="30" t="n"/>
      <c r="B243" s="43">
        <f>IFERROR(IF($A243="","",INDEX(RegTitle,MATCH($A243,RegCaseNo,0))),"Case no. not found")</f>
        <v/>
      </c>
      <c r="C243" s="31" t="n"/>
      <c r="D243" s="30" t="n"/>
      <c r="E243" s="30" t="n"/>
      <c r="F243" s="43">
        <f>IFERROR(IF($A243="","",INDEX(RegCourt,MATCH($A243,RegCaseNo,0))),"")</f>
        <v/>
      </c>
      <c r="G243" s="43">
        <f>IFERROR(IF($A243="","",INDEX(RegPersonnel,MATCH($A243,RegCaseNo,0))),"")</f>
        <v/>
      </c>
      <c r="H243" s="30" t="n"/>
      <c r="I243" s="31" t="n"/>
      <c r="J243" s="44">
        <f>IF(C243="","",C243-TODAY())</f>
        <v/>
      </c>
      <c r="K243" s="45">
        <f>IF(A243="","",IF(AND(H243="",C243&lt;TODAY()),"Overdue",IF(H243="","Upcoming",IF(H243="Held as Scheduled","Held",IF(H243="Cancelled","Cancelled",IF(H243="Submitted for Resolution","Cleared","Postponed"))))))</f>
        <v/>
      </c>
      <c r="L243" s="32" t="n"/>
    </row>
    <row r="244" ht="26" customHeight="1">
      <c r="A244" s="30" t="n"/>
      <c r="B244" s="43">
        <f>IFERROR(IF($A244="","",INDEX(RegTitle,MATCH($A244,RegCaseNo,0))),"Case no. not found")</f>
        <v/>
      </c>
      <c r="C244" s="31" t="n"/>
      <c r="D244" s="30" t="n"/>
      <c r="E244" s="30" t="n"/>
      <c r="F244" s="43">
        <f>IFERROR(IF($A244="","",INDEX(RegCourt,MATCH($A244,RegCaseNo,0))),"")</f>
        <v/>
      </c>
      <c r="G244" s="43">
        <f>IFERROR(IF($A244="","",INDEX(RegPersonnel,MATCH($A244,RegCaseNo,0))),"")</f>
        <v/>
      </c>
      <c r="H244" s="30" t="n"/>
      <c r="I244" s="31" t="n"/>
      <c r="J244" s="44">
        <f>IF(C244="","",C244-TODAY())</f>
        <v/>
      </c>
      <c r="K244" s="45">
        <f>IF(A244="","",IF(AND(H244="",C244&lt;TODAY()),"Overdue",IF(H244="","Upcoming",IF(H244="Held as Scheduled","Held",IF(H244="Cancelled","Cancelled",IF(H244="Submitted for Resolution","Cleared","Postponed"))))))</f>
        <v/>
      </c>
      <c r="L244" s="32" t="n"/>
    </row>
    <row r="245" ht="26" customHeight="1">
      <c r="A245" s="30" t="n"/>
      <c r="B245" s="43">
        <f>IFERROR(IF($A245="","",INDEX(RegTitle,MATCH($A245,RegCaseNo,0))),"Case no. not found")</f>
        <v/>
      </c>
      <c r="C245" s="31" t="n"/>
      <c r="D245" s="30" t="n"/>
      <c r="E245" s="30" t="n"/>
      <c r="F245" s="43">
        <f>IFERROR(IF($A245="","",INDEX(RegCourt,MATCH($A245,RegCaseNo,0))),"")</f>
        <v/>
      </c>
      <c r="G245" s="43">
        <f>IFERROR(IF($A245="","",INDEX(RegPersonnel,MATCH($A245,RegCaseNo,0))),"")</f>
        <v/>
      </c>
      <c r="H245" s="30" t="n"/>
      <c r="I245" s="31" t="n"/>
      <c r="J245" s="44">
        <f>IF(C245="","",C245-TODAY())</f>
        <v/>
      </c>
      <c r="K245" s="45">
        <f>IF(A245="","",IF(AND(H245="",C245&lt;TODAY()),"Overdue",IF(H245="","Upcoming",IF(H245="Held as Scheduled","Held",IF(H245="Cancelled","Cancelled",IF(H245="Submitted for Resolution","Cleared","Postponed"))))))</f>
        <v/>
      </c>
      <c r="L245" s="32" t="n"/>
    </row>
    <row r="246" ht="26" customHeight="1">
      <c r="A246" s="30" t="n"/>
      <c r="B246" s="43">
        <f>IFERROR(IF($A246="","",INDEX(RegTitle,MATCH($A246,RegCaseNo,0))),"Case no. not found")</f>
        <v/>
      </c>
      <c r="C246" s="31" t="n"/>
      <c r="D246" s="30" t="n"/>
      <c r="E246" s="30" t="n"/>
      <c r="F246" s="43">
        <f>IFERROR(IF($A246="","",INDEX(RegCourt,MATCH($A246,RegCaseNo,0))),"")</f>
        <v/>
      </c>
      <c r="G246" s="43">
        <f>IFERROR(IF($A246="","",INDEX(RegPersonnel,MATCH($A246,RegCaseNo,0))),"")</f>
        <v/>
      </c>
      <c r="H246" s="30" t="n"/>
      <c r="I246" s="31" t="n"/>
      <c r="J246" s="44">
        <f>IF(C246="","",C246-TODAY())</f>
        <v/>
      </c>
      <c r="K246" s="45">
        <f>IF(A246="","",IF(AND(H246="",C246&lt;TODAY()),"Overdue",IF(H246="","Upcoming",IF(H246="Held as Scheduled","Held",IF(H246="Cancelled","Cancelled",IF(H246="Submitted for Resolution","Cleared","Postponed"))))))</f>
        <v/>
      </c>
      <c r="L246" s="32" t="n"/>
    </row>
    <row r="247" ht="26" customHeight="1">
      <c r="A247" s="30" t="n"/>
      <c r="B247" s="43">
        <f>IFERROR(IF($A247="","",INDEX(RegTitle,MATCH($A247,RegCaseNo,0))),"Case no. not found")</f>
        <v/>
      </c>
      <c r="C247" s="31" t="n"/>
      <c r="D247" s="30" t="n"/>
      <c r="E247" s="30" t="n"/>
      <c r="F247" s="43">
        <f>IFERROR(IF($A247="","",INDEX(RegCourt,MATCH($A247,RegCaseNo,0))),"")</f>
        <v/>
      </c>
      <c r="G247" s="43">
        <f>IFERROR(IF($A247="","",INDEX(RegPersonnel,MATCH($A247,RegCaseNo,0))),"")</f>
        <v/>
      </c>
      <c r="H247" s="30" t="n"/>
      <c r="I247" s="31" t="n"/>
      <c r="J247" s="44">
        <f>IF(C247="","",C247-TODAY())</f>
        <v/>
      </c>
      <c r="K247" s="45">
        <f>IF(A247="","",IF(AND(H247="",C247&lt;TODAY()),"Overdue",IF(H247="","Upcoming",IF(H247="Held as Scheduled","Held",IF(H247="Cancelled","Cancelled",IF(H247="Submitted for Resolution","Cleared","Postponed"))))))</f>
        <v/>
      </c>
      <c r="L247" s="32" t="n"/>
    </row>
    <row r="248" ht="26" customHeight="1">
      <c r="A248" s="30" t="n"/>
      <c r="B248" s="43">
        <f>IFERROR(IF($A248="","",INDEX(RegTitle,MATCH($A248,RegCaseNo,0))),"Case no. not found")</f>
        <v/>
      </c>
      <c r="C248" s="31" t="n"/>
      <c r="D248" s="30" t="n"/>
      <c r="E248" s="30" t="n"/>
      <c r="F248" s="43">
        <f>IFERROR(IF($A248="","",INDEX(RegCourt,MATCH($A248,RegCaseNo,0))),"")</f>
        <v/>
      </c>
      <c r="G248" s="43">
        <f>IFERROR(IF($A248="","",INDEX(RegPersonnel,MATCH($A248,RegCaseNo,0))),"")</f>
        <v/>
      </c>
      <c r="H248" s="30" t="n"/>
      <c r="I248" s="31" t="n"/>
      <c r="J248" s="44">
        <f>IF(C248="","",C248-TODAY())</f>
        <v/>
      </c>
      <c r="K248" s="45">
        <f>IF(A248="","",IF(AND(H248="",C248&lt;TODAY()),"Overdue",IF(H248="","Upcoming",IF(H248="Held as Scheduled","Held",IF(H248="Cancelled","Cancelled",IF(H248="Submitted for Resolution","Cleared","Postponed"))))))</f>
        <v/>
      </c>
      <c r="L248" s="32" t="n"/>
    </row>
    <row r="249" ht="26" customHeight="1">
      <c r="A249" s="30" t="n"/>
      <c r="B249" s="43">
        <f>IFERROR(IF($A249="","",INDEX(RegTitle,MATCH($A249,RegCaseNo,0))),"Case no. not found")</f>
        <v/>
      </c>
      <c r="C249" s="31" t="n"/>
      <c r="D249" s="30" t="n"/>
      <c r="E249" s="30" t="n"/>
      <c r="F249" s="43">
        <f>IFERROR(IF($A249="","",INDEX(RegCourt,MATCH($A249,RegCaseNo,0))),"")</f>
        <v/>
      </c>
      <c r="G249" s="43">
        <f>IFERROR(IF($A249="","",INDEX(RegPersonnel,MATCH($A249,RegCaseNo,0))),"")</f>
        <v/>
      </c>
      <c r="H249" s="30" t="n"/>
      <c r="I249" s="31" t="n"/>
      <c r="J249" s="44">
        <f>IF(C249="","",C249-TODAY())</f>
        <v/>
      </c>
      <c r="K249" s="45">
        <f>IF(A249="","",IF(AND(H249="",C249&lt;TODAY()),"Overdue",IF(H249="","Upcoming",IF(H249="Held as Scheduled","Held",IF(H249="Cancelled","Cancelled",IF(H249="Submitted for Resolution","Cleared","Postponed"))))))</f>
        <v/>
      </c>
      <c r="L249" s="32" t="n"/>
    </row>
    <row r="250" ht="26" customHeight="1">
      <c r="A250" s="30" t="n"/>
      <c r="B250" s="43">
        <f>IFERROR(IF($A250="","",INDEX(RegTitle,MATCH($A250,RegCaseNo,0))),"Case no. not found")</f>
        <v/>
      </c>
      <c r="C250" s="31" t="n"/>
      <c r="D250" s="30" t="n"/>
      <c r="E250" s="30" t="n"/>
      <c r="F250" s="43">
        <f>IFERROR(IF($A250="","",INDEX(RegCourt,MATCH($A250,RegCaseNo,0))),"")</f>
        <v/>
      </c>
      <c r="G250" s="43">
        <f>IFERROR(IF($A250="","",INDEX(RegPersonnel,MATCH($A250,RegCaseNo,0))),"")</f>
        <v/>
      </c>
      <c r="H250" s="30" t="n"/>
      <c r="I250" s="31" t="n"/>
      <c r="J250" s="44">
        <f>IF(C250="","",C250-TODAY())</f>
        <v/>
      </c>
      <c r="K250" s="45">
        <f>IF(A250="","",IF(AND(H250="",C250&lt;TODAY()),"Overdue",IF(H250="","Upcoming",IF(H250="Held as Scheduled","Held",IF(H250="Cancelled","Cancelled",IF(H250="Submitted for Resolution","Cleared","Postponed"))))))</f>
        <v/>
      </c>
      <c r="L250" s="32" t="n"/>
    </row>
    <row r="251" ht="26" customHeight="1">
      <c r="A251" s="30" t="n"/>
      <c r="B251" s="43">
        <f>IFERROR(IF($A251="","",INDEX(RegTitle,MATCH($A251,RegCaseNo,0))),"Case no. not found")</f>
        <v/>
      </c>
      <c r="C251" s="31" t="n"/>
      <c r="D251" s="30" t="n"/>
      <c r="E251" s="30" t="n"/>
      <c r="F251" s="43">
        <f>IFERROR(IF($A251="","",INDEX(RegCourt,MATCH($A251,RegCaseNo,0))),"")</f>
        <v/>
      </c>
      <c r="G251" s="43">
        <f>IFERROR(IF($A251="","",INDEX(RegPersonnel,MATCH($A251,RegCaseNo,0))),"")</f>
        <v/>
      </c>
      <c r="H251" s="30" t="n"/>
      <c r="I251" s="31" t="n"/>
      <c r="J251" s="44">
        <f>IF(C251="","",C251-TODAY())</f>
        <v/>
      </c>
      <c r="K251" s="45">
        <f>IF(A251="","",IF(AND(H251="",C251&lt;TODAY()),"Overdue",IF(H251="","Upcoming",IF(H251="Held as Scheduled","Held",IF(H251="Cancelled","Cancelled",IF(H251="Submitted for Resolution","Cleared","Postponed"))))))</f>
        <v/>
      </c>
      <c r="L251" s="32" t="n"/>
    </row>
    <row r="252" ht="26" customHeight="1">
      <c r="A252" s="30" t="n"/>
      <c r="B252" s="43">
        <f>IFERROR(IF($A252="","",INDEX(RegTitle,MATCH($A252,RegCaseNo,0))),"Case no. not found")</f>
        <v/>
      </c>
      <c r="C252" s="31" t="n"/>
      <c r="D252" s="30" t="n"/>
      <c r="E252" s="30" t="n"/>
      <c r="F252" s="43">
        <f>IFERROR(IF($A252="","",INDEX(RegCourt,MATCH($A252,RegCaseNo,0))),"")</f>
        <v/>
      </c>
      <c r="G252" s="43">
        <f>IFERROR(IF($A252="","",INDEX(RegPersonnel,MATCH($A252,RegCaseNo,0))),"")</f>
        <v/>
      </c>
      <c r="H252" s="30" t="n"/>
      <c r="I252" s="31" t="n"/>
      <c r="J252" s="44">
        <f>IF(C252="","",C252-TODAY())</f>
        <v/>
      </c>
      <c r="K252" s="45">
        <f>IF(A252="","",IF(AND(H252="",C252&lt;TODAY()),"Overdue",IF(H252="","Upcoming",IF(H252="Held as Scheduled","Held",IF(H252="Cancelled","Cancelled",IF(H252="Submitted for Resolution","Cleared","Postponed"))))))</f>
        <v/>
      </c>
      <c r="L252" s="32" t="n"/>
    </row>
    <row r="253" ht="26" customHeight="1">
      <c r="A253" s="30" t="n"/>
      <c r="B253" s="43">
        <f>IFERROR(IF($A253="","",INDEX(RegTitle,MATCH($A253,RegCaseNo,0))),"Case no. not found")</f>
        <v/>
      </c>
      <c r="C253" s="31" t="n"/>
      <c r="D253" s="30" t="n"/>
      <c r="E253" s="30" t="n"/>
      <c r="F253" s="43">
        <f>IFERROR(IF($A253="","",INDEX(RegCourt,MATCH($A253,RegCaseNo,0))),"")</f>
        <v/>
      </c>
      <c r="G253" s="43">
        <f>IFERROR(IF($A253="","",INDEX(RegPersonnel,MATCH($A253,RegCaseNo,0))),"")</f>
        <v/>
      </c>
      <c r="H253" s="30" t="n"/>
      <c r="I253" s="31" t="n"/>
      <c r="J253" s="44">
        <f>IF(C253="","",C253-TODAY())</f>
        <v/>
      </c>
      <c r="K253" s="45">
        <f>IF(A253="","",IF(AND(H253="",C253&lt;TODAY()),"Overdue",IF(H253="","Upcoming",IF(H253="Held as Scheduled","Held",IF(H253="Cancelled","Cancelled",IF(H253="Submitted for Resolution","Cleared","Postponed"))))))</f>
        <v/>
      </c>
      <c r="L253" s="32" t="n"/>
    </row>
    <row r="254" ht="26" customHeight="1">
      <c r="A254" s="30" t="n"/>
      <c r="B254" s="43">
        <f>IFERROR(IF($A254="","",INDEX(RegTitle,MATCH($A254,RegCaseNo,0))),"Case no. not found")</f>
        <v/>
      </c>
      <c r="C254" s="31" t="n"/>
      <c r="D254" s="30" t="n"/>
      <c r="E254" s="30" t="n"/>
      <c r="F254" s="43">
        <f>IFERROR(IF($A254="","",INDEX(RegCourt,MATCH($A254,RegCaseNo,0))),"")</f>
        <v/>
      </c>
      <c r="G254" s="43">
        <f>IFERROR(IF($A254="","",INDEX(RegPersonnel,MATCH($A254,RegCaseNo,0))),"")</f>
        <v/>
      </c>
      <c r="H254" s="30" t="n"/>
      <c r="I254" s="31" t="n"/>
      <c r="J254" s="44">
        <f>IF(C254="","",C254-TODAY())</f>
        <v/>
      </c>
      <c r="K254" s="45">
        <f>IF(A254="","",IF(AND(H254="",C254&lt;TODAY()),"Overdue",IF(H254="","Upcoming",IF(H254="Held as Scheduled","Held",IF(H254="Cancelled","Cancelled",IF(H254="Submitted for Resolution","Cleared","Postponed"))))))</f>
        <v/>
      </c>
      <c r="L254" s="32" t="n"/>
    </row>
    <row r="255" ht="26" customHeight="1">
      <c r="A255" s="30" t="n"/>
      <c r="B255" s="43">
        <f>IFERROR(IF($A255="","",INDEX(RegTitle,MATCH($A255,RegCaseNo,0))),"Case no. not found")</f>
        <v/>
      </c>
      <c r="C255" s="31" t="n"/>
      <c r="D255" s="30" t="n"/>
      <c r="E255" s="30" t="n"/>
      <c r="F255" s="43">
        <f>IFERROR(IF($A255="","",INDEX(RegCourt,MATCH($A255,RegCaseNo,0))),"")</f>
        <v/>
      </c>
      <c r="G255" s="43">
        <f>IFERROR(IF($A255="","",INDEX(RegPersonnel,MATCH($A255,RegCaseNo,0))),"")</f>
        <v/>
      </c>
      <c r="H255" s="30" t="n"/>
      <c r="I255" s="31" t="n"/>
      <c r="J255" s="44">
        <f>IF(C255="","",C255-TODAY())</f>
        <v/>
      </c>
      <c r="K255" s="45">
        <f>IF(A255="","",IF(AND(H255="",C255&lt;TODAY()),"Overdue",IF(H255="","Upcoming",IF(H255="Held as Scheduled","Held",IF(H255="Cancelled","Cancelled",IF(H255="Submitted for Resolution","Cleared","Postponed"))))))</f>
        <v/>
      </c>
      <c r="L255" s="32" t="n"/>
    </row>
    <row r="256" ht="26" customHeight="1">
      <c r="A256" s="30" t="n"/>
      <c r="B256" s="43">
        <f>IFERROR(IF($A256="","",INDEX(RegTitle,MATCH($A256,RegCaseNo,0))),"Case no. not found")</f>
        <v/>
      </c>
      <c r="C256" s="31" t="n"/>
      <c r="D256" s="30" t="n"/>
      <c r="E256" s="30" t="n"/>
      <c r="F256" s="43">
        <f>IFERROR(IF($A256="","",INDEX(RegCourt,MATCH($A256,RegCaseNo,0))),"")</f>
        <v/>
      </c>
      <c r="G256" s="43">
        <f>IFERROR(IF($A256="","",INDEX(RegPersonnel,MATCH($A256,RegCaseNo,0))),"")</f>
        <v/>
      </c>
      <c r="H256" s="30" t="n"/>
      <c r="I256" s="31" t="n"/>
      <c r="J256" s="44">
        <f>IF(C256="","",C256-TODAY())</f>
        <v/>
      </c>
      <c r="K256" s="45">
        <f>IF(A256="","",IF(AND(H256="",C256&lt;TODAY()),"Overdue",IF(H256="","Upcoming",IF(H256="Held as Scheduled","Held",IF(H256="Cancelled","Cancelled",IF(H256="Submitted for Resolution","Cleared","Postponed"))))))</f>
        <v/>
      </c>
      <c r="L256" s="32" t="n"/>
    </row>
    <row r="257" ht="26" customHeight="1">
      <c r="A257" s="30" t="n"/>
      <c r="B257" s="43">
        <f>IFERROR(IF($A257="","",INDEX(RegTitle,MATCH($A257,RegCaseNo,0))),"Case no. not found")</f>
        <v/>
      </c>
      <c r="C257" s="31" t="n"/>
      <c r="D257" s="30" t="n"/>
      <c r="E257" s="30" t="n"/>
      <c r="F257" s="43">
        <f>IFERROR(IF($A257="","",INDEX(RegCourt,MATCH($A257,RegCaseNo,0))),"")</f>
        <v/>
      </c>
      <c r="G257" s="43">
        <f>IFERROR(IF($A257="","",INDEX(RegPersonnel,MATCH($A257,RegCaseNo,0))),"")</f>
        <v/>
      </c>
      <c r="H257" s="30" t="n"/>
      <c r="I257" s="31" t="n"/>
      <c r="J257" s="44">
        <f>IF(C257="","",C257-TODAY())</f>
        <v/>
      </c>
      <c r="K257" s="45">
        <f>IF(A257="","",IF(AND(H257="",C257&lt;TODAY()),"Overdue",IF(H257="","Upcoming",IF(H257="Held as Scheduled","Held",IF(H257="Cancelled","Cancelled",IF(H257="Submitted for Resolution","Cleared","Postponed"))))))</f>
        <v/>
      </c>
      <c r="L257" s="32" t="n"/>
    </row>
    <row r="258" ht="26" customHeight="1">
      <c r="A258" s="30" t="n"/>
      <c r="B258" s="43">
        <f>IFERROR(IF($A258="","",INDEX(RegTitle,MATCH($A258,RegCaseNo,0))),"Case no. not found")</f>
        <v/>
      </c>
      <c r="C258" s="31" t="n"/>
      <c r="D258" s="30" t="n"/>
      <c r="E258" s="30" t="n"/>
      <c r="F258" s="43">
        <f>IFERROR(IF($A258="","",INDEX(RegCourt,MATCH($A258,RegCaseNo,0))),"")</f>
        <v/>
      </c>
      <c r="G258" s="43">
        <f>IFERROR(IF($A258="","",INDEX(RegPersonnel,MATCH($A258,RegCaseNo,0))),"")</f>
        <v/>
      </c>
      <c r="H258" s="30" t="n"/>
      <c r="I258" s="31" t="n"/>
      <c r="J258" s="44">
        <f>IF(C258="","",C258-TODAY())</f>
        <v/>
      </c>
      <c r="K258" s="45">
        <f>IF(A258="","",IF(AND(H258="",C258&lt;TODAY()),"Overdue",IF(H258="","Upcoming",IF(H258="Held as Scheduled","Held",IF(H258="Cancelled","Cancelled",IF(H258="Submitted for Resolution","Cleared","Postponed"))))))</f>
        <v/>
      </c>
      <c r="L258" s="32" t="n"/>
    </row>
    <row r="259" ht="26" customHeight="1">
      <c r="A259" s="30" t="n"/>
      <c r="B259" s="43">
        <f>IFERROR(IF($A259="","",INDEX(RegTitle,MATCH($A259,RegCaseNo,0))),"Case no. not found")</f>
        <v/>
      </c>
      <c r="C259" s="31" t="n"/>
      <c r="D259" s="30" t="n"/>
      <c r="E259" s="30" t="n"/>
      <c r="F259" s="43">
        <f>IFERROR(IF($A259="","",INDEX(RegCourt,MATCH($A259,RegCaseNo,0))),"")</f>
        <v/>
      </c>
      <c r="G259" s="43">
        <f>IFERROR(IF($A259="","",INDEX(RegPersonnel,MATCH($A259,RegCaseNo,0))),"")</f>
        <v/>
      </c>
      <c r="H259" s="30" t="n"/>
      <c r="I259" s="31" t="n"/>
      <c r="J259" s="44">
        <f>IF(C259="","",C259-TODAY())</f>
        <v/>
      </c>
      <c r="K259" s="45">
        <f>IF(A259="","",IF(AND(H259="",C259&lt;TODAY()),"Overdue",IF(H259="","Upcoming",IF(H259="Held as Scheduled","Held",IF(H259="Cancelled","Cancelled",IF(H259="Submitted for Resolution","Cleared","Postponed"))))))</f>
        <v/>
      </c>
      <c r="L259" s="32" t="n"/>
    </row>
    <row r="260" ht="26" customHeight="1">
      <c r="A260" s="30" t="n"/>
      <c r="B260" s="43">
        <f>IFERROR(IF($A260="","",INDEX(RegTitle,MATCH($A260,RegCaseNo,0))),"Case no. not found")</f>
        <v/>
      </c>
      <c r="C260" s="31" t="n"/>
      <c r="D260" s="30" t="n"/>
      <c r="E260" s="30" t="n"/>
      <c r="F260" s="43">
        <f>IFERROR(IF($A260="","",INDEX(RegCourt,MATCH($A260,RegCaseNo,0))),"")</f>
        <v/>
      </c>
      <c r="G260" s="43">
        <f>IFERROR(IF($A260="","",INDEX(RegPersonnel,MATCH($A260,RegCaseNo,0))),"")</f>
        <v/>
      </c>
      <c r="H260" s="30" t="n"/>
      <c r="I260" s="31" t="n"/>
      <c r="J260" s="44">
        <f>IF(C260="","",C260-TODAY())</f>
        <v/>
      </c>
      <c r="K260" s="45">
        <f>IF(A260="","",IF(AND(H260="",C260&lt;TODAY()),"Overdue",IF(H260="","Upcoming",IF(H260="Held as Scheduled","Held",IF(H260="Cancelled","Cancelled",IF(H260="Submitted for Resolution","Cleared","Postponed"))))))</f>
        <v/>
      </c>
      <c r="L260" s="32" t="n"/>
    </row>
    <row r="261" ht="26" customHeight="1">
      <c r="A261" s="30" t="n"/>
      <c r="B261" s="43">
        <f>IFERROR(IF($A261="","",INDEX(RegTitle,MATCH($A261,RegCaseNo,0))),"Case no. not found")</f>
        <v/>
      </c>
      <c r="C261" s="31" t="n"/>
      <c r="D261" s="30" t="n"/>
      <c r="E261" s="30" t="n"/>
      <c r="F261" s="43">
        <f>IFERROR(IF($A261="","",INDEX(RegCourt,MATCH($A261,RegCaseNo,0))),"")</f>
        <v/>
      </c>
      <c r="G261" s="43">
        <f>IFERROR(IF($A261="","",INDEX(RegPersonnel,MATCH($A261,RegCaseNo,0))),"")</f>
        <v/>
      </c>
      <c r="H261" s="30" t="n"/>
      <c r="I261" s="31" t="n"/>
      <c r="J261" s="44">
        <f>IF(C261="","",C261-TODAY())</f>
        <v/>
      </c>
      <c r="K261" s="45">
        <f>IF(A261="","",IF(AND(H261="",C261&lt;TODAY()),"Overdue",IF(H261="","Upcoming",IF(H261="Held as Scheduled","Held",IF(H261="Cancelled","Cancelled",IF(H261="Submitted for Resolution","Cleared","Postponed"))))))</f>
        <v/>
      </c>
      <c r="L261" s="32" t="n"/>
    </row>
    <row r="262" ht="26" customHeight="1">
      <c r="A262" s="30" t="n"/>
      <c r="B262" s="43">
        <f>IFERROR(IF($A262="","",INDEX(RegTitle,MATCH($A262,RegCaseNo,0))),"Case no. not found")</f>
        <v/>
      </c>
      <c r="C262" s="31" t="n"/>
      <c r="D262" s="30" t="n"/>
      <c r="E262" s="30" t="n"/>
      <c r="F262" s="43">
        <f>IFERROR(IF($A262="","",INDEX(RegCourt,MATCH($A262,RegCaseNo,0))),"")</f>
        <v/>
      </c>
      <c r="G262" s="43">
        <f>IFERROR(IF($A262="","",INDEX(RegPersonnel,MATCH($A262,RegCaseNo,0))),"")</f>
        <v/>
      </c>
      <c r="H262" s="30" t="n"/>
      <c r="I262" s="31" t="n"/>
      <c r="J262" s="44">
        <f>IF(C262="","",C262-TODAY())</f>
        <v/>
      </c>
      <c r="K262" s="45">
        <f>IF(A262="","",IF(AND(H262="",C262&lt;TODAY()),"Overdue",IF(H262="","Upcoming",IF(H262="Held as Scheduled","Held",IF(H262="Cancelled","Cancelled",IF(H262="Submitted for Resolution","Cleared","Postponed"))))))</f>
        <v/>
      </c>
      <c r="L262" s="32" t="n"/>
    </row>
    <row r="263" ht="26" customHeight="1">
      <c r="A263" s="30" t="n"/>
      <c r="B263" s="43">
        <f>IFERROR(IF($A263="","",INDEX(RegTitle,MATCH($A263,RegCaseNo,0))),"Case no. not found")</f>
        <v/>
      </c>
      <c r="C263" s="31" t="n"/>
      <c r="D263" s="30" t="n"/>
      <c r="E263" s="30" t="n"/>
      <c r="F263" s="43">
        <f>IFERROR(IF($A263="","",INDEX(RegCourt,MATCH($A263,RegCaseNo,0))),"")</f>
        <v/>
      </c>
      <c r="G263" s="43">
        <f>IFERROR(IF($A263="","",INDEX(RegPersonnel,MATCH($A263,RegCaseNo,0))),"")</f>
        <v/>
      </c>
      <c r="H263" s="30" t="n"/>
      <c r="I263" s="31" t="n"/>
      <c r="J263" s="44">
        <f>IF(C263="","",C263-TODAY())</f>
        <v/>
      </c>
      <c r="K263" s="45">
        <f>IF(A263="","",IF(AND(H263="",C263&lt;TODAY()),"Overdue",IF(H263="","Upcoming",IF(H263="Held as Scheduled","Held",IF(H263="Cancelled","Cancelled",IF(H263="Submitted for Resolution","Cleared","Postponed"))))))</f>
        <v/>
      </c>
      <c r="L263" s="32" t="n"/>
    </row>
    <row r="264" ht="26" customHeight="1">
      <c r="A264" s="30" t="n"/>
      <c r="B264" s="43">
        <f>IFERROR(IF($A264="","",INDEX(RegTitle,MATCH($A264,RegCaseNo,0))),"Case no. not found")</f>
        <v/>
      </c>
      <c r="C264" s="31" t="n"/>
      <c r="D264" s="30" t="n"/>
      <c r="E264" s="30" t="n"/>
      <c r="F264" s="43">
        <f>IFERROR(IF($A264="","",INDEX(RegCourt,MATCH($A264,RegCaseNo,0))),"")</f>
        <v/>
      </c>
      <c r="G264" s="43">
        <f>IFERROR(IF($A264="","",INDEX(RegPersonnel,MATCH($A264,RegCaseNo,0))),"")</f>
        <v/>
      </c>
      <c r="H264" s="30" t="n"/>
      <c r="I264" s="31" t="n"/>
      <c r="J264" s="44">
        <f>IF(C264="","",C264-TODAY())</f>
        <v/>
      </c>
      <c r="K264" s="45">
        <f>IF(A264="","",IF(AND(H264="",C264&lt;TODAY()),"Overdue",IF(H264="","Upcoming",IF(H264="Held as Scheduled","Held",IF(H264="Cancelled","Cancelled",IF(H264="Submitted for Resolution","Cleared","Postponed"))))))</f>
        <v/>
      </c>
      <c r="L264" s="32" t="n"/>
    </row>
    <row r="265" ht="26" customHeight="1">
      <c r="A265" s="30" t="n"/>
      <c r="B265" s="43">
        <f>IFERROR(IF($A265="","",INDEX(RegTitle,MATCH($A265,RegCaseNo,0))),"Case no. not found")</f>
        <v/>
      </c>
      <c r="C265" s="31" t="n"/>
      <c r="D265" s="30" t="n"/>
      <c r="E265" s="30" t="n"/>
      <c r="F265" s="43">
        <f>IFERROR(IF($A265="","",INDEX(RegCourt,MATCH($A265,RegCaseNo,0))),"")</f>
        <v/>
      </c>
      <c r="G265" s="43">
        <f>IFERROR(IF($A265="","",INDEX(RegPersonnel,MATCH($A265,RegCaseNo,0))),"")</f>
        <v/>
      </c>
      <c r="H265" s="30" t="n"/>
      <c r="I265" s="31" t="n"/>
      <c r="J265" s="44">
        <f>IF(C265="","",C265-TODAY())</f>
        <v/>
      </c>
      <c r="K265" s="45">
        <f>IF(A265="","",IF(AND(H265="",C265&lt;TODAY()),"Overdue",IF(H265="","Upcoming",IF(H265="Held as Scheduled","Held",IF(H265="Cancelled","Cancelled",IF(H265="Submitted for Resolution","Cleared","Postponed"))))))</f>
        <v/>
      </c>
      <c r="L265" s="32" t="n"/>
    </row>
    <row r="266" ht="26" customHeight="1">
      <c r="A266" s="30" t="n"/>
      <c r="B266" s="43">
        <f>IFERROR(IF($A266="","",INDEX(RegTitle,MATCH($A266,RegCaseNo,0))),"Case no. not found")</f>
        <v/>
      </c>
      <c r="C266" s="31" t="n"/>
      <c r="D266" s="30" t="n"/>
      <c r="E266" s="30" t="n"/>
      <c r="F266" s="43">
        <f>IFERROR(IF($A266="","",INDEX(RegCourt,MATCH($A266,RegCaseNo,0))),"")</f>
        <v/>
      </c>
      <c r="G266" s="43">
        <f>IFERROR(IF($A266="","",INDEX(RegPersonnel,MATCH($A266,RegCaseNo,0))),"")</f>
        <v/>
      </c>
      <c r="H266" s="30" t="n"/>
      <c r="I266" s="31" t="n"/>
      <c r="J266" s="44">
        <f>IF(C266="","",C266-TODAY())</f>
        <v/>
      </c>
      <c r="K266" s="45">
        <f>IF(A266="","",IF(AND(H266="",C266&lt;TODAY()),"Overdue",IF(H266="","Upcoming",IF(H266="Held as Scheduled","Held",IF(H266="Cancelled","Cancelled",IF(H266="Submitted for Resolution","Cleared","Postponed"))))))</f>
        <v/>
      </c>
      <c r="L266" s="32" t="n"/>
    </row>
    <row r="267" ht="26" customHeight="1">
      <c r="A267" s="30" t="n"/>
      <c r="B267" s="43">
        <f>IFERROR(IF($A267="","",INDEX(RegTitle,MATCH($A267,RegCaseNo,0))),"Case no. not found")</f>
        <v/>
      </c>
      <c r="C267" s="31" t="n"/>
      <c r="D267" s="30" t="n"/>
      <c r="E267" s="30" t="n"/>
      <c r="F267" s="43">
        <f>IFERROR(IF($A267="","",INDEX(RegCourt,MATCH($A267,RegCaseNo,0))),"")</f>
        <v/>
      </c>
      <c r="G267" s="43">
        <f>IFERROR(IF($A267="","",INDEX(RegPersonnel,MATCH($A267,RegCaseNo,0))),"")</f>
        <v/>
      </c>
      <c r="H267" s="30" t="n"/>
      <c r="I267" s="31" t="n"/>
      <c r="J267" s="44">
        <f>IF(C267="","",C267-TODAY())</f>
        <v/>
      </c>
      <c r="K267" s="45">
        <f>IF(A267="","",IF(AND(H267="",C267&lt;TODAY()),"Overdue",IF(H267="","Upcoming",IF(H267="Held as Scheduled","Held",IF(H267="Cancelled","Cancelled",IF(H267="Submitted for Resolution","Cleared","Postponed"))))))</f>
        <v/>
      </c>
      <c r="L267" s="32" t="n"/>
    </row>
    <row r="268" ht="26" customHeight="1">
      <c r="A268" s="30" t="n"/>
      <c r="B268" s="43">
        <f>IFERROR(IF($A268="","",INDEX(RegTitle,MATCH($A268,RegCaseNo,0))),"Case no. not found")</f>
        <v/>
      </c>
      <c r="C268" s="31" t="n"/>
      <c r="D268" s="30" t="n"/>
      <c r="E268" s="30" t="n"/>
      <c r="F268" s="43">
        <f>IFERROR(IF($A268="","",INDEX(RegCourt,MATCH($A268,RegCaseNo,0))),"")</f>
        <v/>
      </c>
      <c r="G268" s="43">
        <f>IFERROR(IF($A268="","",INDEX(RegPersonnel,MATCH($A268,RegCaseNo,0))),"")</f>
        <v/>
      </c>
      <c r="H268" s="30" t="n"/>
      <c r="I268" s="31" t="n"/>
      <c r="J268" s="44">
        <f>IF(C268="","",C268-TODAY())</f>
        <v/>
      </c>
      <c r="K268" s="45">
        <f>IF(A268="","",IF(AND(H268="",C268&lt;TODAY()),"Overdue",IF(H268="","Upcoming",IF(H268="Held as Scheduled","Held",IF(H268="Cancelled","Cancelled",IF(H268="Submitted for Resolution","Cleared","Postponed"))))))</f>
        <v/>
      </c>
      <c r="L268" s="32" t="n"/>
    </row>
    <row r="269" ht="26" customHeight="1">
      <c r="A269" s="30" t="n"/>
      <c r="B269" s="43">
        <f>IFERROR(IF($A269="","",INDEX(RegTitle,MATCH($A269,RegCaseNo,0))),"Case no. not found")</f>
        <v/>
      </c>
      <c r="C269" s="31" t="n"/>
      <c r="D269" s="30" t="n"/>
      <c r="E269" s="30" t="n"/>
      <c r="F269" s="43">
        <f>IFERROR(IF($A269="","",INDEX(RegCourt,MATCH($A269,RegCaseNo,0))),"")</f>
        <v/>
      </c>
      <c r="G269" s="43">
        <f>IFERROR(IF($A269="","",INDEX(RegPersonnel,MATCH($A269,RegCaseNo,0))),"")</f>
        <v/>
      </c>
      <c r="H269" s="30" t="n"/>
      <c r="I269" s="31" t="n"/>
      <c r="J269" s="44">
        <f>IF(C269="","",C269-TODAY())</f>
        <v/>
      </c>
      <c r="K269" s="45">
        <f>IF(A269="","",IF(AND(H269="",C269&lt;TODAY()),"Overdue",IF(H269="","Upcoming",IF(H269="Held as Scheduled","Held",IF(H269="Cancelled","Cancelled",IF(H269="Submitted for Resolution","Cleared","Postponed"))))))</f>
        <v/>
      </c>
      <c r="L269" s="32" t="n"/>
    </row>
    <row r="270" ht="26" customHeight="1">
      <c r="A270" s="30" t="n"/>
      <c r="B270" s="43">
        <f>IFERROR(IF($A270="","",INDEX(RegTitle,MATCH($A270,RegCaseNo,0))),"Case no. not found")</f>
        <v/>
      </c>
      <c r="C270" s="31" t="n"/>
      <c r="D270" s="30" t="n"/>
      <c r="E270" s="30" t="n"/>
      <c r="F270" s="43">
        <f>IFERROR(IF($A270="","",INDEX(RegCourt,MATCH($A270,RegCaseNo,0))),"")</f>
        <v/>
      </c>
      <c r="G270" s="43">
        <f>IFERROR(IF($A270="","",INDEX(RegPersonnel,MATCH($A270,RegCaseNo,0))),"")</f>
        <v/>
      </c>
      <c r="H270" s="30" t="n"/>
      <c r="I270" s="31" t="n"/>
      <c r="J270" s="44">
        <f>IF(C270="","",C270-TODAY())</f>
        <v/>
      </c>
      <c r="K270" s="45">
        <f>IF(A270="","",IF(AND(H270="",C270&lt;TODAY()),"Overdue",IF(H270="","Upcoming",IF(H270="Held as Scheduled","Held",IF(H270="Cancelled","Cancelled",IF(H270="Submitted for Resolution","Cleared","Postponed"))))))</f>
        <v/>
      </c>
      <c r="L270" s="32" t="n"/>
    </row>
    <row r="271" ht="26" customHeight="1">
      <c r="A271" s="30" t="n"/>
      <c r="B271" s="43">
        <f>IFERROR(IF($A271="","",INDEX(RegTitle,MATCH($A271,RegCaseNo,0))),"Case no. not found")</f>
        <v/>
      </c>
      <c r="C271" s="31" t="n"/>
      <c r="D271" s="30" t="n"/>
      <c r="E271" s="30" t="n"/>
      <c r="F271" s="43">
        <f>IFERROR(IF($A271="","",INDEX(RegCourt,MATCH($A271,RegCaseNo,0))),"")</f>
        <v/>
      </c>
      <c r="G271" s="43">
        <f>IFERROR(IF($A271="","",INDEX(RegPersonnel,MATCH($A271,RegCaseNo,0))),"")</f>
        <v/>
      </c>
      <c r="H271" s="30" t="n"/>
      <c r="I271" s="31" t="n"/>
      <c r="J271" s="44">
        <f>IF(C271="","",C271-TODAY())</f>
        <v/>
      </c>
      <c r="K271" s="45">
        <f>IF(A271="","",IF(AND(H271="",C271&lt;TODAY()),"Overdue",IF(H271="","Upcoming",IF(H271="Held as Scheduled","Held",IF(H271="Cancelled","Cancelled",IF(H271="Submitted for Resolution","Cleared","Postponed"))))))</f>
        <v/>
      </c>
      <c r="L271" s="32" t="n"/>
    </row>
    <row r="272" ht="26" customHeight="1">
      <c r="A272" s="30" t="n"/>
      <c r="B272" s="43">
        <f>IFERROR(IF($A272="","",INDEX(RegTitle,MATCH($A272,RegCaseNo,0))),"Case no. not found")</f>
        <v/>
      </c>
      <c r="C272" s="31" t="n"/>
      <c r="D272" s="30" t="n"/>
      <c r="E272" s="30" t="n"/>
      <c r="F272" s="43">
        <f>IFERROR(IF($A272="","",INDEX(RegCourt,MATCH($A272,RegCaseNo,0))),"")</f>
        <v/>
      </c>
      <c r="G272" s="43">
        <f>IFERROR(IF($A272="","",INDEX(RegPersonnel,MATCH($A272,RegCaseNo,0))),"")</f>
        <v/>
      </c>
      <c r="H272" s="30" t="n"/>
      <c r="I272" s="31" t="n"/>
      <c r="J272" s="44">
        <f>IF(C272="","",C272-TODAY())</f>
        <v/>
      </c>
      <c r="K272" s="45">
        <f>IF(A272="","",IF(AND(H272="",C272&lt;TODAY()),"Overdue",IF(H272="","Upcoming",IF(H272="Held as Scheduled","Held",IF(H272="Cancelled","Cancelled",IF(H272="Submitted for Resolution","Cleared","Postponed"))))))</f>
        <v/>
      </c>
      <c r="L272" s="32" t="n"/>
    </row>
    <row r="273" ht="26" customHeight="1">
      <c r="A273" s="30" t="n"/>
      <c r="B273" s="43">
        <f>IFERROR(IF($A273="","",INDEX(RegTitle,MATCH($A273,RegCaseNo,0))),"Case no. not found")</f>
        <v/>
      </c>
      <c r="C273" s="31" t="n"/>
      <c r="D273" s="30" t="n"/>
      <c r="E273" s="30" t="n"/>
      <c r="F273" s="43">
        <f>IFERROR(IF($A273="","",INDEX(RegCourt,MATCH($A273,RegCaseNo,0))),"")</f>
        <v/>
      </c>
      <c r="G273" s="43">
        <f>IFERROR(IF($A273="","",INDEX(RegPersonnel,MATCH($A273,RegCaseNo,0))),"")</f>
        <v/>
      </c>
      <c r="H273" s="30" t="n"/>
      <c r="I273" s="31" t="n"/>
      <c r="J273" s="44">
        <f>IF(C273="","",C273-TODAY())</f>
        <v/>
      </c>
      <c r="K273" s="45">
        <f>IF(A273="","",IF(AND(H273="",C273&lt;TODAY()),"Overdue",IF(H273="","Upcoming",IF(H273="Held as Scheduled","Held",IF(H273="Cancelled","Cancelled",IF(H273="Submitted for Resolution","Cleared","Postponed"))))))</f>
        <v/>
      </c>
      <c r="L273" s="32" t="n"/>
    </row>
    <row r="274" ht="26" customHeight="1">
      <c r="A274" s="30" t="n"/>
      <c r="B274" s="43">
        <f>IFERROR(IF($A274="","",INDEX(RegTitle,MATCH($A274,RegCaseNo,0))),"Case no. not found")</f>
        <v/>
      </c>
      <c r="C274" s="31" t="n"/>
      <c r="D274" s="30" t="n"/>
      <c r="E274" s="30" t="n"/>
      <c r="F274" s="43">
        <f>IFERROR(IF($A274="","",INDEX(RegCourt,MATCH($A274,RegCaseNo,0))),"")</f>
        <v/>
      </c>
      <c r="G274" s="43">
        <f>IFERROR(IF($A274="","",INDEX(RegPersonnel,MATCH($A274,RegCaseNo,0))),"")</f>
        <v/>
      </c>
      <c r="H274" s="30" t="n"/>
      <c r="I274" s="31" t="n"/>
      <c r="J274" s="44">
        <f>IF(C274="","",C274-TODAY())</f>
        <v/>
      </c>
      <c r="K274" s="45">
        <f>IF(A274="","",IF(AND(H274="",C274&lt;TODAY()),"Overdue",IF(H274="","Upcoming",IF(H274="Held as Scheduled","Held",IF(H274="Cancelled","Cancelled",IF(H274="Submitted for Resolution","Cleared","Postponed"))))))</f>
        <v/>
      </c>
      <c r="L274" s="32" t="n"/>
    </row>
    <row r="275" ht="26" customHeight="1">
      <c r="A275" s="30" t="n"/>
      <c r="B275" s="43">
        <f>IFERROR(IF($A275="","",INDEX(RegTitle,MATCH($A275,RegCaseNo,0))),"Case no. not found")</f>
        <v/>
      </c>
      <c r="C275" s="31" t="n"/>
      <c r="D275" s="30" t="n"/>
      <c r="E275" s="30" t="n"/>
      <c r="F275" s="43">
        <f>IFERROR(IF($A275="","",INDEX(RegCourt,MATCH($A275,RegCaseNo,0))),"")</f>
        <v/>
      </c>
      <c r="G275" s="43">
        <f>IFERROR(IF($A275="","",INDEX(RegPersonnel,MATCH($A275,RegCaseNo,0))),"")</f>
        <v/>
      </c>
      <c r="H275" s="30" t="n"/>
      <c r="I275" s="31" t="n"/>
      <c r="J275" s="44">
        <f>IF(C275="","",C275-TODAY())</f>
        <v/>
      </c>
      <c r="K275" s="45">
        <f>IF(A275="","",IF(AND(H275="",C275&lt;TODAY()),"Overdue",IF(H275="","Upcoming",IF(H275="Held as Scheduled","Held",IF(H275="Cancelled","Cancelled",IF(H275="Submitted for Resolution","Cleared","Postponed"))))))</f>
        <v/>
      </c>
      <c r="L275" s="32" t="n"/>
    </row>
    <row r="276" ht="26" customHeight="1">
      <c r="A276" s="30" t="n"/>
      <c r="B276" s="43">
        <f>IFERROR(IF($A276="","",INDEX(RegTitle,MATCH($A276,RegCaseNo,0))),"Case no. not found")</f>
        <v/>
      </c>
      <c r="C276" s="31" t="n"/>
      <c r="D276" s="30" t="n"/>
      <c r="E276" s="30" t="n"/>
      <c r="F276" s="43">
        <f>IFERROR(IF($A276="","",INDEX(RegCourt,MATCH($A276,RegCaseNo,0))),"")</f>
        <v/>
      </c>
      <c r="G276" s="43">
        <f>IFERROR(IF($A276="","",INDEX(RegPersonnel,MATCH($A276,RegCaseNo,0))),"")</f>
        <v/>
      </c>
      <c r="H276" s="30" t="n"/>
      <c r="I276" s="31" t="n"/>
      <c r="J276" s="44">
        <f>IF(C276="","",C276-TODAY())</f>
        <v/>
      </c>
      <c r="K276" s="45">
        <f>IF(A276="","",IF(AND(H276="",C276&lt;TODAY()),"Overdue",IF(H276="","Upcoming",IF(H276="Held as Scheduled","Held",IF(H276="Cancelled","Cancelled",IF(H276="Submitted for Resolution","Cleared","Postponed"))))))</f>
        <v/>
      </c>
      <c r="L276" s="32" t="n"/>
    </row>
    <row r="277" ht="26" customHeight="1">
      <c r="A277" s="30" t="n"/>
      <c r="B277" s="43">
        <f>IFERROR(IF($A277="","",INDEX(RegTitle,MATCH($A277,RegCaseNo,0))),"Case no. not found")</f>
        <v/>
      </c>
      <c r="C277" s="31" t="n"/>
      <c r="D277" s="30" t="n"/>
      <c r="E277" s="30" t="n"/>
      <c r="F277" s="43">
        <f>IFERROR(IF($A277="","",INDEX(RegCourt,MATCH($A277,RegCaseNo,0))),"")</f>
        <v/>
      </c>
      <c r="G277" s="43">
        <f>IFERROR(IF($A277="","",INDEX(RegPersonnel,MATCH($A277,RegCaseNo,0))),"")</f>
        <v/>
      </c>
      <c r="H277" s="30" t="n"/>
      <c r="I277" s="31" t="n"/>
      <c r="J277" s="44">
        <f>IF(C277="","",C277-TODAY())</f>
        <v/>
      </c>
      <c r="K277" s="45">
        <f>IF(A277="","",IF(AND(H277="",C277&lt;TODAY()),"Overdue",IF(H277="","Upcoming",IF(H277="Held as Scheduled","Held",IF(H277="Cancelled","Cancelled",IF(H277="Submitted for Resolution","Cleared","Postponed"))))))</f>
        <v/>
      </c>
      <c r="L277" s="32" t="n"/>
    </row>
    <row r="278" ht="26" customHeight="1">
      <c r="A278" s="30" t="n"/>
      <c r="B278" s="43">
        <f>IFERROR(IF($A278="","",INDEX(RegTitle,MATCH($A278,RegCaseNo,0))),"Case no. not found")</f>
        <v/>
      </c>
      <c r="C278" s="31" t="n"/>
      <c r="D278" s="30" t="n"/>
      <c r="E278" s="30" t="n"/>
      <c r="F278" s="43">
        <f>IFERROR(IF($A278="","",INDEX(RegCourt,MATCH($A278,RegCaseNo,0))),"")</f>
        <v/>
      </c>
      <c r="G278" s="43">
        <f>IFERROR(IF($A278="","",INDEX(RegPersonnel,MATCH($A278,RegCaseNo,0))),"")</f>
        <v/>
      </c>
      <c r="H278" s="30" t="n"/>
      <c r="I278" s="31" t="n"/>
      <c r="J278" s="44">
        <f>IF(C278="","",C278-TODAY())</f>
        <v/>
      </c>
      <c r="K278" s="45">
        <f>IF(A278="","",IF(AND(H278="",C278&lt;TODAY()),"Overdue",IF(H278="","Upcoming",IF(H278="Held as Scheduled","Held",IF(H278="Cancelled","Cancelled",IF(H278="Submitted for Resolution","Cleared","Postponed"))))))</f>
        <v/>
      </c>
      <c r="L278" s="32" t="n"/>
    </row>
    <row r="279" ht="26" customHeight="1">
      <c r="A279" s="30" t="n"/>
      <c r="B279" s="43">
        <f>IFERROR(IF($A279="","",INDEX(RegTitle,MATCH($A279,RegCaseNo,0))),"Case no. not found")</f>
        <v/>
      </c>
      <c r="C279" s="31" t="n"/>
      <c r="D279" s="30" t="n"/>
      <c r="E279" s="30" t="n"/>
      <c r="F279" s="43">
        <f>IFERROR(IF($A279="","",INDEX(RegCourt,MATCH($A279,RegCaseNo,0))),"")</f>
        <v/>
      </c>
      <c r="G279" s="43">
        <f>IFERROR(IF($A279="","",INDEX(RegPersonnel,MATCH($A279,RegCaseNo,0))),"")</f>
        <v/>
      </c>
      <c r="H279" s="30" t="n"/>
      <c r="I279" s="31" t="n"/>
      <c r="J279" s="44">
        <f>IF(C279="","",C279-TODAY())</f>
        <v/>
      </c>
      <c r="K279" s="45">
        <f>IF(A279="","",IF(AND(H279="",C279&lt;TODAY()),"Overdue",IF(H279="","Upcoming",IF(H279="Held as Scheduled","Held",IF(H279="Cancelled","Cancelled",IF(H279="Submitted for Resolution","Cleared","Postponed"))))))</f>
        <v/>
      </c>
      <c r="L279" s="32" t="n"/>
    </row>
    <row r="280" ht="26" customHeight="1">
      <c r="A280" s="30" t="n"/>
      <c r="B280" s="43">
        <f>IFERROR(IF($A280="","",INDEX(RegTitle,MATCH($A280,RegCaseNo,0))),"Case no. not found")</f>
        <v/>
      </c>
      <c r="C280" s="31" t="n"/>
      <c r="D280" s="30" t="n"/>
      <c r="E280" s="30" t="n"/>
      <c r="F280" s="43">
        <f>IFERROR(IF($A280="","",INDEX(RegCourt,MATCH($A280,RegCaseNo,0))),"")</f>
        <v/>
      </c>
      <c r="G280" s="43">
        <f>IFERROR(IF($A280="","",INDEX(RegPersonnel,MATCH($A280,RegCaseNo,0))),"")</f>
        <v/>
      </c>
      <c r="H280" s="30" t="n"/>
      <c r="I280" s="31" t="n"/>
      <c r="J280" s="44">
        <f>IF(C280="","",C280-TODAY())</f>
        <v/>
      </c>
      <c r="K280" s="45">
        <f>IF(A280="","",IF(AND(H280="",C280&lt;TODAY()),"Overdue",IF(H280="","Upcoming",IF(H280="Held as Scheduled","Held",IF(H280="Cancelled","Cancelled",IF(H280="Submitted for Resolution","Cleared","Postponed"))))))</f>
        <v/>
      </c>
      <c r="L280" s="32" t="n"/>
    </row>
    <row r="281" ht="26" customHeight="1">
      <c r="A281" s="30" t="n"/>
      <c r="B281" s="43">
        <f>IFERROR(IF($A281="","",INDEX(RegTitle,MATCH($A281,RegCaseNo,0))),"Case no. not found")</f>
        <v/>
      </c>
      <c r="C281" s="31" t="n"/>
      <c r="D281" s="30" t="n"/>
      <c r="E281" s="30" t="n"/>
      <c r="F281" s="43">
        <f>IFERROR(IF($A281="","",INDEX(RegCourt,MATCH($A281,RegCaseNo,0))),"")</f>
        <v/>
      </c>
      <c r="G281" s="43">
        <f>IFERROR(IF($A281="","",INDEX(RegPersonnel,MATCH($A281,RegCaseNo,0))),"")</f>
        <v/>
      </c>
      <c r="H281" s="30" t="n"/>
      <c r="I281" s="31" t="n"/>
      <c r="J281" s="44">
        <f>IF(C281="","",C281-TODAY())</f>
        <v/>
      </c>
      <c r="K281" s="45">
        <f>IF(A281="","",IF(AND(H281="",C281&lt;TODAY()),"Overdue",IF(H281="","Upcoming",IF(H281="Held as Scheduled","Held",IF(H281="Cancelled","Cancelled",IF(H281="Submitted for Resolution","Cleared","Postponed"))))))</f>
        <v/>
      </c>
      <c r="L281" s="32" t="n"/>
    </row>
    <row r="282" ht="26" customHeight="1">
      <c r="A282" s="30" t="n"/>
      <c r="B282" s="43">
        <f>IFERROR(IF($A282="","",INDEX(RegTitle,MATCH($A282,RegCaseNo,0))),"Case no. not found")</f>
        <v/>
      </c>
      <c r="C282" s="31" t="n"/>
      <c r="D282" s="30" t="n"/>
      <c r="E282" s="30" t="n"/>
      <c r="F282" s="43">
        <f>IFERROR(IF($A282="","",INDEX(RegCourt,MATCH($A282,RegCaseNo,0))),"")</f>
        <v/>
      </c>
      <c r="G282" s="43">
        <f>IFERROR(IF($A282="","",INDEX(RegPersonnel,MATCH($A282,RegCaseNo,0))),"")</f>
        <v/>
      </c>
      <c r="H282" s="30" t="n"/>
      <c r="I282" s="31" t="n"/>
      <c r="J282" s="44">
        <f>IF(C282="","",C282-TODAY())</f>
        <v/>
      </c>
      <c r="K282" s="45">
        <f>IF(A282="","",IF(AND(H282="",C282&lt;TODAY()),"Overdue",IF(H282="","Upcoming",IF(H282="Held as Scheduled","Held",IF(H282="Cancelled","Cancelled",IF(H282="Submitted for Resolution","Cleared","Postponed"))))))</f>
        <v/>
      </c>
      <c r="L282" s="32" t="n"/>
    </row>
    <row r="283" ht="26" customHeight="1">
      <c r="A283" s="30" t="n"/>
      <c r="B283" s="43">
        <f>IFERROR(IF($A283="","",INDEX(RegTitle,MATCH($A283,RegCaseNo,0))),"Case no. not found")</f>
        <v/>
      </c>
      <c r="C283" s="31" t="n"/>
      <c r="D283" s="30" t="n"/>
      <c r="E283" s="30" t="n"/>
      <c r="F283" s="43">
        <f>IFERROR(IF($A283="","",INDEX(RegCourt,MATCH($A283,RegCaseNo,0))),"")</f>
        <v/>
      </c>
      <c r="G283" s="43">
        <f>IFERROR(IF($A283="","",INDEX(RegPersonnel,MATCH($A283,RegCaseNo,0))),"")</f>
        <v/>
      </c>
      <c r="H283" s="30" t="n"/>
      <c r="I283" s="31" t="n"/>
      <c r="J283" s="44">
        <f>IF(C283="","",C283-TODAY())</f>
        <v/>
      </c>
      <c r="K283" s="45">
        <f>IF(A283="","",IF(AND(H283="",C283&lt;TODAY()),"Overdue",IF(H283="","Upcoming",IF(H283="Held as Scheduled","Held",IF(H283="Cancelled","Cancelled",IF(H283="Submitted for Resolution","Cleared","Postponed"))))))</f>
        <v/>
      </c>
      <c r="L283" s="32" t="n"/>
    </row>
    <row r="284" ht="26" customHeight="1">
      <c r="A284" s="30" t="n"/>
      <c r="B284" s="43">
        <f>IFERROR(IF($A284="","",INDEX(RegTitle,MATCH($A284,RegCaseNo,0))),"Case no. not found")</f>
        <v/>
      </c>
      <c r="C284" s="31" t="n"/>
      <c r="D284" s="30" t="n"/>
      <c r="E284" s="30" t="n"/>
      <c r="F284" s="43">
        <f>IFERROR(IF($A284="","",INDEX(RegCourt,MATCH($A284,RegCaseNo,0))),"")</f>
        <v/>
      </c>
      <c r="G284" s="43">
        <f>IFERROR(IF($A284="","",INDEX(RegPersonnel,MATCH($A284,RegCaseNo,0))),"")</f>
        <v/>
      </c>
      <c r="H284" s="30" t="n"/>
      <c r="I284" s="31" t="n"/>
      <c r="J284" s="44">
        <f>IF(C284="","",C284-TODAY())</f>
        <v/>
      </c>
      <c r="K284" s="45">
        <f>IF(A284="","",IF(AND(H284="",C284&lt;TODAY()),"Overdue",IF(H284="","Upcoming",IF(H284="Held as Scheduled","Held",IF(H284="Cancelled","Cancelled",IF(H284="Submitted for Resolution","Cleared","Postponed"))))))</f>
        <v/>
      </c>
      <c r="L284" s="32" t="n"/>
    </row>
    <row r="285" ht="26" customHeight="1">
      <c r="A285" s="30" t="n"/>
      <c r="B285" s="43">
        <f>IFERROR(IF($A285="","",INDEX(RegTitle,MATCH($A285,RegCaseNo,0))),"Case no. not found")</f>
        <v/>
      </c>
      <c r="C285" s="31" t="n"/>
      <c r="D285" s="30" t="n"/>
      <c r="E285" s="30" t="n"/>
      <c r="F285" s="43">
        <f>IFERROR(IF($A285="","",INDEX(RegCourt,MATCH($A285,RegCaseNo,0))),"")</f>
        <v/>
      </c>
      <c r="G285" s="43">
        <f>IFERROR(IF($A285="","",INDEX(RegPersonnel,MATCH($A285,RegCaseNo,0))),"")</f>
        <v/>
      </c>
      <c r="H285" s="30" t="n"/>
      <c r="I285" s="31" t="n"/>
      <c r="J285" s="44">
        <f>IF(C285="","",C285-TODAY())</f>
        <v/>
      </c>
      <c r="K285" s="45">
        <f>IF(A285="","",IF(AND(H285="",C285&lt;TODAY()),"Overdue",IF(H285="","Upcoming",IF(H285="Held as Scheduled","Held",IF(H285="Cancelled","Cancelled",IF(H285="Submitted for Resolution","Cleared","Postponed"))))))</f>
        <v/>
      </c>
      <c r="L285" s="32" t="n"/>
    </row>
    <row r="286" ht="26" customHeight="1">
      <c r="A286" s="30" t="n"/>
      <c r="B286" s="43">
        <f>IFERROR(IF($A286="","",INDEX(RegTitle,MATCH($A286,RegCaseNo,0))),"Case no. not found")</f>
        <v/>
      </c>
      <c r="C286" s="31" t="n"/>
      <c r="D286" s="30" t="n"/>
      <c r="E286" s="30" t="n"/>
      <c r="F286" s="43">
        <f>IFERROR(IF($A286="","",INDEX(RegCourt,MATCH($A286,RegCaseNo,0))),"")</f>
        <v/>
      </c>
      <c r="G286" s="43">
        <f>IFERROR(IF($A286="","",INDEX(RegPersonnel,MATCH($A286,RegCaseNo,0))),"")</f>
        <v/>
      </c>
      <c r="H286" s="30" t="n"/>
      <c r="I286" s="31" t="n"/>
      <c r="J286" s="44">
        <f>IF(C286="","",C286-TODAY())</f>
        <v/>
      </c>
      <c r="K286" s="45">
        <f>IF(A286="","",IF(AND(H286="",C286&lt;TODAY()),"Overdue",IF(H286="","Upcoming",IF(H286="Held as Scheduled","Held",IF(H286="Cancelled","Cancelled",IF(H286="Submitted for Resolution","Cleared","Postponed"))))))</f>
        <v/>
      </c>
      <c r="L286" s="32" t="n"/>
    </row>
    <row r="287" ht="26" customHeight="1">
      <c r="A287" s="30" t="n"/>
      <c r="B287" s="43">
        <f>IFERROR(IF($A287="","",INDEX(RegTitle,MATCH($A287,RegCaseNo,0))),"Case no. not found")</f>
        <v/>
      </c>
      <c r="C287" s="31" t="n"/>
      <c r="D287" s="30" t="n"/>
      <c r="E287" s="30" t="n"/>
      <c r="F287" s="43">
        <f>IFERROR(IF($A287="","",INDEX(RegCourt,MATCH($A287,RegCaseNo,0))),"")</f>
        <v/>
      </c>
      <c r="G287" s="43">
        <f>IFERROR(IF($A287="","",INDEX(RegPersonnel,MATCH($A287,RegCaseNo,0))),"")</f>
        <v/>
      </c>
      <c r="H287" s="30" t="n"/>
      <c r="I287" s="31" t="n"/>
      <c r="J287" s="44">
        <f>IF(C287="","",C287-TODAY())</f>
        <v/>
      </c>
      <c r="K287" s="45">
        <f>IF(A287="","",IF(AND(H287="",C287&lt;TODAY()),"Overdue",IF(H287="","Upcoming",IF(H287="Held as Scheduled","Held",IF(H287="Cancelled","Cancelled",IF(H287="Submitted for Resolution","Cleared","Postponed"))))))</f>
        <v/>
      </c>
      <c r="L287" s="32" t="n"/>
    </row>
    <row r="288" ht="26" customHeight="1">
      <c r="A288" s="30" t="n"/>
      <c r="B288" s="43">
        <f>IFERROR(IF($A288="","",INDEX(RegTitle,MATCH($A288,RegCaseNo,0))),"Case no. not found")</f>
        <v/>
      </c>
      <c r="C288" s="31" t="n"/>
      <c r="D288" s="30" t="n"/>
      <c r="E288" s="30" t="n"/>
      <c r="F288" s="43">
        <f>IFERROR(IF($A288="","",INDEX(RegCourt,MATCH($A288,RegCaseNo,0))),"")</f>
        <v/>
      </c>
      <c r="G288" s="43">
        <f>IFERROR(IF($A288="","",INDEX(RegPersonnel,MATCH($A288,RegCaseNo,0))),"")</f>
        <v/>
      </c>
      <c r="H288" s="30" t="n"/>
      <c r="I288" s="31" t="n"/>
      <c r="J288" s="44">
        <f>IF(C288="","",C288-TODAY())</f>
        <v/>
      </c>
      <c r="K288" s="45">
        <f>IF(A288="","",IF(AND(H288="",C288&lt;TODAY()),"Overdue",IF(H288="","Upcoming",IF(H288="Held as Scheduled","Held",IF(H288="Cancelled","Cancelled",IF(H288="Submitted for Resolution","Cleared","Postponed"))))))</f>
        <v/>
      </c>
      <c r="L288" s="32" t="n"/>
    </row>
    <row r="289" ht="26" customHeight="1">
      <c r="A289" s="30" t="n"/>
      <c r="B289" s="43">
        <f>IFERROR(IF($A289="","",INDEX(RegTitle,MATCH($A289,RegCaseNo,0))),"Case no. not found")</f>
        <v/>
      </c>
      <c r="C289" s="31" t="n"/>
      <c r="D289" s="30" t="n"/>
      <c r="E289" s="30" t="n"/>
      <c r="F289" s="43">
        <f>IFERROR(IF($A289="","",INDEX(RegCourt,MATCH($A289,RegCaseNo,0))),"")</f>
        <v/>
      </c>
      <c r="G289" s="43">
        <f>IFERROR(IF($A289="","",INDEX(RegPersonnel,MATCH($A289,RegCaseNo,0))),"")</f>
        <v/>
      </c>
      <c r="H289" s="30" t="n"/>
      <c r="I289" s="31" t="n"/>
      <c r="J289" s="44">
        <f>IF(C289="","",C289-TODAY())</f>
        <v/>
      </c>
      <c r="K289" s="45">
        <f>IF(A289="","",IF(AND(H289="",C289&lt;TODAY()),"Overdue",IF(H289="","Upcoming",IF(H289="Held as Scheduled","Held",IF(H289="Cancelled","Cancelled",IF(H289="Submitted for Resolution","Cleared","Postponed"))))))</f>
        <v/>
      </c>
      <c r="L289" s="32" t="n"/>
    </row>
    <row r="290" ht="26" customHeight="1">
      <c r="A290" s="30" t="n"/>
      <c r="B290" s="43">
        <f>IFERROR(IF($A290="","",INDEX(RegTitle,MATCH($A290,RegCaseNo,0))),"Case no. not found")</f>
        <v/>
      </c>
      <c r="C290" s="31" t="n"/>
      <c r="D290" s="30" t="n"/>
      <c r="E290" s="30" t="n"/>
      <c r="F290" s="43">
        <f>IFERROR(IF($A290="","",INDEX(RegCourt,MATCH($A290,RegCaseNo,0))),"")</f>
        <v/>
      </c>
      <c r="G290" s="43">
        <f>IFERROR(IF($A290="","",INDEX(RegPersonnel,MATCH($A290,RegCaseNo,0))),"")</f>
        <v/>
      </c>
      <c r="H290" s="30" t="n"/>
      <c r="I290" s="31" t="n"/>
      <c r="J290" s="44">
        <f>IF(C290="","",C290-TODAY())</f>
        <v/>
      </c>
      <c r="K290" s="45">
        <f>IF(A290="","",IF(AND(H290="",C290&lt;TODAY()),"Overdue",IF(H290="","Upcoming",IF(H290="Held as Scheduled","Held",IF(H290="Cancelled","Cancelled",IF(H290="Submitted for Resolution","Cleared","Postponed"))))))</f>
        <v/>
      </c>
      <c r="L290" s="32" t="n"/>
    </row>
    <row r="291" ht="26" customHeight="1">
      <c r="A291" s="30" t="n"/>
      <c r="B291" s="43">
        <f>IFERROR(IF($A291="","",INDEX(RegTitle,MATCH($A291,RegCaseNo,0))),"Case no. not found")</f>
        <v/>
      </c>
      <c r="C291" s="31" t="n"/>
      <c r="D291" s="30" t="n"/>
      <c r="E291" s="30" t="n"/>
      <c r="F291" s="43">
        <f>IFERROR(IF($A291="","",INDEX(RegCourt,MATCH($A291,RegCaseNo,0))),"")</f>
        <v/>
      </c>
      <c r="G291" s="43">
        <f>IFERROR(IF($A291="","",INDEX(RegPersonnel,MATCH($A291,RegCaseNo,0))),"")</f>
        <v/>
      </c>
      <c r="H291" s="30" t="n"/>
      <c r="I291" s="31" t="n"/>
      <c r="J291" s="44">
        <f>IF(C291="","",C291-TODAY())</f>
        <v/>
      </c>
      <c r="K291" s="45">
        <f>IF(A291="","",IF(AND(H291="",C291&lt;TODAY()),"Overdue",IF(H291="","Upcoming",IF(H291="Held as Scheduled","Held",IF(H291="Cancelled","Cancelled",IF(H291="Submitted for Resolution","Cleared","Postponed"))))))</f>
        <v/>
      </c>
      <c r="L291" s="32" t="n"/>
    </row>
    <row r="292" ht="26" customHeight="1">
      <c r="A292" s="30" t="n"/>
      <c r="B292" s="43">
        <f>IFERROR(IF($A292="","",INDEX(RegTitle,MATCH($A292,RegCaseNo,0))),"Case no. not found")</f>
        <v/>
      </c>
      <c r="C292" s="31" t="n"/>
      <c r="D292" s="30" t="n"/>
      <c r="E292" s="30" t="n"/>
      <c r="F292" s="43">
        <f>IFERROR(IF($A292="","",INDEX(RegCourt,MATCH($A292,RegCaseNo,0))),"")</f>
        <v/>
      </c>
      <c r="G292" s="43">
        <f>IFERROR(IF($A292="","",INDEX(RegPersonnel,MATCH($A292,RegCaseNo,0))),"")</f>
        <v/>
      </c>
      <c r="H292" s="30" t="n"/>
      <c r="I292" s="31" t="n"/>
      <c r="J292" s="44">
        <f>IF(C292="","",C292-TODAY())</f>
        <v/>
      </c>
      <c r="K292" s="45">
        <f>IF(A292="","",IF(AND(H292="",C292&lt;TODAY()),"Overdue",IF(H292="","Upcoming",IF(H292="Held as Scheduled","Held",IF(H292="Cancelled","Cancelled",IF(H292="Submitted for Resolution","Cleared","Postponed"))))))</f>
        <v/>
      </c>
      <c r="L292" s="32" t="n"/>
    </row>
    <row r="293" ht="26" customHeight="1">
      <c r="A293" s="30" t="n"/>
      <c r="B293" s="43">
        <f>IFERROR(IF($A293="","",INDEX(RegTitle,MATCH($A293,RegCaseNo,0))),"Case no. not found")</f>
        <v/>
      </c>
      <c r="C293" s="31" t="n"/>
      <c r="D293" s="30" t="n"/>
      <c r="E293" s="30" t="n"/>
      <c r="F293" s="43">
        <f>IFERROR(IF($A293="","",INDEX(RegCourt,MATCH($A293,RegCaseNo,0))),"")</f>
        <v/>
      </c>
      <c r="G293" s="43">
        <f>IFERROR(IF($A293="","",INDEX(RegPersonnel,MATCH($A293,RegCaseNo,0))),"")</f>
        <v/>
      </c>
      <c r="H293" s="30" t="n"/>
      <c r="I293" s="31" t="n"/>
      <c r="J293" s="44">
        <f>IF(C293="","",C293-TODAY())</f>
        <v/>
      </c>
      <c r="K293" s="45">
        <f>IF(A293="","",IF(AND(H293="",C293&lt;TODAY()),"Overdue",IF(H293="","Upcoming",IF(H293="Held as Scheduled","Held",IF(H293="Cancelled","Cancelled",IF(H293="Submitted for Resolution","Cleared","Postponed"))))))</f>
        <v/>
      </c>
      <c r="L293" s="32" t="n"/>
    </row>
    <row r="294" ht="26" customHeight="1">
      <c r="A294" s="30" t="n"/>
      <c r="B294" s="43">
        <f>IFERROR(IF($A294="","",INDEX(RegTitle,MATCH($A294,RegCaseNo,0))),"Case no. not found")</f>
        <v/>
      </c>
      <c r="C294" s="31" t="n"/>
      <c r="D294" s="30" t="n"/>
      <c r="E294" s="30" t="n"/>
      <c r="F294" s="43">
        <f>IFERROR(IF($A294="","",INDEX(RegCourt,MATCH($A294,RegCaseNo,0))),"")</f>
        <v/>
      </c>
      <c r="G294" s="43">
        <f>IFERROR(IF($A294="","",INDEX(RegPersonnel,MATCH($A294,RegCaseNo,0))),"")</f>
        <v/>
      </c>
      <c r="H294" s="30" t="n"/>
      <c r="I294" s="31" t="n"/>
      <c r="J294" s="44">
        <f>IF(C294="","",C294-TODAY())</f>
        <v/>
      </c>
      <c r="K294" s="45">
        <f>IF(A294="","",IF(AND(H294="",C294&lt;TODAY()),"Overdue",IF(H294="","Upcoming",IF(H294="Held as Scheduled","Held",IF(H294="Cancelled","Cancelled",IF(H294="Submitted for Resolution","Cleared","Postponed"))))))</f>
        <v/>
      </c>
      <c r="L294" s="32" t="n"/>
    </row>
    <row r="295" ht="26" customHeight="1">
      <c r="A295" s="30" t="n"/>
      <c r="B295" s="43">
        <f>IFERROR(IF($A295="","",INDEX(RegTitle,MATCH($A295,RegCaseNo,0))),"Case no. not found")</f>
        <v/>
      </c>
      <c r="C295" s="31" t="n"/>
      <c r="D295" s="30" t="n"/>
      <c r="E295" s="30" t="n"/>
      <c r="F295" s="43">
        <f>IFERROR(IF($A295="","",INDEX(RegCourt,MATCH($A295,RegCaseNo,0))),"")</f>
        <v/>
      </c>
      <c r="G295" s="43">
        <f>IFERROR(IF($A295="","",INDEX(RegPersonnel,MATCH($A295,RegCaseNo,0))),"")</f>
        <v/>
      </c>
      <c r="H295" s="30" t="n"/>
      <c r="I295" s="31" t="n"/>
      <c r="J295" s="44">
        <f>IF(C295="","",C295-TODAY())</f>
        <v/>
      </c>
      <c r="K295" s="45">
        <f>IF(A295="","",IF(AND(H295="",C295&lt;TODAY()),"Overdue",IF(H295="","Upcoming",IF(H295="Held as Scheduled","Held",IF(H295="Cancelled","Cancelled",IF(H295="Submitted for Resolution","Cleared","Postponed"))))))</f>
        <v/>
      </c>
      <c r="L295" s="32" t="n"/>
    </row>
    <row r="296" ht="26" customHeight="1">
      <c r="A296" s="30" t="n"/>
      <c r="B296" s="43">
        <f>IFERROR(IF($A296="","",INDEX(RegTitle,MATCH($A296,RegCaseNo,0))),"Case no. not found")</f>
        <v/>
      </c>
      <c r="C296" s="31" t="n"/>
      <c r="D296" s="30" t="n"/>
      <c r="E296" s="30" t="n"/>
      <c r="F296" s="43">
        <f>IFERROR(IF($A296="","",INDEX(RegCourt,MATCH($A296,RegCaseNo,0))),"")</f>
        <v/>
      </c>
      <c r="G296" s="43">
        <f>IFERROR(IF($A296="","",INDEX(RegPersonnel,MATCH($A296,RegCaseNo,0))),"")</f>
        <v/>
      </c>
      <c r="H296" s="30" t="n"/>
      <c r="I296" s="31" t="n"/>
      <c r="J296" s="44">
        <f>IF(C296="","",C296-TODAY())</f>
        <v/>
      </c>
      <c r="K296" s="45">
        <f>IF(A296="","",IF(AND(H296="",C296&lt;TODAY()),"Overdue",IF(H296="","Upcoming",IF(H296="Held as Scheduled","Held",IF(H296="Cancelled","Cancelled",IF(H296="Submitted for Resolution","Cleared","Postponed"))))))</f>
        <v/>
      </c>
      <c r="L296" s="32" t="n"/>
    </row>
    <row r="297" ht="26" customHeight="1">
      <c r="A297" s="30" t="n"/>
      <c r="B297" s="43">
        <f>IFERROR(IF($A297="","",INDEX(RegTitle,MATCH($A297,RegCaseNo,0))),"Case no. not found")</f>
        <v/>
      </c>
      <c r="C297" s="31" t="n"/>
      <c r="D297" s="30" t="n"/>
      <c r="E297" s="30" t="n"/>
      <c r="F297" s="43">
        <f>IFERROR(IF($A297="","",INDEX(RegCourt,MATCH($A297,RegCaseNo,0))),"")</f>
        <v/>
      </c>
      <c r="G297" s="43">
        <f>IFERROR(IF($A297="","",INDEX(RegPersonnel,MATCH($A297,RegCaseNo,0))),"")</f>
        <v/>
      </c>
      <c r="H297" s="30" t="n"/>
      <c r="I297" s="31" t="n"/>
      <c r="J297" s="44">
        <f>IF(C297="","",C297-TODAY())</f>
        <v/>
      </c>
      <c r="K297" s="45">
        <f>IF(A297="","",IF(AND(H297="",C297&lt;TODAY()),"Overdue",IF(H297="","Upcoming",IF(H297="Held as Scheduled","Held",IF(H297="Cancelled","Cancelled",IF(H297="Submitted for Resolution","Cleared","Postponed"))))))</f>
        <v/>
      </c>
      <c r="L297" s="32" t="n"/>
    </row>
    <row r="298" ht="26" customHeight="1">
      <c r="A298" s="30" t="n"/>
      <c r="B298" s="43">
        <f>IFERROR(IF($A298="","",INDEX(RegTitle,MATCH($A298,RegCaseNo,0))),"Case no. not found")</f>
        <v/>
      </c>
      <c r="C298" s="31" t="n"/>
      <c r="D298" s="30" t="n"/>
      <c r="E298" s="30" t="n"/>
      <c r="F298" s="43">
        <f>IFERROR(IF($A298="","",INDEX(RegCourt,MATCH($A298,RegCaseNo,0))),"")</f>
        <v/>
      </c>
      <c r="G298" s="43">
        <f>IFERROR(IF($A298="","",INDEX(RegPersonnel,MATCH($A298,RegCaseNo,0))),"")</f>
        <v/>
      </c>
      <c r="H298" s="30" t="n"/>
      <c r="I298" s="31" t="n"/>
      <c r="J298" s="44">
        <f>IF(C298="","",C298-TODAY())</f>
        <v/>
      </c>
      <c r="K298" s="45">
        <f>IF(A298="","",IF(AND(H298="",C298&lt;TODAY()),"Overdue",IF(H298="","Upcoming",IF(H298="Held as Scheduled","Held",IF(H298="Cancelled","Cancelled",IF(H298="Submitted for Resolution","Cleared","Postponed"))))))</f>
        <v/>
      </c>
      <c r="L298" s="32" t="n"/>
    </row>
    <row r="299" ht="26" customHeight="1">
      <c r="A299" s="30" t="n"/>
      <c r="B299" s="43">
        <f>IFERROR(IF($A299="","",INDEX(RegTitle,MATCH($A299,RegCaseNo,0))),"Case no. not found")</f>
        <v/>
      </c>
      <c r="C299" s="31" t="n"/>
      <c r="D299" s="30" t="n"/>
      <c r="E299" s="30" t="n"/>
      <c r="F299" s="43">
        <f>IFERROR(IF($A299="","",INDEX(RegCourt,MATCH($A299,RegCaseNo,0))),"")</f>
        <v/>
      </c>
      <c r="G299" s="43">
        <f>IFERROR(IF($A299="","",INDEX(RegPersonnel,MATCH($A299,RegCaseNo,0))),"")</f>
        <v/>
      </c>
      <c r="H299" s="30" t="n"/>
      <c r="I299" s="31" t="n"/>
      <c r="J299" s="44">
        <f>IF(C299="","",C299-TODAY())</f>
        <v/>
      </c>
      <c r="K299" s="45">
        <f>IF(A299="","",IF(AND(H299="",C299&lt;TODAY()),"Overdue",IF(H299="","Upcoming",IF(H299="Held as Scheduled","Held",IF(H299="Cancelled","Cancelled",IF(H299="Submitted for Resolution","Cleared","Postponed"))))))</f>
        <v/>
      </c>
      <c r="L299" s="32" t="n"/>
    </row>
    <row r="300" ht="26" customHeight="1">
      <c r="A300" s="30" t="n"/>
      <c r="B300" s="43">
        <f>IFERROR(IF($A300="","",INDEX(RegTitle,MATCH($A300,RegCaseNo,0))),"Case no. not found")</f>
        <v/>
      </c>
      <c r="C300" s="31" t="n"/>
      <c r="D300" s="30" t="n"/>
      <c r="E300" s="30" t="n"/>
      <c r="F300" s="43">
        <f>IFERROR(IF($A300="","",INDEX(RegCourt,MATCH($A300,RegCaseNo,0))),"")</f>
        <v/>
      </c>
      <c r="G300" s="43">
        <f>IFERROR(IF($A300="","",INDEX(RegPersonnel,MATCH($A300,RegCaseNo,0))),"")</f>
        <v/>
      </c>
      <c r="H300" s="30" t="n"/>
      <c r="I300" s="31" t="n"/>
      <c r="J300" s="44">
        <f>IF(C300="","",C300-TODAY())</f>
        <v/>
      </c>
      <c r="K300" s="45">
        <f>IF(A300="","",IF(AND(H300="",C300&lt;TODAY()),"Overdue",IF(H300="","Upcoming",IF(H300="Held as Scheduled","Held",IF(H300="Cancelled","Cancelled",IF(H300="Submitted for Resolution","Cleared","Postponed"))))))</f>
        <v/>
      </c>
      <c r="L300" s="32" t="n"/>
    </row>
    <row r="301" ht="26" customHeight="1">
      <c r="A301" s="30" t="n"/>
      <c r="B301" s="43">
        <f>IFERROR(IF($A301="","",INDEX(RegTitle,MATCH($A301,RegCaseNo,0))),"Case no. not found")</f>
        <v/>
      </c>
      <c r="C301" s="31" t="n"/>
      <c r="D301" s="30" t="n"/>
      <c r="E301" s="30" t="n"/>
      <c r="F301" s="43">
        <f>IFERROR(IF($A301="","",INDEX(RegCourt,MATCH($A301,RegCaseNo,0))),"")</f>
        <v/>
      </c>
      <c r="G301" s="43">
        <f>IFERROR(IF($A301="","",INDEX(RegPersonnel,MATCH($A301,RegCaseNo,0))),"")</f>
        <v/>
      </c>
      <c r="H301" s="30" t="n"/>
      <c r="I301" s="31" t="n"/>
      <c r="J301" s="44">
        <f>IF(C301="","",C301-TODAY())</f>
        <v/>
      </c>
      <c r="K301" s="45">
        <f>IF(A301="","",IF(AND(H301="",C301&lt;TODAY()),"Overdue",IF(H301="","Upcoming",IF(H301="Held as Scheduled","Held",IF(H301="Cancelled","Cancelled",IF(H301="Submitted for Resolution","Cleared","Postponed"))))))</f>
        <v/>
      </c>
      <c r="L301" s="32" t="n"/>
    </row>
    <row r="302" ht="26" customHeight="1">
      <c r="A302" s="30" t="n"/>
      <c r="B302" s="43">
        <f>IFERROR(IF($A302="","",INDEX(RegTitle,MATCH($A302,RegCaseNo,0))),"Case no. not found")</f>
        <v/>
      </c>
      <c r="C302" s="31" t="n"/>
      <c r="D302" s="30" t="n"/>
      <c r="E302" s="30" t="n"/>
      <c r="F302" s="43">
        <f>IFERROR(IF($A302="","",INDEX(RegCourt,MATCH($A302,RegCaseNo,0))),"")</f>
        <v/>
      </c>
      <c r="G302" s="43">
        <f>IFERROR(IF($A302="","",INDEX(RegPersonnel,MATCH($A302,RegCaseNo,0))),"")</f>
        <v/>
      </c>
      <c r="H302" s="30" t="n"/>
      <c r="I302" s="31" t="n"/>
      <c r="J302" s="44">
        <f>IF(C302="","",C302-TODAY())</f>
        <v/>
      </c>
      <c r="K302" s="45">
        <f>IF(A302="","",IF(AND(H302="",C302&lt;TODAY()),"Overdue",IF(H302="","Upcoming",IF(H302="Held as Scheduled","Held",IF(H302="Cancelled","Cancelled",IF(H302="Submitted for Resolution","Cleared","Postponed"))))))</f>
        <v/>
      </c>
      <c r="L302" s="32" t="n"/>
    </row>
  </sheetData>
  <mergeCells count="1">
    <mergeCell ref="A1:L1"/>
  </mergeCells>
  <conditionalFormatting sqref="K3:K302">
    <cfRule type="expression" priority="1" dxfId="15" stopIfTrue="1">
      <formula>$K3="Overdue"</formula>
    </cfRule>
    <cfRule type="expression" priority="2" dxfId="18" stopIfTrue="1">
      <formula>$K3="Upcoming"</formula>
    </cfRule>
    <cfRule type="expression" priority="3" dxfId="14" stopIfTrue="1">
      <formula>$K3="Held"</formula>
    </cfRule>
    <cfRule type="expression" priority="4" dxfId="8" stopIfTrue="1">
      <formula>$K3="Postponed"</formula>
    </cfRule>
    <cfRule type="expression" priority="5" dxfId="19" stopIfTrue="1">
      <formula>$K3="Cancelled"</formula>
    </cfRule>
    <cfRule type="expression" priority="6" dxfId="10" stopIfTrue="1">
      <formula>$K3="Cleared"</formula>
    </cfRule>
  </conditionalFormatting>
  <dataValidations count="4">
    <dataValidation sqref="A3:A302" showDropDown="0" showInputMessage="0" showErrorMessage="1" allowBlank="1" errorTitle="Case not in register" error="Encode the case in the Case Register first." type="list">
      <formula1>RegCaseNo</formula1>
    </dataValidation>
    <dataValidation sqref="E3:E302" showDropDown="0" showInputMessage="0" showErrorMessage="1" allowBlank="1" errorTitle="Invalid entry" error="Pick a hearing type from the Lists sheet." type="list">
      <formula1>HearTypeList</formula1>
    </dataValidation>
    <dataValidation sqref="H3:H302" showDropDown="0" showInputMessage="0" showErrorMessage="1" allowBlank="1" errorTitle="Invalid entry" error="Pick a result from the Lists sheet." type="list">
      <formula1>HearResultList</formula1>
    </dataValidation>
    <dataValidation sqref="C3:C302 I3:I302" showDropDown="0" showInputMessage="0" showErrorMessage="1" allowBlank="1" errorTitle="Invalid date" error="Enter a valid date." type="date" operator="between">
      <formula1>DATE(2000,1,1)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B08F3C"/>
    <outlinePr summaryBelow="1" summaryRight="1"/>
    <pageSetUpPr fitToPage="1"/>
  </sheetPr>
  <dimension ref="A1:J252"/>
  <sheetViews>
    <sheetView showGridLines="0" zoomScale="90" workbookViewId="0">
      <pane xSplit="2" ySplit="2" topLeftCell="C3" activePane="bottomRight" state="frozen"/>
      <selection pane="topRight"/>
      <selection pane="bottomLeft"/>
      <selection pane="bottomRight" activeCell="A1" sqref="A1"/>
    </sheetView>
  </sheetViews>
  <sheetFormatPr baseColWidth="8" defaultRowHeight="15"/>
  <cols>
    <col width="15" customWidth="1" min="1" max="1"/>
    <col width="36" customWidth="1" min="2" max="2"/>
    <col width="9" customWidth="1" min="3" max="3"/>
    <col width="9" customWidth="1" min="4" max="4"/>
    <col width="11" customWidth="1" min="5" max="5"/>
    <col width="52" customWidth="1" min="6" max="6"/>
    <col width="34" customWidth="1" min="7" max="7"/>
    <col width="24" customWidth="1" min="8" max="8"/>
    <col width="13" customWidth="1" min="9" max="9"/>
    <col width="18" customWidth="1" min="10" max="10"/>
  </cols>
  <sheetData>
    <row r="1" ht="28" customHeight="1">
      <c r="A1" s="46" t="inlineStr">
        <is>
          <t>DOCUMENT COMPLETENESS MONITOR   |   flags missing records that derail a case</t>
        </is>
      </c>
      <c r="B1" s="6" t="n"/>
      <c r="C1" s="6" t="n"/>
      <c r="D1" s="6" t="n"/>
      <c r="E1" s="6" t="n"/>
      <c r="F1" s="6" t="n"/>
      <c r="G1" s="6" t="n"/>
      <c r="H1" s="6" t="n"/>
      <c r="I1" s="6" t="n"/>
      <c r="J1" s="6" t="n"/>
    </row>
    <row r="2" ht="34" customHeight="1">
      <c r="A2" s="41" t="inlineStr">
        <is>
          <t>CASE NO.</t>
        </is>
      </c>
      <c r="B2" s="42" t="inlineStr">
        <is>
          <t>CASE TITLE</t>
        </is>
      </c>
      <c r="C2" s="41" t="inlineStr">
        <is>
          <t>ON FILE</t>
        </is>
      </c>
      <c r="D2" s="41" t="inlineStr">
        <is>
          <t>MISSING</t>
        </is>
      </c>
      <c r="E2" s="41" t="inlineStr">
        <is>
          <t>COMPLETE</t>
        </is>
      </c>
      <c r="F2" s="42" t="inlineStr">
        <is>
          <t>MISSING ITEMS</t>
        </is>
      </c>
      <c r="G2" s="41" t="inlineStr">
        <is>
          <t>REMEDIAL ACTION</t>
        </is>
      </c>
      <c r="H2" s="41" t="inlineStr">
        <is>
          <t>FOLLOW-UP OWNER</t>
        </is>
      </c>
      <c r="I2" s="41" t="inlineStr">
        <is>
          <t>TARGET DATE</t>
        </is>
      </c>
      <c r="J2" s="41" t="inlineStr">
        <is>
          <t>COMPLIANCE STATUS</t>
        </is>
      </c>
    </row>
    <row r="3" ht="26" customHeight="1">
      <c r="A3" s="30" t="inlineStr">
        <is>
          <t>CC-2026-0001</t>
        </is>
      </c>
      <c r="B3" s="43">
        <f>IFERROR(IF($A3="","",INDEX(RegTitle,MATCH($A3,RegCaseNo,0))),"Case no. not found")</f>
        <v/>
      </c>
      <c r="C3" s="44">
        <f>IF($A3="","",SUMPRODUCT((RegCaseNo=$A3)*((RegDoc1="Y")+(RegDoc2="Y")+(RegDoc3="Y")+(RegDoc4="Y")+(RegDoc5="Y")+(RegDoc6="Y")+(RegDoc7="Y")+(RegDoc8="Y"))))</f>
        <v/>
      </c>
      <c r="D3" s="44">
        <f>IF($A3="","",SUMPRODUCT((RegCaseNo=$A3)*((RegDoc1="N")+(RegDoc2="N")+(RegDoc3="N")+(RegDoc4="N")+(RegDoc5="N")+(RegDoc6="N")+(RegDoc7="N")+(RegDoc8="N"))))</f>
        <v/>
      </c>
      <c r="E3" s="47">
        <f>IFERROR(IF($A3="","",C3/(C3+D3)),0)</f>
        <v/>
      </c>
      <c r="F3" s="43">
        <f>IF($A3="","",TRIM(IF(INDEX(RegDoc1,MATCH($A3,RegCaseNo,0))="N","Affidavit of Complaint; ","")&amp;IF(INDEX(RegDoc2,MATCH($A3,RegCaseNo,0))="N","Sworn Statements; ","")&amp;IF(INDEX(RegDoc3,MATCH($A3,RegCaseNo,0))="N","Police / Incident Report; ","")&amp;IF(INDEX(RegDoc4,MATCH($A3,RegCaseNo,0))="N","Evidence and Exhibits; ","")&amp;IF(INDEX(RegDoc5,MATCH($A3,RegCaseNo,0))="N","Resolution / Information; ","")&amp;IF(INDEX(RegDoc6,MATCH($A3,RegCaseNo,0))="N","Court Order / Docket; ","")&amp;IF(INDEX(RegDoc7,MATCH($A3,RegCaseNo,0))="N","Bail / Bond Records; ","")&amp;IF(INDEX(RegDoc8,MATCH($A3,RegCaseNo,0))="N","Judgment / Order; ","")))</f>
        <v/>
      </c>
      <c r="G3" s="32" t="inlineStr">
        <is>
          <t>Request certified true copy of court orders from RTC records</t>
        </is>
      </c>
      <c r="H3" s="30" t="inlineStr">
        <is>
          <t>Atty. R. Villanueva</t>
        </is>
      </c>
      <c r="I3" s="31" t="n">
        <v>46326</v>
      </c>
      <c r="J3" s="45">
        <f>IF($A3="","",IF(E3=1,"Complete",IF(AND(I3&lt;&gt;"",I3&lt;TODAY(),E3&lt;1),"Follow-up overdue",IF(E3&gt;=0.75,"Minor gaps","Action needed"))))</f>
        <v/>
      </c>
    </row>
    <row r="4" ht="26" customHeight="1">
      <c r="A4" s="30" t="inlineStr">
        <is>
          <t>CC-2026-0003</t>
        </is>
      </c>
      <c r="B4" s="43">
        <f>IFERROR(IF($A4="","",INDEX(RegTitle,MATCH($A4,RegCaseNo,0))),"Case no. not found")</f>
        <v/>
      </c>
      <c r="C4" s="44">
        <f>IF($A4="","",SUMPRODUCT((RegCaseNo=$A4)*((RegDoc1="Y")+(RegDoc2="Y")+(RegDoc3="Y")+(RegDoc4="Y")+(RegDoc5="Y")+(RegDoc6="Y")+(RegDoc7="Y")+(RegDoc8="Y"))))</f>
        <v/>
      </c>
      <c r="D4" s="44">
        <f>IF($A4="","",SUMPRODUCT((RegCaseNo=$A4)*((RegDoc1="N")+(RegDoc2="N")+(RegDoc3="N")+(RegDoc4="N")+(RegDoc5="N")+(RegDoc6="N")+(RegDoc7="N")+(RegDoc8="N"))))</f>
        <v/>
      </c>
      <c r="E4" s="47">
        <f>IFERROR(IF($A4="","",C4/(C4+D4)),0)</f>
        <v/>
      </c>
      <c r="F4" s="43">
        <f>IF($A4="","",TRIM(IF(INDEX(RegDoc1,MATCH($A4,RegCaseNo,0))="N","Affidavit of Complaint; ","")&amp;IF(INDEX(RegDoc2,MATCH($A4,RegCaseNo,0))="N","Sworn Statements; ","")&amp;IF(INDEX(RegDoc3,MATCH($A4,RegCaseNo,0))="N","Police / Incident Report; ","")&amp;IF(INDEX(RegDoc4,MATCH($A4,RegCaseNo,0))="N","Evidence and Exhibits; ","")&amp;IF(INDEX(RegDoc5,MATCH($A4,RegCaseNo,0))="N","Resolution / Information; ","")&amp;IF(INDEX(RegDoc6,MATCH($A4,RegCaseNo,0))="N","Court Order / Docket; ","")&amp;IF(INDEX(RegDoc7,MATCH($A4,RegCaseNo,0))="N","Bail / Bond Records; ","")&amp;IF(INDEX(RegDoc8,MATCH($A4,RegCaseNo,0))="N","Judgment / Order; ","")))</f>
        <v/>
      </c>
      <c r="G4" s="32" t="inlineStr">
        <is>
          <t>Secure police blotter and sworn statements from complainant</t>
        </is>
      </c>
      <c r="H4" s="30" t="inlineStr">
        <is>
          <t>Investigator P. Reyes</t>
        </is>
      </c>
      <c r="I4" s="31" t="n">
        <v>46312</v>
      </c>
      <c r="J4" s="45">
        <f>IF($A4="","",IF(E4=1,"Complete",IF(AND(I4&lt;&gt;"",I4&lt;TODAY(),E4&lt;1),"Follow-up overdue",IF(E4&gt;=0.75,"Minor gaps","Action needed"))))</f>
        <v/>
      </c>
    </row>
    <row r="5" ht="26" customHeight="1">
      <c r="A5" s="30" t="inlineStr">
        <is>
          <t>CC-2026-0006</t>
        </is>
      </c>
      <c r="B5" s="43">
        <f>IFERROR(IF($A5="","",INDEX(RegTitle,MATCH($A5,RegCaseNo,0))),"Case no. not found")</f>
        <v/>
      </c>
      <c r="C5" s="44">
        <f>IF($A5="","",SUMPRODUCT((RegCaseNo=$A5)*((RegDoc1="Y")+(RegDoc2="Y")+(RegDoc3="Y")+(RegDoc4="Y")+(RegDoc5="Y")+(RegDoc6="Y")+(RegDoc7="Y")+(RegDoc8="Y"))))</f>
        <v/>
      </c>
      <c r="D5" s="44">
        <f>IF($A5="","",SUMPRODUCT((RegCaseNo=$A5)*((RegDoc1="N")+(RegDoc2="N")+(RegDoc3="N")+(RegDoc4="N")+(RegDoc5="N")+(RegDoc6="N")+(RegDoc7="N")+(RegDoc8="N"))))</f>
        <v/>
      </c>
      <c r="E5" s="47">
        <f>IFERROR(IF($A5="","",C5/(C5+D5)),0)</f>
        <v/>
      </c>
      <c r="F5" s="43">
        <f>IF($A5="","",TRIM(IF(INDEX(RegDoc1,MATCH($A5,RegCaseNo,0))="N","Affidavit of Complaint; ","")&amp;IF(INDEX(RegDoc2,MATCH($A5,RegCaseNo,0))="N","Sworn Statements; ","")&amp;IF(INDEX(RegDoc3,MATCH($A5,RegCaseNo,0))="N","Police / Incident Report; ","")&amp;IF(INDEX(RegDoc4,MATCH($A5,RegCaseNo,0))="N","Evidence and Exhibits; ","")&amp;IF(INDEX(RegDoc5,MATCH($A5,RegCaseNo,0))="N","Resolution / Information; ","")&amp;IF(INDEX(RegDoc6,MATCH($A5,RegCaseNo,0))="N","Court Order / Docket; ","")&amp;IF(INDEX(RegDoc7,MATCH($A5,RegCaseNo,0))="N","Bail / Bond Records; ","")&amp;IF(INDEX(RegDoc8,MATCH($A5,RegCaseNo,0))="N","Judgment / Order; ","")))</f>
        <v/>
      </c>
      <c r="G5" s="32" t="inlineStr">
        <is>
          <t>Complete documentary stamp requirements before filing</t>
        </is>
      </c>
      <c r="H5" s="30" t="inlineStr">
        <is>
          <t>Investigator P. Reyes</t>
        </is>
      </c>
      <c r="I5" s="31" t="n">
        <v>46323</v>
      </c>
      <c r="J5" s="45">
        <f>IF($A5="","",IF(E5=1,"Complete",IF(AND(I5&lt;&gt;"",I5&lt;TODAY(),E5&lt;1),"Follow-up overdue",IF(E5&gt;=0.75,"Minor gaps","Action needed"))))</f>
        <v/>
      </c>
    </row>
    <row r="6" ht="26" customHeight="1">
      <c r="A6" s="30" t="inlineStr">
        <is>
          <t>CC-2025-0010</t>
        </is>
      </c>
      <c r="B6" s="43">
        <f>IFERROR(IF($A6="","",INDEX(RegTitle,MATCH($A6,RegCaseNo,0))),"Case no. not found")</f>
        <v/>
      </c>
      <c r="C6" s="44">
        <f>IF($A6="","",SUMPRODUCT((RegCaseNo=$A6)*((RegDoc1="Y")+(RegDoc2="Y")+(RegDoc3="Y")+(RegDoc4="Y")+(RegDoc5="Y")+(RegDoc6="Y")+(RegDoc7="Y")+(RegDoc8="Y"))))</f>
        <v/>
      </c>
      <c r="D6" s="44">
        <f>IF($A6="","",SUMPRODUCT((RegCaseNo=$A6)*((RegDoc1="N")+(RegDoc2="N")+(RegDoc3="N")+(RegDoc4="N")+(RegDoc5="N")+(RegDoc6="N")+(RegDoc7="N")+(RegDoc8="N"))))</f>
        <v/>
      </c>
      <c r="E6" s="47">
        <f>IFERROR(IF($A6="","",C6/(C6+D6)),0)</f>
        <v/>
      </c>
      <c r="F6" s="43">
        <f>IF($A6="","",TRIM(IF(INDEX(RegDoc1,MATCH($A6,RegCaseNo,0))="N","Affidavit of Complaint; ","")&amp;IF(INDEX(RegDoc2,MATCH($A6,RegCaseNo,0))="N","Sworn Statements; ","")&amp;IF(INDEX(RegDoc3,MATCH($A6,RegCaseNo,0))="N","Police / Incident Report; ","")&amp;IF(INDEX(RegDoc4,MATCH($A6,RegCaseNo,0))="N","Evidence and Exhibits; ","")&amp;IF(INDEX(RegDoc5,MATCH($A6,RegCaseNo,0))="N","Resolution / Information; ","")&amp;IF(INDEX(RegDoc6,MATCH($A6,RegCaseNo,0))="N","Court Order / Docket; ","")&amp;IF(INDEX(RegDoc7,MATCH($A6,RegCaseNo,0))="N","Bail / Bond Records; ","")&amp;IF(INDEX(RegDoc8,MATCH($A6,RegCaseNo,0))="N","Judgment / Order; ","")))</f>
        <v/>
      </c>
      <c r="G6" s="32" t="inlineStr">
        <is>
          <t>Request bail records and judgment documents from branch clerk</t>
        </is>
      </c>
      <c r="H6" s="30" t="inlineStr">
        <is>
          <t>Atty. S. Navarro</t>
        </is>
      </c>
      <c r="I6" s="31" t="n">
        <v>46304</v>
      </c>
      <c r="J6" s="45">
        <f>IF($A6="","",IF(E6=1,"Complete",IF(AND(I6&lt;&gt;"",I6&lt;TODAY(),E6&lt;1),"Follow-up overdue",IF(E6&gt;=0.75,"Minor gaps","Action needed"))))</f>
        <v/>
      </c>
    </row>
    <row r="7" ht="26" customHeight="1">
      <c r="A7" s="30" t="inlineStr">
        <is>
          <t>CC-2025-0013</t>
        </is>
      </c>
      <c r="B7" s="43">
        <f>IFERROR(IF($A7="","",INDEX(RegTitle,MATCH($A7,RegCaseNo,0))),"Case no. not found")</f>
        <v/>
      </c>
      <c r="C7" s="44">
        <f>IF($A7="","",SUMPRODUCT((RegCaseNo=$A7)*((RegDoc1="Y")+(RegDoc2="Y")+(RegDoc3="Y")+(RegDoc4="Y")+(RegDoc5="Y")+(RegDoc6="Y")+(RegDoc7="Y")+(RegDoc8="Y"))))</f>
        <v/>
      </c>
      <c r="D7" s="44">
        <f>IF($A7="","",SUMPRODUCT((RegCaseNo=$A7)*((RegDoc1="N")+(RegDoc2="N")+(RegDoc3="N")+(RegDoc4="N")+(RegDoc5="N")+(RegDoc6="N")+(RegDoc7="N")+(RegDoc8="N"))))</f>
        <v/>
      </c>
      <c r="E7" s="47">
        <f>IFERROR(IF($A7="","",C7/(C7+D7)),0)</f>
        <v/>
      </c>
      <c r="F7" s="43">
        <f>IF($A7="","",TRIM(IF(INDEX(RegDoc1,MATCH($A7,RegCaseNo,0))="N","Affidavit of Complaint; ","")&amp;IF(INDEX(RegDoc2,MATCH($A7,RegCaseNo,0))="N","Sworn Statements; ","")&amp;IF(INDEX(RegDoc3,MATCH($A7,RegCaseNo,0))="N","Police / Incident Report; ","")&amp;IF(INDEX(RegDoc4,MATCH($A7,RegCaseNo,0))="N","Evidence and Exhibits; ","")&amp;IF(INDEX(RegDoc5,MATCH($A7,RegCaseNo,0))="N","Resolution / Information; ","")&amp;IF(INDEX(RegDoc6,MATCH($A7,RegCaseNo,0))="N","Court Order / Docket; ","")&amp;IF(INDEX(RegDoc7,MATCH($A7,RegCaseNo,0))="N","Bail / Bond Records; ","")&amp;IF(INDEX(RegDoc8,MATCH($A7,RegCaseNo,0))="N","Judgment / Order; ","")))</f>
        <v/>
      </c>
      <c r="G7" s="32" t="inlineStr">
        <is>
          <t>Obtain DSWD report and medical certificate of the child witness</t>
        </is>
      </c>
      <c r="H7" s="30" t="inlineStr">
        <is>
          <t>Atty. M. Fernandez</t>
        </is>
      </c>
      <c r="I7" s="31" t="n">
        <v>46330</v>
      </c>
      <c r="J7" s="45">
        <f>IF($A7="","",IF(E7=1,"Complete",IF(AND(I7&lt;&gt;"",I7&lt;TODAY(),E7&lt;1),"Follow-up overdue",IF(E7&gt;=0.75,"Minor gaps","Action needed"))))</f>
        <v/>
      </c>
    </row>
    <row r="8" ht="26" customHeight="1">
      <c r="A8" s="30" t="inlineStr">
        <is>
          <t>CC-2025-0015</t>
        </is>
      </c>
      <c r="B8" s="43">
        <f>IFERROR(IF($A8="","",INDEX(RegTitle,MATCH($A8,RegCaseNo,0))),"Case no. not found")</f>
        <v/>
      </c>
      <c r="C8" s="44">
        <f>IF($A8="","",SUMPRODUCT((RegCaseNo=$A8)*((RegDoc1="Y")+(RegDoc2="Y")+(RegDoc3="Y")+(RegDoc4="Y")+(RegDoc5="Y")+(RegDoc6="Y")+(RegDoc7="Y")+(RegDoc8="Y"))))</f>
        <v/>
      </c>
      <c r="D8" s="44">
        <f>IF($A8="","",SUMPRODUCT((RegCaseNo=$A8)*((RegDoc1="N")+(RegDoc2="N")+(RegDoc3="N")+(RegDoc4="N")+(RegDoc5="N")+(RegDoc6="N")+(RegDoc7="N")+(RegDoc8="N"))))</f>
        <v/>
      </c>
      <c r="E8" s="47">
        <f>IFERROR(IF($A8="","",C8/(C8+D8)),0)</f>
        <v/>
      </c>
      <c r="F8" s="43">
        <f>IF($A8="","",TRIM(IF(INDEX(RegDoc1,MATCH($A8,RegCaseNo,0))="N","Affidavit of Complaint; ","")&amp;IF(INDEX(RegDoc2,MATCH($A8,RegCaseNo,0))="N","Sworn Statements; ","")&amp;IF(INDEX(RegDoc3,MATCH($A8,RegCaseNo,0))="N","Police / Incident Report; ","")&amp;IF(INDEX(RegDoc4,MATCH($A8,RegCaseNo,0))="N","Evidence and Exhibits; ","")&amp;IF(INDEX(RegDoc5,MATCH($A8,RegCaseNo,0))="N","Resolution / Information; ","")&amp;IF(INDEX(RegDoc6,MATCH($A8,RegCaseNo,0))="N","Court Order / Docket; ","")&amp;IF(INDEX(RegDoc7,MATCH($A8,RegCaseNo,0))="N","Bail / Bond Records; ","")&amp;IF(INDEX(RegDoc8,MATCH($A8,RegCaseNo,0))="N","Judgment / Order; ","")))</f>
        <v/>
      </c>
      <c r="G8" s="32" t="inlineStr">
        <is>
          <t>Prepare affidavit of complaint and police report for filing</t>
        </is>
      </c>
      <c r="H8" s="30" t="inlineStr">
        <is>
          <t>Investigator L. Gomez</t>
        </is>
      </c>
      <c r="I8" s="31" t="n">
        <v>46321</v>
      </c>
      <c r="J8" s="45">
        <f>IF($A8="","",IF(E8=1,"Complete",IF(AND(I8&lt;&gt;"",I8&lt;TODAY(),E8&lt;1),"Follow-up overdue",IF(E8&gt;=0.75,"Minor gaps","Action needed"))))</f>
        <v/>
      </c>
    </row>
    <row r="9" ht="26" customHeight="1">
      <c r="A9" s="30" t="inlineStr">
        <is>
          <t>CC-2025-0016</t>
        </is>
      </c>
      <c r="B9" s="43">
        <f>IFERROR(IF($A9="","",INDEX(RegTitle,MATCH($A9,RegCaseNo,0))),"Case no. not found")</f>
        <v/>
      </c>
      <c r="C9" s="44">
        <f>IF($A9="","",SUMPRODUCT((RegCaseNo=$A9)*((RegDoc1="Y")+(RegDoc2="Y")+(RegDoc3="Y")+(RegDoc4="Y")+(RegDoc5="Y")+(RegDoc6="Y")+(RegDoc7="Y")+(RegDoc8="Y"))))</f>
        <v/>
      </c>
      <c r="D9" s="44">
        <f>IF($A9="","",SUMPRODUCT((RegCaseNo=$A9)*((RegDoc1="N")+(RegDoc2="N")+(RegDoc3="N")+(RegDoc4="N")+(RegDoc5="N")+(RegDoc6="N")+(RegDoc7="N")+(RegDoc8="N"))))</f>
        <v/>
      </c>
      <c r="E9" s="47">
        <f>IFERROR(IF($A9="","",C9/(C9+D9)),0)</f>
        <v/>
      </c>
      <c r="F9" s="43">
        <f>IF($A9="","",TRIM(IF(INDEX(RegDoc1,MATCH($A9,RegCaseNo,0))="N","Affidavit of Complaint; ","")&amp;IF(INDEX(RegDoc2,MATCH($A9,RegCaseNo,0))="N","Sworn Statements; ","")&amp;IF(INDEX(RegDoc3,MATCH($A9,RegCaseNo,0))="N","Police / Incident Report; ","")&amp;IF(INDEX(RegDoc4,MATCH($A9,RegCaseNo,0))="N","Evidence and Exhibits; ","")&amp;IF(INDEX(RegDoc5,MATCH($A9,RegCaseNo,0))="N","Resolution / Information; ","")&amp;IF(INDEX(RegDoc6,MATCH($A9,RegCaseNo,0))="N","Court Order / Docket; ","")&amp;IF(INDEX(RegDoc7,MATCH($A9,RegCaseNo,0))="N","Bail / Bond Records; ","")&amp;IF(INDEX(RegDoc8,MATCH($A9,RegCaseNo,0))="N","Judgment / Order; ","")))</f>
        <v/>
      </c>
      <c r="G9" s="32" t="inlineStr">
        <is>
          <t>Certify screenshots and preserve social media evidence</t>
        </is>
      </c>
      <c r="H9" s="30" t="inlineStr">
        <is>
          <t>Atty. S. Navarro</t>
        </is>
      </c>
      <c r="I9" s="31" t="n">
        <v>46325</v>
      </c>
      <c r="J9" s="45">
        <f>IF($A9="","",IF(E9=1,"Complete",IF(AND(I9&lt;&gt;"",I9&lt;TODAY(),E9&lt;1),"Follow-up overdue",IF(E9&gt;=0.75,"Minor gaps","Action needed"))))</f>
        <v/>
      </c>
    </row>
    <row r="10" ht="26" customHeight="1">
      <c r="A10" s="30" t="inlineStr">
        <is>
          <t>CC-2026-0021</t>
        </is>
      </c>
      <c r="B10" s="43">
        <f>IFERROR(IF($A10="","",INDEX(RegTitle,MATCH($A10,RegCaseNo,0))),"Case no. not found")</f>
        <v/>
      </c>
      <c r="C10" s="44">
        <f>IF($A10="","",SUMPRODUCT((RegCaseNo=$A10)*((RegDoc1="Y")+(RegDoc2="Y")+(RegDoc3="Y")+(RegDoc4="Y")+(RegDoc5="Y")+(RegDoc6="Y")+(RegDoc7="Y")+(RegDoc8="Y"))))</f>
        <v/>
      </c>
      <c r="D10" s="44">
        <f>IF($A10="","",SUMPRODUCT((RegCaseNo=$A10)*((RegDoc1="N")+(RegDoc2="N")+(RegDoc3="N")+(RegDoc4="N")+(RegDoc5="N")+(RegDoc6="N")+(RegDoc7="N")+(RegDoc8="N"))))</f>
        <v/>
      </c>
      <c r="E10" s="47">
        <f>IFERROR(IF($A10="","",C10/(C10+D10)),0)</f>
        <v/>
      </c>
      <c r="F10" s="43">
        <f>IF($A10="","",TRIM(IF(INDEX(RegDoc1,MATCH($A10,RegCaseNo,0))="N","Affidavit of Complaint; ","")&amp;IF(INDEX(RegDoc2,MATCH($A10,RegCaseNo,0))="N","Sworn Statements; ","")&amp;IF(INDEX(RegDoc3,MATCH($A10,RegCaseNo,0))="N","Police / Incident Report; ","")&amp;IF(INDEX(RegDoc4,MATCH($A10,RegCaseNo,0))="N","Evidence and Exhibits; ","")&amp;IF(INDEX(RegDoc5,MATCH($A10,RegCaseNo,0))="N","Resolution / Information; ","")&amp;IF(INDEX(RegDoc6,MATCH($A10,RegCaseNo,0))="N","Court Order / Docket; ","")&amp;IF(INDEX(RegDoc7,MATCH($A10,RegCaseNo,0))="N","Bail / Bond Records; ","")&amp;IF(INDEX(RegDoc8,MATCH($A10,RegCaseNo,0))="N","Judgment / Order; ","")))</f>
        <v/>
      </c>
      <c r="G10" s="32" t="inlineStr">
        <is>
          <t>Attach trafficking referral and victim statement</t>
        </is>
      </c>
      <c r="H10" s="30" t="inlineStr">
        <is>
          <t>Atty. S. Navarro</t>
        </is>
      </c>
      <c r="I10" s="31" t="n">
        <v>46314</v>
      </c>
      <c r="J10" s="45">
        <f>IF($A10="","",IF(E10=1,"Complete",IF(AND(I10&lt;&gt;"",I10&lt;TODAY(),E10&lt;1),"Follow-up overdue",IF(E10&gt;=0.75,"Minor gaps","Action needed"))))</f>
        <v/>
      </c>
    </row>
    <row r="11" ht="26" customHeight="1">
      <c r="A11" s="30" t="inlineStr">
        <is>
          <t>CC-2026-0026</t>
        </is>
      </c>
      <c r="B11" s="43">
        <f>IFERROR(IF($A11="","",INDEX(RegTitle,MATCH($A11,RegCaseNo,0))),"Case no. not found")</f>
        <v/>
      </c>
      <c r="C11" s="44">
        <f>IF($A11="","",SUMPRODUCT((RegCaseNo=$A11)*((RegDoc1="Y")+(RegDoc2="Y")+(RegDoc3="Y")+(RegDoc4="Y")+(RegDoc5="Y")+(RegDoc6="Y")+(RegDoc7="Y")+(RegDoc8="Y"))))</f>
        <v/>
      </c>
      <c r="D11" s="44">
        <f>IF($A11="","",SUMPRODUCT((RegCaseNo=$A11)*((RegDoc1="N")+(RegDoc2="N")+(RegDoc3="N")+(RegDoc4="N")+(RegDoc5="N")+(RegDoc6="N")+(RegDoc7="N")+(RegDoc8="N"))))</f>
        <v/>
      </c>
      <c r="E11" s="47">
        <f>IFERROR(IF($A11="","",C11/(C11+D11)),0)</f>
        <v/>
      </c>
      <c r="F11" s="43">
        <f>IF($A11="","",TRIM(IF(INDEX(RegDoc1,MATCH($A11,RegCaseNo,0))="N","Affidavit of Complaint; ","")&amp;IF(INDEX(RegDoc2,MATCH($A11,RegCaseNo,0))="N","Sworn Statements; ","")&amp;IF(INDEX(RegDoc3,MATCH($A11,RegCaseNo,0))="N","Police / Incident Report; ","")&amp;IF(INDEX(RegDoc4,MATCH($A11,RegCaseNo,0))="N","Evidence and Exhibits; ","")&amp;IF(INDEX(RegDoc5,MATCH($A11,RegCaseNo,0))="N","Resolution / Information; ","")&amp;IF(INDEX(RegDoc6,MATCH($A11,RegCaseNo,0))="N","Court Order / Docket; ","")&amp;IF(INDEX(RegDoc7,MATCH($A11,RegCaseNo,0))="N","Bail / Bond Records; ","")&amp;IF(INDEX(RegDoc8,MATCH($A11,RegCaseNo,0))="N","Judgment / Order; ","")))</f>
        <v/>
      </c>
      <c r="G11" s="32" t="inlineStr">
        <is>
          <t>Secure EMB monitoring report; recommend case review</t>
        </is>
      </c>
      <c r="H11" s="30" t="inlineStr">
        <is>
          <t>Investigator L. Gomez</t>
        </is>
      </c>
      <c r="I11" s="31" t="n">
        <v>46336</v>
      </c>
      <c r="J11" s="45">
        <f>IF($A11="","",IF(E11=1,"Complete",IF(AND(I11&lt;&gt;"",I11&lt;TODAY(),E11&lt;1),"Follow-up overdue",IF(E11&gt;=0.75,"Minor gaps","Action needed"))))</f>
        <v/>
      </c>
    </row>
    <row r="12" ht="26" customHeight="1">
      <c r="A12" s="30" t="n"/>
      <c r="B12" s="43">
        <f>IFERROR(IF($A12="","",INDEX(RegTitle,MATCH($A12,RegCaseNo,0))),"Case no. not found")</f>
        <v/>
      </c>
      <c r="C12" s="44">
        <f>IF($A12="","",SUMPRODUCT((RegCaseNo=$A12)*((RegDoc1="Y")+(RegDoc2="Y")+(RegDoc3="Y")+(RegDoc4="Y")+(RegDoc5="Y")+(RegDoc6="Y")+(RegDoc7="Y")+(RegDoc8="Y"))))</f>
        <v/>
      </c>
      <c r="D12" s="44">
        <f>IF($A12="","",SUMPRODUCT((RegCaseNo=$A12)*((RegDoc1="N")+(RegDoc2="N")+(RegDoc3="N")+(RegDoc4="N")+(RegDoc5="N")+(RegDoc6="N")+(RegDoc7="N")+(RegDoc8="N"))))</f>
        <v/>
      </c>
      <c r="E12" s="47">
        <f>IFERROR(IF($A12="","",C12/(C12+D12)),0)</f>
        <v/>
      </c>
      <c r="F12" s="43">
        <f>IF($A12="","",TRIM(IF(INDEX(RegDoc1,MATCH($A12,RegCaseNo,0))="N","Affidavit of Complaint; ","")&amp;IF(INDEX(RegDoc2,MATCH($A12,RegCaseNo,0))="N","Sworn Statements; ","")&amp;IF(INDEX(RegDoc3,MATCH($A12,RegCaseNo,0))="N","Police / Incident Report; ","")&amp;IF(INDEX(RegDoc4,MATCH($A12,RegCaseNo,0))="N","Evidence and Exhibits; ","")&amp;IF(INDEX(RegDoc5,MATCH($A12,RegCaseNo,0))="N","Resolution / Information; ","")&amp;IF(INDEX(RegDoc6,MATCH($A12,RegCaseNo,0))="N","Court Order / Docket; ","")&amp;IF(INDEX(RegDoc7,MATCH($A12,RegCaseNo,0))="N","Bail / Bond Records; ","")&amp;IF(INDEX(RegDoc8,MATCH($A12,RegCaseNo,0))="N","Judgment / Order; ","")))</f>
        <v/>
      </c>
      <c r="G12" s="32" t="n"/>
      <c r="H12" s="30" t="n"/>
      <c r="I12" s="31" t="n"/>
      <c r="J12" s="45">
        <f>IF($A12="","",IF(E12=1,"Complete",IF(AND(I12&lt;&gt;"",I12&lt;TODAY(),E12&lt;1),"Follow-up overdue",IF(E12&gt;=0.75,"Minor gaps","Action needed"))))</f>
        <v/>
      </c>
    </row>
    <row r="13" ht="26" customHeight="1">
      <c r="A13" s="30" t="n"/>
      <c r="B13" s="43">
        <f>IFERROR(IF($A13="","",INDEX(RegTitle,MATCH($A13,RegCaseNo,0))),"Case no. not found")</f>
        <v/>
      </c>
      <c r="C13" s="44">
        <f>IF($A13="","",SUMPRODUCT((RegCaseNo=$A13)*((RegDoc1="Y")+(RegDoc2="Y")+(RegDoc3="Y")+(RegDoc4="Y")+(RegDoc5="Y")+(RegDoc6="Y")+(RegDoc7="Y")+(RegDoc8="Y"))))</f>
        <v/>
      </c>
      <c r="D13" s="44">
        <f>IF($A13="","",SUMPRODUCT((RegCaseNo=$A13)*((RegDoc1="N")+(RegDoc2="N")+(RegDoc3="N")+(RegDoc4="N")+(RegDoc5="N")+(RegDoc6="N")+(RegDoc7="N")+(RegDoc8="N"))))</f>
        <v/>
      </c>
      <c r="E13" s="47">
        <f>IFERROR(IF($A13="","",C13/(C13+D13)),0)</f>
        <v/>
      </c>
      <c r="F13" s="43">
        <f>IF($A13="","",TRIM(IF(INDEX(RegDoc1,MATCH($A13,RegCaseNo,0))="N","Affidavit of Complaint; ","")&amp;IF(INDEX(RegDoc2,MATCH($A13,RegCaseNo,0))="N","Sworn Statements; ","")&amp;IF(INDEX(RegDoc3,MATCH($A13,RegCaseNo,0))="N","Police / Incident Report; ","")&amp;IF(INDEX(RegDoc4,MATCH($A13,RegCaseNo,0))="N","Evidence and Exhibits; ","")&amp;IF(INDEX(RegDoc5,MATCH($A13,RegCaseNo,0))="N","Resolution / Information; ","")&amp;IF(INDEX(RegDoc6,MATCH($A13,RegCaseNo,0))="N","Court Order / Docket; ","")&amp;IF(INDEX(RegDoc7,MATCH($A13,RegCaseNo,0))="N","Bail / Bond Records; ","")&amp;IF(INDEX(RegDoc8,MATCH($A13,RegCaseNo,0))="N","Judgment / Order; ","")))</f>
        <v/>
      </c>
      <c r="G13" s="32" t="n"/>
      <c r="H13" s="30" t="n"/>
      <c r="I13" s="31" t="n"/>
      <c r="J13" s="45">
        <f>IF($A13="","",IF(E13=1,"Complete",IF(AND(I13&lt;&gt;"",I13&lt;TODAY(),E13&lt;1),"Follow-up overdue",IF(E13&gt;=0.75,"Minor gaps","Action needed"))))</f>
        <v/>
      </c>
    </row>
    <row r="14" ht="26" customHeight="1">
      <c r="A14" s="30" t="n"/>
      <c r="B14" s="43">
        <f>IFERROR(IF($A14="","",INDEX(RegTitle,MATCH($A14,RegCaseNo,0))),"Case no. not found")</f>
        <v/>
      </c>
      <c r="C14" s="44">
        <f>IF($A14="","",SUMPRODUCT((RegCaseNo=$A14)*((RegDoc1="Y")+(RegDoc2="Y")+(RegDoc3="Y")+(RegDoc4="Y")+(RegDoc5="Y")+(RegDoc6="Y")+(RegDoc7="Y")+(RegDoc8="Y"))))</f>
        <v/>
      </c>
      <c r="D14" s="44">
        <f>IF($A14="","",SUMPRODUCT((RegCaseNo=$A14)*((RegDoc1="N")+(RegDoc2="N")+(RegDoc3="N")+(RegDoc4="N")+(RegDoc5="N")+(RegDoc6="N")+(RegDoc7="N")+(RegDoc8="N"))))</f>
        <v/>
      </c>
      <c r="E14" s="47">
        <f>IFERROR(IF($A14="","",C14/(C14+D14)),0)</f>
        <v/>
      </c>
      <c r="F14" s="43">
        <f>IF($A14="","",TRIM(IF(INDEX(RegDoc1,MATCH($A14,RegCaseNo,0))="N","Affidavit of Complaint; ","")&amp;IF(INDEX(RegDoc2,MATCH($A14,RegCaseNo,0))="N","Sworn Statements; ","")&amp;IF(INDEX(RegDoc3,MATCH($A14,RegCaseNo,0))="N","Police / Incident Report; ","")&amp;IF(INDEX(RegDoc4,MATCH($A14,RegCaseNo,0))="N","Evidence and Exhibits; ","")&amp;IF(INDEX(RegDoc5,MATCH($A14,RegCaseNo,0))="N","Resolution / Information; ","")&amp;IF(INDEX(RegDoc6,MATCH($A14,RegCaseNo,0))="N","Court Order / Docket; ","")&amp;IF(INDEX(RegDoc7,MATCH($A14,RegCaseNo,0))="N","Bail / Bond Records; ","")&amp;IF(INDEX(RegDoc8,MATCH($A14,RegCaseNo,0))="N","Judgment / Order; ","")))</f>
        <v/>
      </c>
      <c r="G14" s="32" t="n"/>
      <c r="H14" s="30" t="n"/>
      <c r="I14" s="31" t="n"/>
      <c r="J14" s="45">
        <f>IF($A14="","",IF(E14=1,"Complete",IF(AND(I14&lt;&gt;"",I14&lt;TODAY(),E14&lt;1),"Follow-up overdue",IF(E14&gt;=0.75,"Minor gaps","Action needed"))))</f>
        <v/>
      </c>
    </row>
    <row r="15" ht="26" customHeight="1">
      <c r="A15" s="30" t="n"/>
      <c r="B15" s="43">
        <f>IFERROR(IF($A15="","",INDEX(RegTitle,MATCH($A15,RegCaseNo,0))),"Case no. not found")</f>
        <v/>
      </c>
      <c r="C15" s="44">
        <f>IF($A15="","",SUMPRODUCT((RegCaseNo=$A15)*((RegDoc1="Y")+(RegDoc2="Y")+(RegDoc3="Y")+(RegDoc4="Y")+(RegDoc5="Y")+(RegDoc6="Y")+(RegDoc7="Y")+(RegDoc8="Y"))))</f>
        <v/>
      </c>
      <c r="D15" s="44">
        <f>IF($A15="","",SUMPRODUCT((RegCaseNo=$A15)*((RegDoc1="N")+(RegDoc2="N")+(RegDoc3="N")+(RegDoc4="N")+(RegDoc5="N")+(RegDoc6="N")+(RegDoc7="N")+(RegDoc8="N"))))</f>
        <v/>
      </c>
      <c r="E15" s="47">
        <f>IFERROR(IF($A15="","",C15/(C15+D15)),0)</f>
        <v/>
      </c>
      <c r="F15" s="43">
        <f>IF($A15="","",TRIM(IF(INDEX(RegDoc1,MATCH($A15,RegCaseNo,0))="N","Affidavit of Complaint; ","")&amp;IF(INDEX(RegDoc2,MATCH($A15,RegCaseNo,0))="N","Sworn Statements; ","")&amp;IF(INDEX(RegDoc3,MATCH($A15,RegCaseNo,0))="N","Police / Incident Report; ","")&amp;IF(INDEX(RegDoc4,MATCH($A15,RegCaseNo,0))="N","Evidence and Exhibits; ","")&amp;IF(INDEX(RegDoc5,MATCH($A15,RegCaseNo,0))="N","Resolution / Information; ","")&amp;IF(INDEX(RegDoc6,MATCH($A15,RegCaseNo,0))="N","Court Order / Docket; ","")&amp;IF(INDEX(RegDoc7,MATCH($A15,RegCaseNo,0))="N","Bail / Bond Records; ","")&amp;IF(INDEX(RegDoc8,MATCH($A15,RegCaseNo,0))="N","Judgment / Order; ","")))</f>
        <v/>
      </c>
      <c r="G15" s="32" t="n"/>
      <c r="H15" s="30" t="n"/>
      <c r="I15" s="31" t="n"/>
      <c r="J15" s="45">
        <f>IF($A15="","",IF(E15=1,"Complete",IF(AND(I15&lt;&gt;"",I15&lt;TODAY(),E15&lt;1),"Follow-up overdue",IF(E15&gt;=0.75,"Minor gaps","Action needed"))))</f>
        <v/>
      </c>
    </row>
    <row r="16" ht="26" customHeight="1">
      <c r="A16" s="30" t="n"/>
      <c r="B16" s="43">
        <f>IFERROR(IF($A16="","",INDEX(RegTitle,MATCH($A16,RegCaseNo,0))),"Case no. not found")</f>
        <v/>
      </c>
      <c r="C16" s="44">
        <f>IF($A16="","",SUMPRODUCT((RegCaseNo=$A16)*((RegDoc1="Y")+(RegDoc2="Y")+(RegDoc3="Y")+(RegDoc4="Y")+(RegDoc5="Y")+(RegDoc6="Y")+(RegDoc7="Y")+(RegDoc8="Y"))))</f>
        <v/>
      </c>
      <c r="D16" s="44">
        <f>IF($A16="","",SUMPRODUCT((RegCaseNo=$A16)*((RegDoc1="N")+(RegDoc2="N")+(RegDoc3="N")+(RegDoc4="N")+(RegDoc5="N")+(RegDoc6="N")+(RegDoc7="N")+(RegDoc8="N"))))</f>
        <v/>
      </c>
      <c r="E16" s="47">
        <f>IFERROR(IF($A16="","",C16/(C16+D16)),0)</f>
        <v/>
      </c>
      <c r="F16" s="43">
        <f>IF($A16="","",TRIM(IF(INDEX(RegDoc1,MATCH($A16,RegCaseNo,0))="N","Affidavit of Complaint; ","")&amp;IF(INDEX(RegDoc2,MATCH($A16,RegCaseNo,0))="N","Sworn Statements; ","")&amp;IF(INDEX(RegDoc3,MATCH($A16,RegCaseNo,0))="N","Police / Incident Report; ","")&amp;IF(INDEX(RegDoc4,MATCH($A16,RegCaseNo,0))="N","Evidence and Exhibits; ","")&amp;IF(INDEX(RegDoc5,MATCH($A16,RegCaseNo,0))="N","Resolution / Information; ","")&amp;IF(INDEX(RegDoc6,MATCH($A16,RegCaseNo,0))="N","Court Order / Docket; ","")&amp;IF(INDEX(RegDoc7,MATCH($A16,RegCaseNo,0))="N","Bail / Bond Records; ","")&amp;IF(INDEX(RegDoc8,MATCH($A16,RegCaseNo,0))="N","Judgment / Order; ","")))</f>
        <v/>
      </c>
      <c r="G16" s="32" t="n"/>
      <c r="H16" s="30" t="n"/>
      <c r="I16" s="31" t="n"/>
      <c r="J16" s="45">
        <f>IF($A16="","",IF(E16=1,"Complete",IF(AND(I16&lt;&gt;"",I16&lt;TODAY(),E16&lt;1),"Follow-up overdue",IF(E16&gt;=0.75,"Minor gaps","Action needed"))))</f>
        <v/>
      </c>
    </row>
    <row r="17" ht="26" customHeight="1">
      <c r="A17" s="30" t="n"/>
      <c r="B17" s="43">
        <f>IFERROR(IF($A17="","",INDEX(RegTitle,MATCH($A17,RegCaseNo,0))),"Case no. not found")</f>
        <v/>
      </c>
      <c r="C17" s="44">
        <f>IF($A17="","",SUMPRODUCT((RegCaseNo=$A17)*((RegDoc1="Y")+(RegDoc2="Y")+(RegDoc3="Y")+(RegDoc4="Y")+(RegDoc5="Y")+(RegDoc6="Y")+(RegDoc7="Y")+(RegDoc8="Y"))))</f>
        <v/>
      </c>
      <c r="D17" s="44">
        <f>IF($A17="","",SUMPRODUCT((RegCaseNo=$A17)*((RegDoc1="N")+(RegDoc2="N")+(RegDoc3="N")+(RegDoc4="N")+(RegDoc5="N")+(RegDoc6="N")+(RegDoc7="N")+(RegDoc8="N"))))</f>
        <v/>
      </c>
      <c r="E17" s="47">
        <f>IFERROR(IF($A17="","",C17/(C17+D17)),0)</f>
        <v/>
      </c>
      <c r="F17" s="43">
        <f>IF($A17="","",TRIM(IF(INDEX(RegDoc1,MATCH($A17,RegCaseNo,0))="N","Affidavit of Complaint; ","")&amp;IF(INDEX(RegDoc2,MATCH($A17,RegCaseNo,0))="N","Sworn Statements; ","")&amp;IF(INDEX(RegDoc3,MATCH($A17,RegCaseNo,0))="N","Police / Incident Report; ","")&amp;IF(INDEX(RegDoc4,MATCH($A17,RegCaseNo,0))="N","Evidence and Exhibits; ","")&amp;IF(INDEX(RegDoc5,MATCH($A17,RegCaseNo,0))="N","Resolution / Information; ","")&amp;IF(INDEX(RegDoc6,MATCH($A17,RegCaseNo,0))="N","Court Order / Docket; ","")&amp;IF(INDEX(RegDoc7,MATCH($A17,RegCaseNo,0))="N","Bail / Bond Records; ","")&amp;IF(INDEX(RegDoc8,MATCH($A17,RegCaseNo,0))="N","Judgment / Order; ","")))</f>
        <v/>
      </c>
      <c r="G17" s="32" t="n"/>
      <c r="H17" s="30" t="n"/>
      <c r="I17" s="31" t="n"/>
      <c r="J17" s="45">
        <f>IF($A17="","",IF(E17=1,"Complete",IF(AND(I17&lt;&gt;"",I17&lt;TODAY(),E17&lt;1),"Follow-up overdue",IF(E17&gt;=0.75,"Minor gaps","Action needed"))))</f>
        <v/>
      </c>
    </row>
    <row r="18" ht="26" customHeight="1">
      <c r="A18" s="30" t="n"/>
      <c r="B18" s="43">
        <f>IFERROR(IF($A18="","",INDEX(RegTitle,MATCH($A18,RegCaseNo,0))),"Case no. not found")</f>
        <v/>
      </c>
      <c r="C18" s="44">
        <f>IF($A18="","",SUMPRODUCT((RegCaseNo=$A18)*((RegDoc1="Y")+(RegDoc2="Y")+(RegDoc3="Y")+(RegDoc4="Y")+(RegDoc5="Y")+(RegDoc6="Y")+(RegDoc7="Y")+(RegDoc8="Y"))))</f>
        <v/>
      </c>
      <c r="D18" s="44">
        <f>IF($A18="","",SUMPRODUCT((RegCaseNo=$A18)*((RegDoc1="N")+(RegDoc2="N")+(RegDoc3="N")+(RegDoc4="N")+(RegDoc5="N")+(RegDoc6="N")+(RegDoc7="N")+(RegDoc8="N"))))</f>
        <v/>
      </c>
      <c r="E18" s="47">
        <f>IFERROR(IF($A18="","",C18/(C18+D18)),0)</f>
        <v/>
      </c>
      <c r="F18" s="43">
        <f>IF($A18="","",TRIM(IF(INDEX(RegDoc1,MATCH($A18,RegCaseNo,0))="N","Affidavit of Complaint; ","")&amp;IF(INDEX(RegDoc2,MATCH($A18,RegCaseNo,0))="N","Sworn Statements; ","")&amp;IF(INDEX(RegDoc3,MATCH($A18,RegCaseNo,0))="N","Police / Incident Report; ","")&amp;IF(INDEX(RegDoc4,MATCH($A18,RegCaseNo,0))="N","Evidence and Exhibits; ","")&amp;IF(INDEX(RegDoc5,MATCH($A18,RegCaseNo,0))="N","Resolution / Information; ","")&amp;IF(INDEX(RegDoc6,MATCH($A18,RegCaseNo,0))="N","Court Order / Docket; ","")&amp;IF(INDEX(RegDoc7,MATCH($A18,RegCaseNo,0))="N","Bail / Bond Records; ","")&amp;IF(INDEX(RegDoc8,MATCH($A18,RegCaseNo,0))="N","Judgment / Order; ","")))</f>
        <v/>
      </c>
      <c r="G18" s="32" t="n"/>
      <c r="H18" s="30" t="n"/>
      <c r="I18" s="31" t="n"/>
      <c r="J18" s="45">
        <f>IF($A18="","",IF(E18=1,"Complete",IF(AND(I18&lt;&gt;"",I18&lt;TODAY(),E18&lt;1),"Follow-up overdue",IF(E18&gt;=0.75,"Minor gaps","Action needed"))))</f>
        <v/>
      </c>
    </row>
    <row r="19" ht="26" customHeight="1">
      <c r="A19" s="30" t="n"/>
      <c r="B19" s="43">
        <f>IFERROR(IF($A19="","",INDEX(RegTitle,MATCH($A19,RegCaseNo,0))),"Case no. not found")</f>
        <v/>
      </c>
      <c r="C19" s="44">
        <f>IF($A19="","",SUMPRODUCT((RegCaseNo=$A19)*((RegDoc1="Y")+(RegDoc2="Y")+(RegDoc3="Y")+(RegDoc4="Y")+(RegDoc5="Y")+(RegDoc6="Y")+(RegDoc7="Y")+(RegDoc8="Y"))))</f>
        <v/>
      </c>
      <c r="D19" s="44">
        <f>IF($A19="","",SUMPRODUCT((RegCaseNo=$A19)*((RegDoc1="N")+(RegDoc2="N")+(RegDoc3="N")+(RegDoc4="N")+(RegDoc5="N")+(RegDoc6="N")+(RegDoc7="N")+(RegDoc8="N"))))</f>
        <v/>
      </c>
      <c r="E19" s="47">
        <f>IFERROR(IF($A19="","",C19/(C19+D19)),0)</f>
        <v/>
      </c>
      <c r="F19" s="43">
        <f>IF($A19="","",TRIM(IF(INDEX(RegDoc1,MATCH($A19,RegCaseNo,0))="N","Affidavit of Complaint; ","")&amp;IF(INDEX(RegDoc2,MATCH($A19,RegCaseNo,0))="N","Sworn Statements; ","")&amp;IF(INDEX(RegDoc3,MATCH($A19,RegCaseNo,0))="N","Police / Incident Report; ","")&amp;IF(INDEX(RegDoc4,MATCH($A19,RegCaseNo,0))="N","Evidence and Exhibits; ","")&amp;IF(INDEX(RegDoc5,MATCH($A19,RegCaseNo,0))="N","Resolution / Information; ","")&amp;IF(INDEX(RegDoc6,MATCH($A19,RegCaseNo,0))="N","Court Order / Docket; ","")&amp;IF(INDEX(RegDoc7,MATCH($A19,RegCaseNo,0))="N","Bail / Bond Records; ","")&amp;IF(INDEX(RegDoc8,MATCH($A19,RegCaseNo,0))="N","Judgment / Order; ","")))</f>
        <v/>
      </c>
      <c r="G19" s="32" t="n"/>
      <c r="H19" s="30" t="n"/>
      <c r="I19" s="31" t="n"/>
      <c r="J19" s="45">
        <f>IF($A19="","",IF(E19=1,"Complete",IF(AND(I19&lt;&gt;"",I19&lt;TODAY(),E19&lt;1),"Follow-up overdue",IF(E19&gt;=0.75,"Minor gaps","Action needed"))))</f>
        <v/>
      </c>
    </row>
    <row r="20" ht="26" customHeight="1">
      <c r="A20" s="30" t="n"/>
      <c r="B20" s="43">
        <f>IFERROR(IF($A20="","",INDEX(RegTitle,MATCH($A20,RegCaseNo,0))),"Case no. not found")</f>
        <v/>
      </c>
      <c r="C20" s="44">
        <f>IF($A20="","",SUMPRODUCT((RegCaseNo=$A20)*((RegDoc1="Y")+(RegDoc2="Y")+(RegDoc3="Y")+(RegDoc4="Y")+(RegDoc5="Y")+(RegDoc6="Y")+(RegDoc7="Y")+(RegDoc8="Y"))))</f>
        <v/>
      </c>
      <c r="D20" s="44">
        <f>IF($A20="","",SUMPRODUCT((RegCaseNo=$A20)*((RegDoc1="N")+(RegDoc2="N")+(RegDoc3="N")+(RegDoc4="N")+(RegDoc5="N")+(RegDoc6="N")+(RegDoc7="N")+(RegDoc8="N"))))</f>
        <v/>
      </c>
      <c r="E20" s="47">
        <f>IFERROR(IF($A20="","",C20/(C20+D20)),0)</f>
        <v/>
      </c>
      <c r="F20" s="43">
        <f>IF($A20="","",TRIM(IF(INDEX(RegDoc1,MATCH($A20,RegCaseNo,0))="N","Affidavit of Complaint; ","")&amp;IF(INDEX(RegDoc2,MATCH($A20,RegCaseNo,0))="N","Sworn Statements; ","")&amp;IF(INDEX(RegDoc3,MATCH($A20,RegCaseNo,0))="N","Police / Incident Report; ","")&amp;IF(INDEX(RegDoc4,MATCH($A20,RegCaseNo,0))="N","Evidence and Exhibits; ","")&amp;IF(INDEX(RegDoc5,MATCH($A20,RegCaseNo,0))="N","Resolution / Information; ","")&amp;IF(INDEX(RegDoc6,MATCH($A20,RegCaseNo,0))="N","Court Order / Docket; ","")&amp;IF(INDEX(RegDoc7,MATCH($A20,RegCaseNo,0))="N","Bail / Bond Records; ","")&amp;IF(INDEX(RegDoc8,MATCH($A20,RegCaseNo,0))="N","Judgment / Order; ","")))</f>
        <v/>
      </c>
      <c r="G20" s="32" t="n"/>
      <c r="H20" s="30" t="n"/>
      <c r="I20" s="31" t="n"/>
      <c r="J20" s="45">
        <f>IF($A20="","",IF(E20=1,"Complete",IF(AND(I20&lt;&gt;"",I20&lt;TODAY(),E20&lt;1),"Follow-up overdue",IF(E20&gt;=0.75,"Minor gaps","Action needed"))))</f>
        <v/>
      </c>
    </row>
    <row r="21" ht="26" customHeight="1">
      <c r="A21" s="30" t="n"/>
      <c r="B21" s="43">
        <f>IFERROR(IF($A21="","",INDEX(RegTitle,MATCH($A21,RegCaseNo,0))),"Case no. not found")</f>
        <v/>
      </c>
      <c r="C21" s="44">
        <f>IF($A21="","",SUMPRODUCT((RegCaseNo=$A21)*((RegDoc1="Y")+(RegDoc2="Y")+(RegDoc3="Y")+(RegDoc4="Y")+(RegDoc5="Y")+(RegDoc6="Y")+(RegDoc7="Y")+(RegDoc8="Y"))))</f>
        <v/>
      </c>
      <c r="D21" s="44">
        <f>IF($A21="","",SUMPRODUCT((RegCaseNo=$A21)*((RegDoc1="N")+(RegDoc2="N")+(RegDoc3="N")+(RegDoc4="N")+(RegDoc5="N")+(RegDoc6="N")+(RegDoc7="N")+(RegDoc8="N"))))</f>
        <v/>
      </c>
      <c r="E21" s="47">
        <f>IFERROR(IF($A21="","",C21/(C21+D21)),0)</f>
        <v/>
      </c>
      <c r="F21" s="43">
        <f>IF($A21="","",TRIM(IF(INDEX(RegDoc1,MATCH($A21,RegCaseNo,0))="N","Affidavit of Complaint; ","")&amp;IF(INDEX(RegDoc2,MATCH($A21,RegCaseNo,0))="N","Sworn Statements; ","")&amp;IF(INDEX(RegDoc3,MATCH($A21,RegCaseNo,0))="N","Police / Incident Report; ","")&amp;IF(INDEX(RegDoc4,MATCH($A21,RegCaseNo,0))="N","Evidence and Exhibits; ","")&amp;IF(INDEX(RegDoc5,MATCH($A21,RegCaseNo,0))="N","Resolution / Information; ","")&amp;IF(INDEX(RegDoc6,MATCH($A21,RegCaseNo,0))="N","Court Order / Docket; ","")&amp;IF(INDEX(RegDoc7,MATCH($A21,RegCaseNo,0))="N","Bail / Bond Records; ","")&amp;IF(INDEX(RegDoc8,MATCH($A21,RegCaseNo,0))="N","Judgment / Order; ","")))</f>
        <v/>
      </c>
      <c r="G21" s="32" t="n"/>
      <c r="H21" s="30" t="n"/>
      <c r="I21" s="31" t="n"/>
      <c r="J21" s="45">
        <f>IF($A21="","",IF(E21=1,"Complete",IF(AND(I21&lt;&gt;"",I21&lt;TODAY(),E21&lt;1),"Follow-up overdue",IF(E21&gt;=0.75,"Minor gaps","Action needed"))))</f>
        <v/>
      </c>
    </row>
    <row r="22" ht="26" customHeight="1">
      <c r="A22" s="30" t="n"/>
      <c r="B22" s="43">
        <f>IFERROR(IF($A22="","",INDEX(RegTitle,MATCH($A22,RegCaseNo,0))),"Case no. not found")</f>
        <v/>
      </c>
      <c r="C22" s="44">
        <f>IF($A22="","",SUMPRODUCT((RegCaseNo=$A22)*((RegDoc1="Y")+(RegDoc2="Y")+(RegDoc3="Y")+(RegDoc4="Y")+(RegDoc5="Y")+(RegDoc6="Y")+(RegDoc7="Y")+(RegDoc8="Y"))))</f>
        <v/>
      </c>
      <c r="D22" s="44">
        <f>IF($A22="","",SUMPRODUCT((RegCaseNo=$A22)*((RegDoc1="N")+(RegDoc2="N")+(RegDoc3="N")+(RegDoc4="N")+(RegDoc5="N")+(RegDoc6="N")+(RegDoc7="N")+(RegDoc8="N"))))</f>
        <v/>
      </c>
      <c r="E22" s="47">
        <f>IFERROR(IF($A22="","",C22/(C22+D22)),0)</f>
        <v/>
      </c>
      <c r="F22" s="43">
        <f>IF($A22="","",TRIM(IF(INDEX(RegDoc1,MATCH($A22,RegCaseNo,0))="N","Affidavit of Complaint; ","")&amp;IF(INDEX(RegDoc2,MATCH($A22,RegCaseNo,0))="N","Sworn Statements; ","")&amp;IF(INDEX(RegDoc3,MATCH($A22,RegCaseNo,0))="N","Police / Incident Report; ","")&amp;IF(INDEX(RegDoc4,MATCH($A22,RegCaseNo,0))="N","Evidence and Exhibits; ","")&amp;IF(INDEX(RegDoc5,MATCH($A22,RegCaseNo,0))="N","Resolution / Information; ","")&amp;IF(INDEX(RegDoc6,MATCH($A22,RegCaseNo,0))="N","Court Order / Docket; ","")&amp;IF(INDEX(RegDoc7,MATCH($A22,RegCaseNo,0))="N","Bail / Bond Records; ","")&amp;IF(INDEX(RegDoc8,MATCH($A22,RegCaseNo,0))="N","Judgment / Order; ","")))</f>
        <v/>
      </c>
      <c r="G22" s="32" t="n"/>
      <c r="H22" s="30" t="n"/>
      <c r="I22" s="31" t="n"/>
      <c r="J22" s="45">
        <f>IF($A22="","",IF(E22=1,"Complete",IF(AND(I22&lt;&gt;"",I22&lt;TODAY(),E22&lt;1),"Follow-up overdue",IF(E22&gt;=0.75,"Minor gaps","Action needed"))))</f>
        <v/>
      </c>
    </row>
    <row r="23" ht="26" customHeight="1">
      <c r="A23" s="30" t="n"/>
      <c r="B23" s="43">
        <f>IFERROR(IF($A23="","",INDEX(RegTitle,MATCH($A23,RegCaseNo,0))),"Case no. not found")</f>
        <v/>
      </c>
      <c r="C23" s="44">
        <f>IF($A23="","",SUMPRODUCT((RegCaseNo=$A23)*((RegDoc1="Y")+(RegDoc2="Y")+(RegDoc3="Y")+(RegDoc4="Y")+(RegDoc5="Y")+(RegDoc6="Y")+(RegDoc7="Y")+(RegDoc8="Y"))))</f>
        <v/>
      </c>
      <c r="D23" s="44">
        <f>IF($A23="","",SUMPRODUCT((RegCaseNo=$A23)*((RegDoc1="N")+(RegDoc2="N")+(RegDoc3="N")+(RegDoc4="N")+(RegDoc5="N")+(RegDoc6="N")+(RegDoc7="N")+(RegDoc8="N"))))</f>
        <v/>
      </c>
      <c r="E23" s="47">
        <f>IFERROR(IF($A23="","",C23/(C23+D23)),0)</f>
        <v/>
      </c>
      <c r="F23" s="43">
        <f>IF($A23="","",TRIM(IF(INDEX(RegDoc1,MATCH($A23,RegCaseNo,0))="N","Affidavit of Complaint; ","")&amp;IF(INDEX(RegDoc2,MATCH($A23,RegCaseNo,0))="N","Sworn Statements; ","")&amp;IF(INDEX(RegDoc3,MATCH($A23,RegCaseNo,0))="N","Police / Incident Report; ","")&amp;IF(INDEX(RegDoc4,MATCH($A23,RegCaseNo,0))="N","Evidence and Exhibits; ","")&amp;IF(INDEX(RegDoc5,MATCH($A23,RegCaseNo,0))="N","Resolution / Information; ","")&amp;IF(INDEX(RegDoc6,MATCH($A23,RegCaseNo,0))="N","Court Order / Docket; ","")&amp;IF(INDEX(RegDoc7,MATCH($A23,RegCaseNo,0))="N","Bail / Bond Records; ","")&amp;IF(INDEX(RegDoc8,MATCH($A23,RegCaseNo,0))="N","Judgment / Order; ","")))</f>
        <v/>
      </c>
      <c r="G23" s="32" t="n"/>
      <c r="H23" s="30" t="n"/>
      <c r="I23" s="31" t="n"/>
      <c r="J23" s="45">
        <f>IF($A23="","",IF(E23=1,"Complete",IF(AND(I23&lt;&gt;"",I23&lt;TODAY(),E23&lt;1),"Follow-up overdue",IF(E23&gt;=0.75,"Minor gaps","Action needed"))))</f>
        <v/>
      </c>
    </row>
    <row r="24" ht="26" customHeight="1">
      <c r="A24" s="30" t="n"/>
      <c r="B24" s="43">
        <f>IFERROR(IF($A24="","",INDEX(RegTitle,MATCH($A24,RegCaseNo,0))),"Case no. not found")</f>
        <v/>
      </c>
      <c r="C24" s="44">
        <f>IF($A24="","",SUMPRODUCT((RegCaseNo=$A24)*((RegDoc1="Y")+(RegDoc2="Y")+(RegDoc3="Y")+(RegDoc4="Y")+(RegDoc5="Y")+(RegDoc6="Y")+(RegDoc7="Y")+(RegDoc8="Y"))))</f>
        <v/>
      </c>
      <c r="D24" s="44">
        <f>IF($A24="","",SUMPRODUCT((RegCaseNo=$A24)*((RegDoc1="N")+(RegDoc2="N")+(RegDoc3="N")+(RegDoc4="N")+(RegDoc5="N")+(RegDoc6="N")+(RegDoc7="N")+(RegDoc8="N"))))</f>
        <v/>
      </c>
      <c r="E24" s="47">
        <f>IFERROR(IF($A24="","",C24/(C24+D24)),0)</f>
        <v/>
      </c>
      <c r="F24" s="43">
        <f>IF($A24="","",TRIM(IF(INDEX(RegDoc1,MATCH($A24,RegCaseNo,0))="N","Affidavit of Complaint; ","")&amp;IF(INDEX(RegDoc2,MATCH($A24,RegCaseNo,0))="N","Sworn Statements; ","")&amp;IF(INDEX(RegDoc3,MATCH($A24,RegCaseNo,0))="N","Police / Incident Report; ","")&amp;IF(INDEX(RegDoc4,MATCH($A24,RegCaseNo,0))="N","Evidence and Exhibits; ","")&amp;IF(INDEX(RegDoc5,MATCH($A24,RegCaseNo,0))="N","Resolution / Information; ","")&amp;IF(INDEX(RegDoc6,MATCH($A24,RegCaseNo,0))="N","Court Order / Docket; ","")&amp;IF(INDEX(RegDoc7,MATCH($A24,RegCaseNo,0))="N","Bail / Bond Records; ","")&amp;IF(INDEX(RegDoc8,MATCH($A24,RegCaseNo,0))="N","Judgment / Order; ","")))</f>
        <v/>
      </c>
      <c r="G24" s="32" t="n"/>
      <c r="H24" s="30" t="n"/>
      <c r="I24" s="31" t="n"/>
      <c r="J24" s="45">
        <f>IF($A24="","",IF(E24=1,"Complete",IF(AND(I24&lt;&gt;"",I24&lt;TODAY(),E24&lt;1),"Follow-up overdue",IF(E24&gt;=0.75,"Minor gaps","Action needed"))))</f>
        <v/>
      </c>
    </row>
    <row r="25" ht="26" customHeight="1">
      <c r="A25" s="30" t="n"/>
      <c r="B25" s="43">
        <f>IFERROR(IF($A25="","",INDEX(RegTitle,MATCH($A25,RegCaseNo,0))),"Case no. not found")</f>
        <v/>
      </c>
      <c r="C25" s="44">
        <f>IF($A25="","",SUMPRODUCT((RegCaseNo=$A25)*((RegDoc1="Y")+(RegDoc2="Y")+(RegDoc3="Y")+(RegDoc4="Y")+(RegDoc5="Y")+(RegDoc6="Y")+(RegDoc7="Y")+(RegDoc8="Y"))))</f>
        <v/>
      </c>
      <c r="D25" s="44">
        <f>IF($A25="","",SUMPRODUCT((RegCaseNo=$A25)*((RegDoc1="N")+(RegDoc2="N")+(RegDoc3="N")+(RegDoc4="N")+(RegDoc5="N")+(RegDoc6="N")+(RegDoc7="N")+(RegDoc8="N"))))</f>
        <v/>
      </c>
      <c r="E25" s="47">
        <f>IFERROR(IF($A25="","",C25/(C25+D25)),0)</f>
        <v/>
      </c>
      <c r="F25" s="43">
        <f>IF($A25="","",TRIM(IF(INDEX(RegDoc1,MATCH($A25,RegCaseNo,0))="N","Affidavit of Complaint; ","")&amp;IF(INDEX(RegDoc2,MATCH($A25,RegCaseNo,0))="N","Sworn Statements; ","")&amp;IF(INDEX(RegDoc3,MATCH($A25,RegCaseNo,0))="N","Police / Incident Report; ","")&amp;IF(INDEX(RegDoc4,MATCH($A25,RegCaseNo,0))="N","Evidence and Exhibits; ","")&amp;IF(INDEX(RegDoc5,MATCH($A25,RegCaseNo,0))="N","Resolution / Information; ","")&amp;IF(INDEX(RegDoc6,MATCH($A25,RegCaseNo,0))="N","Court Order / Docket; ","")&amp;IF(INDEX(RegDoc7,MATCH($A25,RegCaseNo,0))="N","Bail / Bond Records; ","")&amp;IF(INDEX(RegDoc8,MATCH($A25,RegCaseNo,0))="N","Judgment / Order; ","")))</f>
        <v/>
      </c>
      <c r="G25" s="32" t="n"/>
      <c r="H25" s="30" t="n"/>
      <c r="I25" s="31" t="n"/>
      <c r="J25" s="45">
        <f>IF($A25="","",IF(E25=1,"Complete",IF(AND(I25&lt;&gt;"",I25&lt;TODAY(),E25&lt;1),"Follow-up overdue",IF(E25&gt;=0.75,"Minor gaps","Action needed"))))</f>
        <v/>
      </c>
    </row>
    <row r="26" ht="26" customHeight="1">
      <c r="A26" s="30" t="n"/>
      <c r="B26" s="43">
        <f>IFERROR(IF($A26="","",INDEX(RegTitle,MATCH($A26,RegCaseNo,0))),"Case no. not found")</f>
        <v/>
      </c>
      <c r="C26" s="44">
        <f>IF($A26="","",SUMPRODUCT((RegCaseNo=$A26)*((RegDoc1="Y")+(RegDoc2="Y")+(RegDoc3="Y")+(RegDoc4="Y")+(RegDoc5="Y")+(RegDoc6="Y")+(RegDoc7="Y")+(RegDoc8="Y"))))</f>
        <v/>
      </c>
      <c r="D26" s="44">
        <f>IF($A26="","",SUMPRODUCT((RegCaseNo=$A26)*((RegDoc1="N")+(RegDoc2="N")+(RegDoc3="N")+(RegDoc4="N")+(RegDoc5="N")+(RegDoc6="N")+(RegDoc7="N")+(RegDoc8="N"))))</f>
        <v/>
      </c>
      <c r="E26" s="47">
        <f>IFERROR(IF($A26="","",C26/(C26+D26)),0)</f>
        <v/>
      </c>
      <c r="F26" s="43">
        <f>IF($A26="","",TRIM(IF(INDEX(RegDoc1,MATCH($A26,RegCaseNo,0))="N","Affidavit of Complaint; ","")&amp;IF(INDEX(RegDoc2,MATCH($A26,RegCaseNo,0))="N","Sworn Statements; ","")&amp;IF(INDEX(RegDoc3,MATCH($A26,RegCaseNo,0))="N","Police / Incident Report; ","")&amp;IF(INDEX(RegDoc4,MATCH($A26,RegCaseNo,0))="N","Evidence and Exhibits; ","")&amp;IF(INDEX(RegDoc5,MATCH($A26,RegCaseNo,0))="N","Resolution / Information; ","")&amp;IF(INDEX(RegDoc6,MATCH($A26,RegCaseNo,0))="N","Court Order / Docket; ","")&amp;IF(INDEX(RegDoc7,MATCH($A26,RegCaseNo,0))="N","Bail / Bond Records; ","")&amp;IF(INDEX(RegDoc8,MATCH($A26,RegCaseNo,0))="N","Judgment / Order; ","")))</f>
        <v/>
      </c>
      <c r="G26" s="32" t="n"/>
      <c r="H26" s="30" t="n"/>
      <c r="I26" s="31" t="n"/>
      <c r="J26" s="45">
        <f>IF($A26="","",IF(E26=1,"Complete",IF(AND(I26&lt;&gt;"",I26&lt;TODAY(),E26&lt;1),"Follow-up overdue",IF(E26&gt;=0.75,"Minor gaps","Action needed"))))</f>
        <v/>
      </c>
    </row>
    <row r="27" ht="26" customHeight="1">
      <c r="A27" s="30" t="n"/>
      <c r="B27" s="43">
        <f>IFERROR(IF($A27="","",INDEX(RegTitle,MATCH($A27,RegCaseNo,0))),"Case no. not found")</f>
        <v/>
      </c>
      <c r="C27" s="44">
        <f>IF($A27="","",SUMPRODUCT((RegCaseNo=$A27)*((RegDoc1="Y")+(RegDoc2="Y")+(RegDoc3="Y")+(RegDoc4="Y")+(RegDoc5="Y")+(RegDoc6="Y")+(RegDoc7="Y")+(RegDoc8="Y"))))</f>
        <v/>
      </c>
      <c r="D27" s="44">
        <f>IF($A27="","",SUMPRODUCT((RegCaseNo=$A27)*((RegDoc1="N")+(RegDoc2="N")+(RegDoc3="N")+(RegDoc4="N")+(RegDoc5="N")+(RegDoc6="N")+(RegDoc7="N")+(RegDoc8="N"))))</f>
        <v/>
      </c>
      <c r="E27" s="47">
        <f>IFERROR(IF($A27="","",C27/(C27+D27)),0)</f>
        <v/>
      </c>
      <c r="F27" s="43">
        <f>IF($A27="","",TRIM(IF(INDEX(RegDoc1,MATCH($A27,RegCaseNo,0))="N","Affidavit of Complaint; ","")&amp;IF(INDEX(RegDoc2,MATCH($A27,RegCaseNo,0))="N","Sworn Statements; ","")&amp;IF(INDEX(RegDoc3,MATCH($A27,RegCaseNo,0))="N","Police / Incident Report; ","")&amp;IF(INDEX(RegDoc4,MATCH($A27,RegCaseNo,0))="N","Evidence and Exhibits; ","")&amp;IF(INDEX(RegDoc5,MATCH($A27,RegCaseNo,0))="N","Resolution / Information; ","")&amp;IF(INDEX(RegDoc6,MATCH($A27,RegCaseNo,0))="N","Court Order / Docket; ","")&amp;IF(INDEX(RegDoc7,MATCH($A27,RegCaseNo,0))="N","Bail / Bond Records; ","")&amp;IF(INDEX(RegDoc8,MATCH($A27,RegCaseNo,0))="N","Judgment / Order; ","")))</f>
        <v/>
      </c>
      <c r="G27" s="32" t="n"/>
      <c r="H27" s="30" t="n"/>
      <c r="I27" s="31" t="n"/>
      <c r="J27" s="45">
        <f>IF($A27="","",IF(E27=1,"Complete",IF(AND(I27&lt;&gt;"",I27&lt;TODAY(),E27&lt;1),"Follow-up overdue",IF(E27&gt;=0.75,"Minor gaps","Action needed"))))</f>
        <v/>
      </c>
    </row>
    <row r="28" ht="26" customHeight="1">
      <c r="A28" s="30" t="n"/>
      <c r="B28" s="43">
        <f>IFERROR(IF($A28="","",INDEX(RegTitle,MATCH($A28,RegCaseNo,0))),"Case no. not found")</f>
        <v/>
      </c>
      <c r="C28" s="44">
        <f>IF($A28="","",SUMPRODUCT((RegCaseNo=$A28)*((RegDoc1="Y")+(RegDoc2="Y")+(RegDoc3="Y")+(RegDoc4="Y")+(RegDoc5="Y")+(RegDoc6="Y")+(RegDoc7="Y")+(RegDoc8="Y"))))</f>
        <v/>
      </c>
      <c r="D28" s="44">
        <f>IF($A28="","",SUMPRODUCT((RegCaseNo=$A28)*((RegDoc1="N")+(RegDoc2="N")+(RegDoc3="N")+(RegDoc4="N")+(RegDoc5="N")+(RegDoc6="N")+(RegDoc7="N")+(RegDoc8="N"))))</f>
        <v/>
      </c>
      <c r="E28" s="47">
        <f>IFERROR(IF($A28="","",C28/(C28+D28)),0)</f>
        <v/>
      </c>
      <c r="F28" s="43">
        <f>IF($A28="","",TRIM(IF(INDEX(RegDoc1,MATCH($A28,RegCaseNo,0))="N","Affidavit of Complaint; ","")&amp;IF(INDEX(RegDoc2,MATCH($A28,RegCaseNo,0))="N","Sworn Statements; ","")&amp;IF(INDEX(RegDoc3,MATCH($A28,RegCaseNo,0))="N","Police / Incident Report; ","")&amp;IF(INDEX(RegDoc4,MATCH($A28,RegCaseNo,0))="N","Evidence and Exhibits; ","")&amp;IF(INDEX(RegDoc5,MATCH($A28,RegCaseNo,0))="N","Resolution / Information; ","")&amp;IF(INDEX(RegDoc6,MATCH($A28,RegCaseNo,0))="N","Court Order / Docket; ","")&amp;IF(INDEX(RegDoc7,MATCH($A28,RegCaseNo,0))="N","Bail / Bond Records; ","")&amp;IF(INDEX(RegDoc8,MATCH($A28,RegCaseNo,0))="N","Judgment / Order; ","")))</f>
        <v/>
      </c>
      <c r="G28" s="32" t="n"/>
      <c r="H28" s="30" t="n"/>
      <c r="I28" s="31" t="n"/>
      <c r="J28" s="45">
        <f>IF($A28="","",IF(E28=1,"Complete",IF(AND(I28&lt;&gt;"",I28&lt;TODAY(),E28&lt;1),"Follow-up overdue",IF(E28&gt;=0.75,"Minor gaps","Action needed"))))</f>
        <v/>
      </c>
    </row>
    <row r="29" ht="26" customHeight="1">
      <c r="A29" s="30" t="n"/>
      <c r="B29" s="43">
        <f>IFERROR(IF($A29="","",INDEX(RegTitle,MATCH($A29,RegCaseNo,0))),"Case no. not found")</f>
        <v/>
      </c>
      <c r="C29" s="44">
        <f>IF($A29="","",SUMPRODUCT((RegCaseNo=$A29)*((RegDoc1="Y")+(RegDoc2="Y")+(RegDoc3="Y")+(RegDoc4="Y")+(RegDoc5="Y")+(RegDoc6="Y")+(RegDoc7="Y")+(RegDoc8="Y"))))</f>
        <v/>
      </c>
      <c r="D29" s="44">
        <f>IF($A29="","",SUMPRODUCT((RegCaseNo=$A29)*((RegDoc1="N")+(RegDoc2="N")+(RegDoc3="N")+(RegDoc4="N")+(RegDoc5="N")+(RegDoc6="N")+(RegDoc7="N")+(RegDoc8="N"))))</f>
        <v/>
      </c>
      <c r="E29" s="47">
        <f>IFERROR(IF($A29="","",C29/(C29+D29)),0)</f>
        <v/>
      </c>
      <c r="F29" s="43">
        <f>IF($A29="","",TRIM(IF(INDEX(RegDoc1,MATCH($A29,RegCaseNo,0))="N","Affidavit of Complaint; ","")&amp;IF(INDEX(RegDoc2,MATCH($A29,RegCaseNo,0))="N","Sworn Statements; ","")&amp;IF(INDEX(RegDoc3,MATCH($A29,RegCaseNo,0))="N","Police / Incident Report; ","")&amp;IF(INDEX(RegDoc4,MATCH($A29,RegCaseNo,0))="N","Evidence and Exhibits; ","")&amp;IF(INDEX(RegDoc5,MATCH($A29,RegCaseNo,0))="N","Resolution / Information; ","")&amp;IF(INDEX(RegDoc6,MATCH($A29,RegCaseNo,0))="N","Court Order / Docket; ","")&amp;IF(INDEX(RegDoc7,MATCH($A29,RegCaseNo,0))="N","Bail / Bond Records; ","")&amp;IF(INDEX(RegDoc8,MATCH($A29,RegCaseNo,0))="N","Judgment / Order; ","")))</f>
        <v/>
      </c>
      <c r="G29" s="32" t="n"/>
      <c r="H29" s="30" t="n"/>
      <c r="I29" s="31" t="n"/>
      <c r="J29" s="45">
        <f>IF($A29="","",IF(E29=1,"Complete",IF(AND(I29&lt;&gt;"",I29&lt;TODAY(),E29&lt;1),"Follow-up overdue",IF(E29&gt;=0.75,"Minor gaps","Action needed"))))</f>
        <v/>
      </c>
    </row>
    <row r="30" ht="26" customHeight="1">
      <c r="A30" s="30" t="n"/>
      <c r="B30" s="43">
        <f>IFERROR(IF($A30="","",INDEX(RegTitle,MATCH($A30,RegCaseNo,0))),"Case no. not found")</f>
        <v/>
      </c>
      <c r="C30" s="44">
        <f>IF($A30="","",SUMPRODUCT((RegCaseNo=$A30)*((RegDoc1="Y")+(RegDoc2="Y")+(RegDoc3="Y")+(RegDoc4="Y")+(RegDoc5="Y")+(RegDoc6="Y")+(RegDoc7="Y")+(RegDoc8="Y"))))</f>
        <v/>
      </c>
      <c r="D30" s="44">
        <f>IF($A30="","",SUMPRODUCT((RegCaseNo=$A30)*((RegDoc1="N")+(RegDoc2="N")+(RegDoc3="N")+(RegDoc4="N")+(RegDoc5="N")+(RegDoc6="N")+(RegDoc7="N")+(RegDoc8="N"))))</f>
        <v/>
      </c>
      <c r="E30" s="47">
        <f>IFERROR(IF($A30="","",C30/(C30+D30)),0)</f>
        <v/>
      </c>
      <c r="F30" s="43">
        <f>IF($A30="","",TRIM(IF(INDEX(RegDoc1,MATCH($A30,RegCaseNo,0))="N","Affidavit of Complaint; ","")&amp;IF(INDEX(RegDoc2,MATCH($A30,RegCaseNo,0))="N","Sworn Statements; ","")&amp;IF(INDEX(RegDoc3,MATCH($A30,RegCaseNo,0))="N","Police / Incident Report; ","")&amp;IF(INDEX(RegDoc4,MATCH($A30,RegCaseNo,0))="N","Evidence and Exhibits; ","")&amp;IF(INDEX(RegDoc5,MATCH($A30,RegCaseNo,0))="N","Resolution / Information; ","")&amp;IF(INDEX(RegDoc6,MATCH($A30,RegCaseNo,0))="N","Court Order / Docket; ","")&amp;IF(INDEX(RegDoc7,MATCH($A30,RegCaseNo,0))="N","Bail / Bond Records; ","")&amp;IF(INDEX(RegDoc8,MATCH($A30,RegCaseNo,0))="N","Judgment / Order; ","")))</f>
        <v/>
      </c>
      <c r="G30" s="32" t="n"/>
      <c r="H30" s="30" t="n"/>
      <c r="I30" s="31" t="n"/>
      <c r="J30" s="45">
        <f>IF($A30="","",IF(E30=1,"Complete",IF(AND(I30&lt;&gt;"",I30&lt;TODAY(),E30&lt;1),"Follow-up overdue",IF(E30&gt;=0.75,"Minor gaps","Action needed"))))</f>
        <v/>
      </c>
    </row>
    <row r="31" ht="26" customHeight="1">
      <c r="A31" s="30" t="n"/>
      <c r="B31" s="43">
        <f>IFERROR(IF($A31="","",INDEX(RegTitle,MATCH($A31,RegCaseNo,0))),"Case no. not found")</f>
        <v/>
      </c>
      <c r="C31" s="44">
        <f>IF($A31="","",SUMPRODUCT((RegCaseNo=$A31)*((RegDoc1="Y")+(RegDoc2="Y")+(RegDoc3="Y")+(RegDoc4="Y")+(RegDoc5="Y")+(RegDoc6="Y")+(RegDoc7="Y")+(RegDoc8="Y"))))</f>
        <v/>
      </c>
      <c r="D31" s="44">
        <f>IF($A31="","",SUMPRODUCT((RegCaseNo=$A31)*((RegDoc1="N")+(RegDoc2="N")+(RegDoc3="N")+(RegDoc4="N")+(RegDoc5="N")+(RegDoc6="N")+(RegDoc7="N")+(RegDoc8="N"))))</f>
        <v/>
      </c>
      <c r="E31" s="47">
        <f>IFERROR(IF($A31="","",C31/(C31+D31)),0)</f>
        <v/>
      </c>
      <c r="F31" s="43">
        <f>IF($A31="","",TRIM(IF(INDEX(RegDoc1,MATCH($A31,RegCaseNo,0))="N","Affidavit of Complaint; ","")&amp;IF(INDEX(RegDoc2,MATCH($A31,RegCaseNo,0))="N","Sworn Statements; ","")&amp;IF(INDEX(RegDoc3,MATCH($A31,RegCaseNo,0))="N","Police / Incident Report; ","")&amp;IF(INDEX(RegDoc4,MATCH($A31,RegCaseNo,0))="N","Evidence and Exhibits; ","")&amp;IF(INDEX(RegDoc5,MATCH($A31,RegCaseNo,0))="N","Resolution / Information; ","")&amp;IF(INDEX(RegDoc6,MATCH($A31,RegCaseNo,0))="N","Court Order / Docket; ","")&amp;IF(INDEX(RegDoc7,MATCH($A31,RegCaseNo,0))="N","Bail / Bond Records; ","")&amp;IF(INDEX(RegDoc8,MATCH($A31,RegCaseNo,0))="N","Judgment / Order; ","")))</f>
        <v/>
      </c>
      <c r="G31" s="32" t="n"/>
      <c r="H31" s="30" t="n"/>
      <c r="I31" s="31" t="n"/>
      <c r="J31" s="45">
        <f>IF($A31="","",IF(E31=1,"Complete",IF(AND(I31&lt;&gt;"",I31&lt;TODAY(),E31&lt;1),"Follow-up overdue",IF(E31&gt;=0.75,"Minor gaps","Action needed"))))</f>
        <v/>
      </c>
    </row>
    <row r="32" ht="26" customHeight="1">
      <c r="A32" s="30" t="n"/>
      <c r="B32" s="43">
        <f>IFERROR(IF($A32="","",INDEX(RegTitle,MATCH($A32,RegCaseNo,0))),"Case no. not found")</f>
        <v/>
      </c>
      <c r="C32" s="44">
        <f>IF($A32="","",SUMPRODUCT((RegCaseNo=$A32)*((RegDoc1="Y")+(RegDoc2="Y")+(RegDoc3="Y")+(RegDoc4="Y")+(RegDoc5="Y")+(RegDoc6="Y")+(RegDoc7="Y")+(RegDoc8="Y"))))</f>
        <v/>
      </c>
      <c r="D32" s="44">
        <f>IF($A32="","",SUMPRODUCT((RegCaseNo=$A32)*((RegDoc1="N")+(RegDoc2="N")+(RegDoc3="N")+(RegDoc4="N")+(RegDoc5="N")+(RegDoc6="N")+(RegDoc7="N")+(RegDoc8="N"))))</f>
        <v/>
      </c>
      <c r="E32" s="47">
        <f>IFERROR(IF($A32="","",C32/(C32+D32)),0)</f>
        <v/>
      </c>
      <c r="F32" s="43">
        <f>IF($A32="","",TRIM(IF(INDEX(RegDoc1,MATCH($A32,RegCaseNo,0))="N","Affidavit of Complaint; ","")&amp;IF(INDEX(RegDoc2,MATCH($A32,RegCaseNo,0))="N","Sworn Statements; ","")&amp;IF(INDEX(RegDoc3,MATCH($A32,RegCaseNo,0))="N","Police / Incident Report; ","")&amp;IF(INDEX(RegDoc4,MATCH($A32,RegCaseNo,0))="N","Evidence and Exhibits; ","")&amp;IF(INDEX(RegDoc5,MATCH($A32,RegCaseNo,0))="N","Resolution / Information; ","")&amp;IF(INDEX(RegDoc6,MATCH($A32,RegCaseNo,0))="N","Court Order / Docket; ","")&amp;IF(INDEX(RegDoc7,MATCH($A32,RegCaseNo,0))="N","Bail / Bond Records; ","")&amp;IF(INDEX(RegDoc8,MATCH($A32,RegCaseNo,0))="N","Judgment / Order; ","")))</f>
        <v/>
      </c>
      <c r="G32" s="32" t="n"/>
      <c r="H32" s="30" t="n"/>
      <c r="I32" s="31" t="n"/>
      <c r="J32" s="45">
        <f>IF($A32="","",IF(E32=1,"Complete",IF(AND(I32&lt;&gt;"",I32&lt;TODAY(),E32&lt;1),"Follow-up overdue",IF(E32&gt;=0.75,"Minor gaps","Action needed"))))</f>
        <v/>
      </c>
    </row>
    <row r="33" ht="26" customHeight="1">
      <c r="A33" s="30" t="n"/>
      <c r="B33" s="43">
        <f>IFERROR(IF($A33="","",INDEX(RegTitle,MATCH($A33,RegCaseNo,0))),"Case no. not found")</f>
        <v/>
      </c>
      <c r="C33" s="44">
        <f>IF($A33="","",SUMPRODUCT((RegCaseNo=$A33)*((RegDoc1="Y")+(RegDoc2="Y")+(RegDoc3="Y")+(RegDoc4="Y")+(RegDoc5="Y")+(RegDoc6="Y")+(RegDoc7="Y")+(RegDoc8="Y"))))</f>
        <v/>
      </c>
      <c r="D33" s="44">
        <f>IF($A33="","",SUMPRODUCT((RegCaseNo=$A33)*((RegDoc1="N")+(RegDoc2="N")+(RegDoc3="N")+(RegDoc4="N")+(RegDoc5="N")+(RegDoc6="N")+(RegDoc7="N")+(RegDoc8="N"))))</f>
        <v/>
      </c>
      <c r="E33" s="47">
        <f>IFERROR(IF($A33="","",C33/(C33+D33)),0)</f>
        <v/>
      </c>
      <c r="F33" s="43">
        <f>IF($A33="","",TRIM(IF(INDEX(RegDoc1,MATCH($A33,RegCaseNo,0))="N","Affidavit of Complaint; ","")&amp;IF(INDEX(RegDoc2,MATCH($A33,RegCaseNo,0))="N","Sworn Statements; ","")&amp;IF(INDEX(RegDoc3,MATCH($A33,RegCaseNo,0))="N","Police / Incident Report; ","")&amp;IF(INDEX(RegDoc4,MATCH($A33,RegCaseNo,0))="N","Evidence and Exhibits; ","")&amp;IF(INDEX(RegDoc5,MATCH($A33,RegCaseNo,0))="N","Resolution / Information; ","")&amp;IF(INDEX(RegDoc6,MATCH($A33,RegCaseNo,0))="N","Court Order / Docket; ","")&amp;IF(INDEX(RegDoc7,MATCH($A33,RegCaseNo,0))="N","Bail / Bond Records; ","")&amp;IF(INDEX(RegDoc8,MATCH($A33,RegCaseNo,0))="N","Judgment / Order; ","")))</f>
        <v/>
      </c>
      <c r="G33" s="32" t="n"/>
      <c r="H33" s="30" t="n"/>
      <c r="I33" s="31" t="n"/>
      <c r="J33" s="45">
        <f>IF($A33="","",IF(E33=1,"Complete",IF(AND(I33&lt;&gt;"",I33&lt;TODAY(),E33&lt;1),"Follow-up overdue",IF(E33&gt;=0.75,"Minor gaps","Action needed"))))</f>
        <v/>
      </c>
    </row>
    <row r="34" ht="26" customHeight="1">
      <c r="A34" s="30" t="n"/>
      <c r="B34" s="43">
        <f>IFERROR(IF($A34="","",INDEX(RegTitle,MATCH($A34,RegCaseNo,0))),"Case no. not found")</f>
        <v/>
      </c>
      <c r="C34" s="44">
        <f>IF($A34="","",SUMPRODUCT((RegCaseNo=$A34)*((RegDoc1="Y")+(RegDoc2="Y")+(RegDoc3="Y")+(RegDoc4="Y")+(RegDoc5="Y")+(RegDoc6="Y")+(RegDoc7="Y")+(RegDoc8="Y"))))</f>
        <v/>
      </c>
      <c r="D34" s="44">
        <f>IF($A34="","",SUMPRODUCT((RegCaseNo=$A34)*((RegDoc1="N")+(RegDoc2="N")+(RegDoc3="N")+(RegDoc4="N")+(RegDoc5="N")+(RegDoc6="N")+(RegDoc7="N")+(RegDoc8="N"))))</f>
        <v/>
      </c>
      <c r="E34" s="47">
        <f>IFERROR(IF($A34="","",C34/(C34+D34)),0)</f>
        <v/>
      </c>
      <c r="F34" s="43">
        <f>IF($A34="","",TRIM(IF(INDEX(RegDoc1,MATCH($A34,RegCaseNo,0))="N","Affidavit of Complaint; ","")&amp;IF(INDEX(RegDoc2,MATCH($A34,RegCaseNo,0))="N","Sworn Statements; ","")&amp;IF(INDEX(RegDoc3,MATCH($A34,RegCaseNo,0))="N","Police / Incident Report; ","")&amp;IF(INDEX(RegDoc4,MATCH($A34,RegCaseNo,0))="N","Evidence and Exhibits; ","")&amp;IF(INDEX(RegDoc5,MATCH($A34,RegCaseNo,0))="N","Resolution / Information; ","")&amp;IF(INDEX(RegDoc6,MATCH($A34,RegCaseNo,0))="N","Court Order / Docket; ","")&amp;IF(INDEX(RegDoc7,MATCH($A34,RegCaseNo,0))="N","Bail / Bond Records; ","")&amp;IF(INDEX(RegDoc8,MATCH($A34,RegCaseNo,0))="N","Judgment / Order; ","")))</f>
        <v/>
      </c>
      <c r="G34" s="32" t="n"/>
      <c r="H34" s="30" t="n"/>
      <c r="I34" s="31" t="n"/>
      <c r="J34" s="45">
        <f>IF($A34="","",IF(E34=1,"Complete",IF(AND(I34&lt;&gt;"",I34&lt;TODAY(),E34&lt;1),"Follow-up overdue",IF(E34&gt;=0.75,"Minor gaps","Action needed"))))</f>
        <v/>
      </c>
    </row>
    <row r="35" ht="26" customHeight="1">
      <c r="A35" s="30" t="n"/>
      <c r="B35" s="43">
        <f>IFERROR(IF($A35="","",INDEX(RegTitle,MATCH($A35,RegCaseNo,0))),"Case no. not found")</f>
        <v/>
      </c>
      <c r="C35" s="44">
        <f>IF($A35="","",SUMPRODUCT((RegCaseNo=$A35)*((RegDoc1="Y")+(RegDoc2="Y")+(RegDoc3="Y")+(RegDoc4="Y")+(RegDoc5="Y")+(RegDoc6="Y")+(RegDoc7="Y")+(RegDoc8="Y"))))</f>
        <v/>
      </c>
      <c r="D35" s="44">
        <f>IF($A35="","",SUMPRODUCT((RegCaseNo=$A35)*((RegDoc1="N")+(RegDoc2="N")+(RegDoc3="N")+(RegDoc4="N")+(RegDoc5="N")+(RegDoc6="N")+(RegDoc7="N")+(RegDoc8="N"))))</f>
        <v/>
      </c>
      <c r="E35" s="47">
        <f>IFERROR(IF($A35="","",C35/(C35+D35)),0)</f>
        <v/>
      </c>
      <c r="F35" s="43">
        <f>IF($A35="","",TRIM(IF(INDEX(RegDoc1,MATCH($A35,RegCaseNo,0))="N","Affidavit of Complaint; ","")&amp;IF(INDEX(RegDoc2,MATCH($A35,RegCaseNo,0))="N","Sworn Statements; ","")&amp;IF(INDEX(RegDoc3,MATCH($A35,RegCaseNo,0))="N","Police / Incident Report; ","")&amp;IF(INDEX(RegDoc4,MATCH($A35,RegCaseNo,0))="N","Evidence and Exhibits; ","")&amp;IF(INDEX(RegDoc5,MATCH($A35,RegCaseNo,0))="N","Resolution / Information; ","")&amp;IF(INDEX(RegDoc6,MATCH($A35,RegCaseNo,0))="N","Court Order / Docket; ","")&amp;IF(INDEX(RegDoc7,MATCH($A35,RegCaseNo,0))="N","Bail / Bond Records; ","")&amp;IF(INDEX(RegDoc8,MATCH($A35,RegCaseNo,0))="N","Judgment / Order; ","")))</f>
        <v/>
      </c>
      <c r="G35" s="32" t="n"/>
      <c r="H35" s="30" t="n"/>
      <c r="I35" s="31" t="n"/>
      <c r="J35" s="45">
        <f>IF($A35="","",IF(E35=1,"Complete",IF(AND(I35&lt;&gt;"",I35&lt;TODAY(),E35&lt;1),"Follow-up overdue",IF(E35&gt;=0.75,"Minor gaps","Action needed"))))</f>
        <v/>
      </c>
    </row>
    <row r="36" ht="26" customHeight="1">
      <c r="A36" s="30" t="n"/>
      <c r="B36" s="43">
        <f>IFERROR(IF($A36="","",INDEX(RegTitle,MATCH($A36,RegCaseNo,0))),"Case no. not found")</f>
        <v/>
      </c>
      <c r="C36" s="44">
        <f>IF($A36="","",SUMPRODUCT((RegCaseNo=$A36)*((RegDoc1="Y")+(RegDoc2="Y")+(RegDoc3="Y")+(RegDoc4="Y")+(RegDoc5="Y")+(RegDoc6="Y")+(RegDoc7="Y")+(RegDoc8="Y"))))</f>
        <v/>
      </c>
      <c r="D36" s="44">
        <f>IF($A36="","",SUMPRODUCT((RegCaseNo=$A36)*((RegDoc1="N")+(RegDoc2="N")+(RegDoc3="N")+(RegDoc4="N")+(RegDoc5="N")+(RegDoc6="N")+(RegDoc7="N")+(RegDoc8="N"))))</f>
        <v/>
      </c>
      <c r="E36" s="47">
        <f>IFERROR(IF($A36="","",C36/(C36+D36)),0)</f>
        <v/>
      </c>
      <c r="F36" s="43">
        <f>IF($A36="","",TRIM(IF(INDEX(RegDoc1,MATCH($A36,RegCaseNo,0))="N","Affidavit of Complaint; ","")&amp;IF(INDEX(RegDoc2,MATCH($A36,RegCaseNo,0))="N","Sworn Statements; ","")&amp;IF(INDEX(RegDoc3,MATCH($A36,RegCaseNo,0))="N","Police / Incident Report; ","")&amp;IF(INDEX(RegDoc4,MATCH($A36,RegCaseNo,0))="N","Evidence and Exhibits; ","")&amp;IF(INDEX(RegDoc5,MATCH($A36,RegCaseNo,0))="N","Resolution / Information; ","")&amp;IF(INDEX(RegDoc6,MATCH($A36,RegCaseNo,0))="N","Court Order / Docket; ","")&amp;IF(INDEX(RegDoc7,MATCH($A36,RegCaseNo,0))="N","Bail / Bond Records; ","")&amp;IF(INDEX(RegDoc8,MATCH($A36,RegCaseNo,0))="N","Judgment / Order; ","")))</f>
        <v/>
      </c>
      <c r="G36" s="32" t="n"/>
      <c r="H36" s="30" t="n"/>
      <c r="I36" s="31" t="n"/>
      <c r="J36" s="45">
        <f>IF($A36="","",IF(E36=1,"Complete",IF(AND(I36&lt;&gt;"",I36&lt;TODAY(),E36&lt;1),"Follow-up overdue",IF(E36&gt;=0.75,"Minor gaps","Action needed"))))</f>
        <v/>
      </c>
    </row>
    <row r="37" ht="26" customHeight="1">
      <c r="A37" s="30" t="n"/>
      <c r="B37" s="43">
        <f>IFERROR(IF($A37="","",INDEX(RegTitle,MATCH($A37,RegCaseNo,0))),"Case no. not found")</f>
        <v/>
      </c>
      <c r="C37" s="44">
        <f>IF($A37="","",SUMPRODUCT((RegCaseNo=$A37)*((RegDoc1="Y")+(RegDoc2="Y")+(RegDoc3="Y")+(RegDoc4="Y")+(RegDoc5="Y")+(RegDoc6="Y")+(RegDoc7="Y")+(RegDoc8="Y"))))</f>
        <v/>
      </c>
      <c r="D37" s="44">
        <f>IF($A37="","",SUMPRODUCT((RegCaseNo=$A37)*((RegDoc1="N")+(RegDoc2="N")+(RegDoc3="N")+(RegDoc4="N")+(RegDoc5="N")+(RegDoc6="N")+(RegDoc7="N")+(RegDoc8="N"))))</f>
        <v/>
      </c>
      <c r="E37" s="47">
        <f>IFERROR(IF($A37="","",C37/(C37+D37)),0)</f>
        <v/>
      </c>
      <c r="F37" s="43">
        <f>IF($A37="","",TRIM(IF(INDEX(RegDoc1,MATCH($A37,RegCaseNo,0))="N","Affidavit of Complaint; ","")&amp;IF(INDEX(RegDoc2,MATCH($A37,RegCaseNo,0))="N","Sworn Statements; ","")&amp;IF(INDEX(RegDoc3,MATCH($A37,RegCaseNo,0))="N","Police / Incident Report; ","")&amp;IF(INDEX(RegDoc4,MATCH($A37,RegCaseNo,0))="N","Evidence and Exhibits; ","")&amp;IF(INDEX(RegDoc5,MATCH($A37,RegCaseNo,0))="N","Resolution / Information; ","")&amp;IF(INDEX(RegDoc6,MATCH($A37,RegCaseNo,0))="N","Court Order / Docket; ","")&amp;IF(INDEX(RegDoc7,MATCH($A37,RegCaseNo,0))="N","Bail / Bond Records; ","")&amp;IF(INDEX(RegDoc8,MATCH($A37,RegCaseNo,0))="N","Judgment / Order; ","")))</f>
        <v/>
      </c>
      <c r="G37" s="32" t="n"/>
      <c r="H37" s="30" t="n"/>
      <c r="I37" s="31" t="n"/>
      <c r="J37" s="45">
        <f>IF($A37="","",IF(E37=1,"Complete",IF(AND(I37&lt;&gt;"",I37&lt;TODAY(),E37&lt;1),"Follow-up overdue",IF(E37&gt;=0.75,"Minor gaps","Action needed"))))</f>
        <v/>
      </c>
    </row>
    <row r="38" ht="26" customHeight="1">
      <c r="A38" s="30" t="n"/>
      <c r="B38" s="43">
        <f>IFERROR(IF($A38="","",INDEX(RegTitle,MATCH($A38,RegCaseNo,0))),"Case no. not found")</f>
        <v/>
      </c>
      <c r="C38" s="44">
        <f>IF($A38="","",SUMPRODUCT((RegCaseNo=$A38)*((RegDoc1="Y")+(RegDoc2="Y")+(RegDoc3="Y")+(RegDoc4="Y")+(RegDoc5="Y")+(RegDoc6="Y")+(RegDoc7="Y")+(RegDoc8="Y"))))</f>
        <v/>
      </c>
      <c r="D38" s="44">
        <f>IF($A38="","",SUMPRODUCT((RegCaseNo=$A38)*((RegDoc1="N")+(RegDoc2="N")+(RegDoc3="N")+(RegDoc4="N")+(RegDoc5="N")+(RegDoc6="N")+(RegDoc7="N")+(RegDoc8="N"))))</f>
        <v/>
      </c>
      <c r="E38" s="47">
        <f>IFERROR(IF($A38="","",C38/(C38+D38)),0)</f>
        <v/>
      </c>
      <c r="F38" s="43">
        <f>IF($A38="","",TRIM(IF(INDEX(RegDoc1,MATCH($A38,RegCaseNo,0))="N","Affidavit of Complaint; ","")&amp;IF(INDEX(RegDoc2,MATCH($A38,RegCaseNo,0))="N","Sworn Statements; ","")&amp;IF(INDEX(RegDoc3,MATCH($A38,RegCaseNo,0))="N","Police / Incident Report; ","")&amp;IF(INDEX(RegDoc4,MATCH($A38,RegCaseNo,0))="N","Evidence and Exhibits; ","")&amp;IF(INDEX(RegDoc5,MATCH($A38,RegCaseNo,0))="N","Resolution / Information; ","")&amp;IF(INDEX(RegDoc6,MATCH($A38,RegCaseNo,0))="N","Court Order / Docket; ","")&amp;IF(INDEX(RegDoc7,MATCH($A38,RegCaseNo,0))="N","Bail / Bond Records; ","")&amp;IF(INDEX(RegDoc8,MATCH($A38,RegCaseNo,0))="N","Judgment / Order; ","")))</f>
        <v/>
      </c>
      <c r="G38" s="32" t="n"/>
      <c r="H38" s="30" t="n"/>
      <c r="I38" s="31" t="n"/>
      <c r="J38" s="45">
        <f>IF($A38="","",IF(E38=1,"Complete",IF(AND(I38&lt;&gt;"",I38&lt;TODAY(),E38&lt;1),"Follow-up overdue",IF(E38&gt;=0.75,"Minor gaps","Action needed"))))</f>
        <v/>
      </c>
    </row>
    <row r="39" ht="26" customHeight="1">
      <c r="A39" s="30" t="n"/>
      <c r="B39" s="43">
        <f>IFERROR(IF($A39="","",INDEX(RegTitle,MATCH($A39,RegCaseNo,0))),"Case no. not found")</f>
        <v/>
      </c>
      <c r="C39" s="44">
        <f>IF($A39="","",SUMPRODUCT((RegCaseNo=$A39)*((RegDoc1="Y")+(RegDoc2="Y")+(RegDoc3="Y")+(RegDoc4="Y")+(RegDoc5="Y")+(RegDoc6="Y")+(RegDoc7="Y")+(RegDoc8="Y"))))</f>
        <v/>
      </c>
      <c r="D39" s="44">
        <f>IF($A39="","",SUMPRODUCT((RegCaseNo=$A39)*((RegDoc1="N")+(RegDoc2="N")+(RegDoc3="N")+(RegDoc4="N")+(RegDoc5="N")+(RegDoc6="N")+(RegDoc7="N")+(RegDoc8="N"))))</f>
        <v/>
      </c>
      <c r="E39" s="47">
        <f>IFERROR(IF($A39="","",C39/(C39+D39)),0)</f>
        <v/>
      </c>
      <c r="F39" s="43">
        <f>IF($A39="","",TRIM(IF(INDEX(RegDoc1,MATCH($A39,RegCaseNo,0))="N","Affidavit of Complaint; ","")&amp;IF(INDEX(RegDoc2,MATCH($A39,RegCaseNo,0))="N","Sworn Statements; ","")&amp;IF(INDEX(RegDoc3,MATCH($A39,RegCaseNo,0))="N","Police / Incident Report; ","")&amp;IF(INDEX(RegDoc4,MATCH($A39,RegCaseNo,0))="N","Evidence and Exhibits; ","")&amp;IF(INDEX(RegDoc5,MATCH($A39,RegCaseNo,0))="N","Resolution / Information; ","")&amp;IF(INDEX(RegDoc6,MATCH($A39,RegCaseNo,0))="N","Court Order / Docket; ","")&amp;IF(INDEX(RegDoc7,MATCH($A39,RegCaseNo,0))="N","Bail / Bond Records; ","")&amp;IF(INDEX(RegDoc8,MATCH($A39,RegCaseNo,0))="N","Judgment / Order; ","")))</f>
        <v/>
      </c>
      <c r="G39" s="32" t="n"/>
      <c r="H39" s="30" t="n"/>
      <c r="I39" s="31" t="n"/>
      <c r="J39" s="45">
        <f>IF($A39="","",IF(E39=1,"Complete",IF(AND(I39&lt;&gt;"",I39&lt;TODAY(),E39&lt;1),"Follow-up overdue",IF(E39&gt;=0.75,"Minor gaps","Action needed"))))</f>
        <v/>
      </c>
    </row>
    <row r="40" ht="26" customHeight="1">
      <c r="A40" s="30" t="n"/>
      <c r="B40" s="43">
        <f>IFERROR(IF($A40="","",INDEX(RegTitle,MATCH($A40,RegCaseNo,0))),"Case no. not found")</f>
        <v/>
      </c>
      <c r="C40" s="44">
        <f>IF($A40="","",SUMPRODUCT((RegCaseNo=$A40)*((RegDoc1="Y")+(RegDoc2="Y")+(RegDoc3="Y")+(RegDoc4="Y")+(RegDoc5="Y")+(RegDoc6="Y")+(RegDoc7="Y")+(RegDoc8="Y"))))</f>
        <v/>
      </c>
      <c r="D40" s="44">
        <f>IF($A40="","",SUMPRODUCT((RegCaseNo=$A40)*((RegDoc1="N")+(RegDoc2="N")+(RegDoc3="N")+(RegDoc4="N")+(RegDoc5="N")+(RegDoc6="N")+(RegDoc7="N")+(RegDoc8="N"))))</f>
        <v/>
      </c>
      <c r="E40" s="47">
        <f>IFERROR(IF($A40="","",C40/(C40+D40)),0)</f>
        <v/>
      </c>
      <c r="F40" s="43">
        <f>IF($A40="","",TRIM(IF(INDEX(RegDoc1,MATCH($A40,RegCaseNo,0))="N","Affidavit of Complaint; ","")&amp;IF(INDEX(RegDoc2,MATCH($A40,RegCaseNo,0))="N","Sworn Statements; ","")&amp;IF(INDEX(RegDoc3,MATCH($A40,RegCaseNo,0))="N","Police / Incident Report; ","")&amp;IF(INDEX(RegDoc4,MATCH($A40,RegCaseNo,0))="N","Evidence and Exhibits; ","")&amp;IF(INDEX(RegDoc5,MATCH($A40,RegCaseNo,0))="N","Resolution / Information; ","")&amp;IF(INDEX(RegDoc6,MATCH($A40,RegCaseNo,0))="N","Court Order / Docket; ","")&amp;IF(INDEX(RegDoc7,MATCH($A40,RegCaseNo,0))="N","Bail / Bond Records; ","")&amp;IF(INDEX(RegDoc8,MATCH($A40,RegCaseNo,0))="N","Judgment / Order; ","")))</f>
        <v/>
      </c>
      <c r="G40" s="32" t="n"/>
      <c r="H40" s="30" t="n"/>
      <c r="I40" s="31" t="n"/>
      <c r="J40" s="45">
        <f>IF($A40="","",IF(E40=1,"Complete",IF(AND(I40&lt;&gt;"",I40&lt;TODAY(),E40&lt;1),"Follow-up overdue",IF(E40&gt;=0.75,"Minor gaps","Action needed"))))</f>
        <v/>
      </c>
    </row>
    <row r="41" ht="26" customHeight="1">
      <c r="A41" s="30" t="n"/>
      <c r="B41" s="43">
        <f>IFERROR(IF($A41="","",INDEX(RegTitle,MATCH($A41,RegCaseNo,0))),"Case no. not found")</f>
        <v/>
      </c>
      <c r="C41" s="44">
        <f>IF($A41="","",SUMPRODUCT((RegCaseNo=$A41)*((RegDoc1="Y")+(RegDoc2="Y")+(RegDoc3="Y")+(RegDoc4="Y")+(RegDoc5="Y")+(RegDoc6="Y")+(RegDoc7="Y")+(RegDoc8="Y"))))</f>
        <v/>
      </c>
      <c r="D41" s="44">
        <f>IF($A41="","",SUMPRODUCT((RegCaseNo=$A41)*((RegDoc1="N")+(RegDoc2="N")+(RegDoc3="N")+(RegDoc4="N")+(RegDoc5="N")+(RegDoc6="N")+(RegDoc7="N")+(RegDoc8="N"))))</f>
        <v/>
      </c>
      <c r="E41" s="47">
        <f>IFERROR(IF($A41="","",C41/(C41+D41)),0)</f>
        <v/>
      </c>
      <c r="F41" s="43">
        <f>IF($A41="","",TRIM(IF(INDEX(RegDoc1,MATCH($A41,RegCaseNo,0))="N","Affidavit of Complaint; ","")&amp;IF(INDEX(RegDoc2,MATCH($A41,RegCaseNo,0))="N","Sworn Statements; ","")&amp;IF(INDEX(RegDoc3,MATCH($A41,RegCaseNo,0))="N","Police / Incident Report; ","")&amp;IF(INDEX(RegDoc4,MATCH($A41,RegCaseNo,0))="N","Evidence and Exhibits; ","")&amp;IF(INDEX(RegDoc5,MATCH($A41,RegCaseNo,0))="N","Resolution / Information; ","")&amp;IF(INDEX(RegDoc6,MATCH($A41,RegCaseNo,0))="N","Court Order / Docket; ","")&amp;IF(INDEX(RegDoc7,MATCH($A41,RegCaseNo,0))="N","Bail / Bond Records; ","")&amp;IF(INDEX(RegDoc8,MATCH($A41,RegCaseNo,0))="N","Judgment / Order; ","")))</f>
        <v/>
      </c>
      <c r="G41" s="32" t="n"/>
      <c r="H41" s="30" t="n"/>
      <c r="I41" s="31" t="n"/>
      <c r="J41" s="45">
        <f>IF($A41="","",IF(E41=1,"Complete",IF(AND(I41&lt;&gt;"",I41&lt;TODAY(),E41&lt;1),"Follow-up overdue",IF(E41&gt;=0.75,"Minor gaps","Action needed"))))</f>
        <v/>
      </c>
    </row>
    <row r="42" ht="26" customHeight="1">
      <c r="A42" s="30" t="n"/>
      <c r="B42" s="43">
        <f>IFERROR(IF($A42="","",INDEX(RegTitle,MATCH($A42,RegCaseNo,0))),"Case no. not found")</f>
        <v/>
      </c>
      <c r="C42" s="44">
        <f>IF($A42="","",SUMPRODUCT((RegCaseNo=$A42)*((RegDoc1="Y")+(RegDoc2="Y")+(RegDoc3="Y")+(RegDoc4="Y")+(RegDoc5="Y")+(RegDoc6="Y")+(RegDoc7="Y")+(RegDoc8="Y"))))</f>
        <v/>
      </c>
      <c r="D42" s="44">
        <f>IF($A42="","",SUMPRODUCT((RegCaseNo=$A42)*((RegDoc1="N")+(RegDoc2="N")+(RegDoc3="N")+(RegDoc4="N")+(RegDoc5="N")+(RegDoc6="N")+(RegDoc7="N")+(RegDoc8="N"))))</f>
        <v/>
      </c>
      <c r="E42" s="47">
        <f>IFERROR(IF($A42="","",C42/(C42+D42)),0)</f>
        <v/>
      </c>
      <c r="F42" s="43">
        <f>IF($A42="","",TRIM(IF(INDEX(RegDoc1,MATCH($A42,RegCaseNo,0))="N","Affidavit of Complaint; ","")&amp;IF(INDEX(RegDoc2,MATCH($A42,RegCaseNo,0))="N","Sworn Statements; ","")&amp;IF(INDEX(RegDoc3,MATCH($A42,RegCaseNo,0))="N","Police / Incident Report; ","")&amp;IF(INDEX(RegDoc4,MATCH($A42,RegCaseNo,0))="N","Evidence and Exhibits; ","")&amp;IF(INDEX(RegDoc5,MATCH($A42,RegCaseNo,0))="N","Resolution / Information; ","")&amp;IF(INDEX(RegDoc6,MATCH($A42,RegCaseNo,0))="N","Court Order / Docket; ","")&amp;IF(INDEX(RegDoc7,MATCH($A42,RegCaseNo,0))="N","Bail / Bond Records; ","")&amp;IF(INDEX(RegDoc8,MATCH($A42,RegCaseNo,0))="N","Judgment / Order; ","")))</f>
        <v/>
      </c>
      <c r="G42" s="32" t="n"/>
      <c r="H42" s="30" t="n"/>
      <c r="I42" s="31" t="n"/>
      <c r="J42" s="45">
        <f>IF($A42="","",IF(E42=1,"Complete",IF(AND(I42&lt;&gt;"",I42&lt;TODAY(),E42&lt;1),"Follow-up overdue",IF(E42&gt;=0.75,"Minor gaps","Action needed"))))</f>
        <v/>
      </c>
    </row>
    <row r="43" ht="26" customHeight="1">
      <c r="A43" s="30" t="n"/>
      <c r="B43" s="43">
        <f>IFERROR(IF($A43="","",INDEX(RegTitle,MATCH($A43,RegCaseNo,0))),"Case no. not found")</f>
        <v/>
      </c>
      <c r="C43" s="44">
        <f>IF($A43="","",SUMPRODUCT((RegCaseNo=$A43)*((RegDoc1="Y")+(RegDoc2="Y")+(RegDoc3="Y")+(RegDoc4="Y")+(RegDoc5="Y")+(RegDoc6="Y")+(RegDoc7="Y")+(RegDoc8="Y"))))</f>
        <v/>
      </c>
      <c r="D43" s="44">
        <f>IF($A43="","",SUMPRODUCT((RegCaseNo=$A43)*((RegDoc1="N")+(RegDoc2="N")+(RegDoc3="N")+(RegDoc4="N")+(RegDoc5="N")+(RegDoc6="N")+(RegDoc7="N")+(RegDoc8="N"))))</f>
        <v/>
      </c>
      <c r="E43" s="47">
        <f>IFERROR(IF($A43="","",C43/(C43+D43)),0)</f>
        <v/>
      </c>
      <c r="F43" s="43">
        <f>IF($A43="","",TRIM(IF(INDEX(RegDoc1,MATCH($A43,RegCaseNo,0))="N","Affidavit of Complaint; ","")&amp;IF(INDEX(RegDoc2,MATCH($A43,RegCaseNo,0))="N","Sworn Statements; ","")&amp;IF(INDEX(RegDoc3,MATCH($A43,RegCaseNo,0))="N","Police / Incident Report; ","")&amp;IF(INDEX(RegDoc4,MATCH($A43,RegCaseNo,0))="N","Evidence and Exhibits; ","")&amp;IF(INDEX(RegDoc5,MATCH($A43,RegCaseNo,0))="N","Resolution / Information; ","")&amp;IF(INDEX(RegDoc6,MATCH($A43,RegCaseNo,0))="N","Court Order / Docket; ","")&amp;IF(INDEX(RegDoc7,MATCH($A43,RegCaseNo,0))="N","Bail / Bond Records; ","")&amp;IF(INDEX(RegDoc8,MATCH($A43,RegCaseNo,0))="N","Judgment / Order; ","")))</f>
        <v/>
      </c>
      <c r="G43" s="32" t="n"/>
      <c r="H43" s="30" t="n"/>
      <c r="I43" s="31" t="n"/>
      <c r="J43" s="45">
        <f>IF($A43="","",IF(E43=1,"Complete",IF(AND(I43&lt;&gt;"",I43&lt;TODAY(),E43&lt;1),"Follow-up overdue",IF(E43&gt;=0.75,"Minor gaps","Action needed"))))</f>
        <v/>
      </c>
    </row>
    <row r="44" ht="26" customHeight="1">
      <c r="A44" s="30" t="n"/>
      <c r="B44" s="43">
        <f>IFERROR(IF($A44="","",INDEX(RegTitle,MATCH($A44,RegCaseNo,0))),"Case no. not found")</f>
        <v/>
      </c>
      <c r="C44" s="44">
        <f>IF($A44="","",SUMPRODUCT((RegCaseNo=$A44)*((RegDoc1="Y")+(RegDoc2="Y")+(RegDoc3="Y")+(RegDoc4="Y")+(RegDoc5="Y")+(RegDoc6="Y")+(RegDoc7="Y")+(RegDoc8="Y"))))</f>
        <v/>
      </c>
      <c r="D44" s="44">
        <f>IF($A44="","",SUMPRODUCT((RegCaseNo=$A44)*((RegDoc1="N")+(RegDoc2="N")+(RegDoc3="N")+(RegDoc4="N")+(RegDoc5="N")+(RegDoc6="N")+(RegDoc7="N")+(RegDoc8="N"))))</f>
        <v/>
      </c>
      <c r="E44" s="47">
        <f>IFERROR(IF($A44="","",C44/(C44+D44)),0)</f>
        <v/>
      </c>
      <c r="F44" s="43">
        <f>IF($A44="","",TRIM(IF(INDEX(RegDoc1,MATCH($A44,RegCaseNo,0))="N","Affidavit of Complaint; ","")&amp;IF(INDEX(RegDoc2,MATCH($A44,RegCaseNo,0))="N","Sworn Statements; ","")&amp;IF(INDEX(RegDoc3,MATCH($A44,RegCaseNo,0))="N","Police / Incident Report; ","")&amp;IF(INDEX(RegDoc4,MATCH($A44,RegCaseNo,0))="N","Evidence and Exhibits; ","")&amp;IF(INDEX(RegDoc5,MATCH($A44,RegCaseNo,0))="N","Resolution / Information; ","")&amp;IF(INDEX(RegDoc6,MATCH($A44,RegCaseNo,0))="N","Court Order / Docket; ","")&amp;IF(INDEX(RegDoc7,MATCH($A44,RegCaseNo,0))="N","Bail / Bond Records; ","")&amp;IF(INDEX(RegDoc8,MATCH($A44,RegCaseNo,0))="N","Judgment / Order; ","")))</f>
        <v/>
      </c>
      <c r="G44" s="32" t="n"/>
      <c r="H44" s="30" t="n"/>
      <c r="I44" s="31" t="n"/>
      <c r="J44" s="45">
        <f>IF($A44="","",IF(E44=1,"Complete",IF(AND(I44&lt;&gt;"",I44&lt;TODAY(),E44&lt;1),"Follow-up overdue",IF(E44&gt;=0.75,"Minor gaps","Action needed"))))</f>
        <v/>
      </c>
    </row>
    <row r="45" ht="26" customHeight="1">
      <c r="A45" s="30" t="n"/>
      <c r="B45" s="43">
        <f>IFERROR(IF($A45="","",INDEX(RegTitle,MATCH($A45,RegCaseNo,0))),"Case no. not found")</f>
        <v/>
      </c>
      <c r="C45" s="44">
        <f>IF($A45="","",SUMPRODUCT((RegCaseNo=$A45)*((RegDoc1="Y")+(RegDoc2="Y")+(RegDoc3="Y")+(RegDoc4="Y")+(RegDoc5="Y")+(RegDoc6="Y")+(RegDoc7="Y")+(RegDoc8="Y"))))</f>
        <v/>
      </c>
      <c r="D45" s="44">
        <f>IF($A45="","",SUMPRODUCT((RegCaseNo=$A45)*((RegDoc1="N")+(RegDoc2="N")+(RegDoc3="N")+(RegDoc4="N")+(RegDoc5="N")+(RegDoc6="N")+(RegDoc7="N")+(RegDoc8="N"))))</f>
        <v/>
      </c>
      <c r="E45" s="47">
        <f>IFERROR(IF($A45="","",C45/(C45+D45)),0)</f>
        <v/>
      </c>
      <c r="F45" s="43">
        <f>IF($A45="","",TRIM(IF(INDEX(RegDoc1,MATCH($A45,RegCaseNo,0))="N","Affidavit of Complaint; ","")&amp;IF(INDEX(RegDoc2,MATCH($A45,RegCaseNo,0))="N","Sworn Statements; ","")&amp;IF(INDEX(RegDoc3,MATCH($A45,RegCaseNo,0))="N","Police / Incident Report; ","")&amp;IF(INDEX(RegDoc4,MATCH($A45,RegCaseNo,0))="N","Evidence and Exhibits; ","")&amp;IF(INDEX(RegDoc5,MATCH($A45,RegCaseNo,0))="N","Resolution / Information; ","")&amp;IF(INDEX(RegDoc6,MATCH($A45,RegCaseNo,0))="N","Court Order / Docket; ","")&amp;IF(INDEX(RegDoc7,MATCH($A45,RegCaseNo,0))="N","Bail / Bond Records; ","")&amp;IF(INDEX(RegDoc8,MATCH($A45,RegCaseNo,0))="N","Judgment / Order; ","")))</f>
        <v/>
      </c>
      <c r="G45" s="32" t="n"/>
      <c r="H45" s="30" t="n"/>
      <c r="I45" s="31" t="n"/>
      <c r="J45" s="45">
        <f>IF($A45="","",IF(E45=1,"Complete",IF(AND(I45&lt;&gt;"",I45&lt;TODAY(),E45&lt;1),"Follow-up overdue",IF(E45&gt;=0.75,"Minor gaps","Action needed"))))</f>
        <v/>
      </c>
    </row>
    <row r="46" ht="26" customHeight="1">
      <c r="A46" s="30" t="n"/>
      <c r="B46" s="43">
        <f>IFERROR(IF($A46="","",INDEX(RegTitle,MATCH($A46,RegCaseNo,0))),"Case no. not found")</f>
        <v/>
      </c>
      <c r="C46" s="44">
        <f>IF($A46="","",SUMPRODUCT((RegCaseNo=$A46)*((RegDoc1="Y")+(RegDoc2="Y")+(RegDoc3="Y")+(RegDoc4="Y")+(RegDoc5="Y")+(RegDoc6="Y")+(RegDoc7="Y")+(RegDoc8="Y"))))</f>
        <v/>
      </c>
      <c r="D46" s="44">
        <f>IF($A46="","",SUMPRODUCT((RegCaseNo=$A46)*((RegDoc1="N")+(RegDoc2="N")+(RegDoc3="N")+(RegDoc4="N")+(RegDoc5="N")+(RegDoc6="N")+(RegDoc7="N")+(RegDoc8="N"))))</f>
        <v/>
      </c>
      <c r="E46" s="47">
        <f>IFERROR(IF($A46="","",C46/(C46+D46)),0)</f>
        <v/>
      </c>
      <c r="F46" s="43">
        <f>IF($A46="","",TRIM(IF(INDEX(RegDoc1,MATCH($A46,RegCaseNo,0))="N","Affidavit of Complaint; ","")&amp;IF(INDEX(RegDoc2,MATCH($A46,RegCaseNo,0))="N","Sworn Statements; ","")&amp;IF(INDEX(RegDoc3,MATCH($A46,RegCaseNo,0))="N","Police / Incident Report; ","")&amp;IF(INDEX(RegDoc4,MATCH($A46,RegCaseNo,0))="N","Evidence and Exhibits; ","")&amp;IF(INDEX(RegDoc5,MATCH($A46,RegCaseNo,0))="N","Resolution / Information; ","")&amp;IF(INDEX(RegDoc6,MATCH($A46,RegCaseNo,0))="N","Court Order / Docket; ","")&amp;IF(INDEX(RegDoc7,MATCH($A46,RegCaseNo,0))="N","Bail / Bond Records; ","")&amp;IF(INDEX(RegDoc8,MATCH($A46,RegCaseNo,0))="N","Judgment / Order; ","")))</f>
        <v/>
      </c>
      <c r="G46" s="32" t="n"/>
      <c r="H46" s="30" t="n"/>
      <c r="I46" s="31" t="n"/>
      <c r="J46" s="45">
        <f>IF($A46="","",IF(E46=1,"Complete",IF(AND(I46&lt;&gt;"",I46&lt;TODAY(),E46&lt;1),"Follow-up overdue",IF(E46&gt;=0.75,"Minor gaps","Action needed"))))</f>
        <v/>
      </c>
    </row>
    <row r="47" ht="26" customHeight="1">
      <c r="A47" s="30" t="n"/>
      <c r="B47" s="43">
        <f>IFERROR(IF($A47="","",INDEX(RegTitle,MATCH($A47,RegCaseNo,0))),"Case no. not found")</f>
        <v/>
      </c>
      <c r="C47" s="44">
        <f>IF($A47="","",SUMPRODUCT((RegCaseNo=$A47)*((RegDoc1="Y")+(RegDoc2="Y")+(RegDoc3="Y")+(RegDoc4="Y")+(RegDoc5="Y")+(RegDoc6="Y")+(RegDoc7="Y")+(RegDoc8="Y"))))</f>
        <v/>
      </c>
      <c r="D47" s="44">
        <f>IF($A47="","",SUMPRODUCT((RegCaseNo=$A47)*((RegDoc1="N")+(RegDoc2="N")+(RegDoc3="N")+(RegDoc4="N")+(RegDoc5="N")+(RegDoc6="N")+(RegDoc7="N")+(RegDoc8="N"))))</f>
        <v/>
      </c>
      <c r="E47" s="47">
        <f>IFERROR(IF($A47="","",C47/(C47+D47)),0)</f>
        <v/>
      </c>
      <c r="F47" s="43">
        <f>IF($A47="","",TRIM(IF(INDEX(RegDoc1,MATCH($A47,RegCaseNo,0))="N","Affidavit of Complaint; ","")&amp;IF(INDEX(RegDoc2,MATCH($A47,RegCaseNo,0))="N","Sworn Statements; ","")&amp;IF(INDEX(RegDoc3,MATCH($A47,RegCaseNo,0))="N","Police / Incident Report; ","")&amp;IF(INDEX(RegDoc4,MATCH($A47,RegCaseNo,0))="N","Evidence and Exhibits; ","")&amp;IF(INDEX(RegDoc5,MATCH($A47,RegCaseNo,0))="N","Resolution / Information; ","")&amp;IF(INDEX(RegDoc6,MATCH($A47,RegCaseNo,0))="N","Court Order / Docket; ","")&amp;IF(INDEX(RegDoc7,MATCH($A47,RegCaseNo,0))="N","Bail / Bond Records; ","")&amp;IF(INDEX(RegDoc8,MATCH($A47,RegCaseNo,0))="N","Judgment / Order; ","")))</f>
        <v/>
      </c>
      <c r="G47" s="32" t="n"/>
      <c r="H47" s="30" t="n"/>
      <c r="I47" s="31" t="n"/>
      <c r="J47" s="45">
        <f>IF($A47="","",IF(E47=1,"Complete",IF(AND(I47&lt;&gt;"",I47&lt;TODAY(),E47&lt;1),"Follow-up overdue",IF(E47&gt;=0.75,"Minor gaps","Action needed"))))</f>
        <v/>
      </c>
    </row>
    <row r="48" ht="26" customHeight="1">
      <c r="A48" s="30" t="n"/>
      <c r="B48" s="43">
        <f>IFERROR(IF($A48="","",INDEX(RegTitle,MATCH($A48,RegCaseNo,0))),"Case no. not found")</f>
        <v/>
      </c>
      <c r="C48" s="44">
        <f>IF($A48="","",SUMPRODUCT((RegCaseNo=$A48)*((RegDoc1="Y")+(RegDoc2="Y")+(RegDoc3="Y")+(RegDoc4="Y")+(RegDoc5="Y")+(RegDoc6="Y")+(RegDoc7="Y")+(RegDoc8="Y"))))</f>
        <v/>
      </c>
      <c r="D48" s="44">
        <f>IF($A48="","",SUMPRODUCT((RegCaseNo=$A48)*((RegDoc1="N")+(RegDoc2="N")+(RegDoc3="N")+(RegDoc4="N")+(RegDoc5="N")+(RegDoc6="N")+(RegDoc7="N")+(RegDoc8="N"))))</f>
        <v/>
      </c>
      <c r="E48" s="47">
        <f>IFERROR(IF($A48="","",C48/(C48+D48)),0)</f>
        <v/>
      </c>
      <c r="F48" s="43">
        <f>IF($A48="","",TRIM(IF(INDEX(RegDoc1,MATCH($A48,RegCaseNo,0))="N","Affidavit of Complaint; ","")&amp;IF(INDEX(RegDoc2,MATCH($A48,RegCaseNo,0))="N","Sworn Statements; ","")&amp;IF(INDEX(RegDoc3,MATCH($A48,RegCaseNo,0))="N","Police / Incident Report; ","")&amp;IF(INDEX(RegDoc4,MATCH($A48,RegCaseNo,0))="N","Evidence and Exhibits; ","")&amp;IF(INDEX(RegDoc5,MATCH($A48,RegCaseNo,0))="N","Resolution / Information; ","")&amp;IF(INDEX(RegDoc6,MATCH($A48,RegCaseNo,0))="N","Court Order / Docket; ","")&amp;IF(INDEX(RegDoc7,MATCH($A48,RegCaseNo,0))="N","Bail / Bond Records; ","")&amp;IF(INDEX(RegDoc8,MATCH($A48,RegCaseNo,0))="N","Judgment / Order; ","")))</f>
        <v/>
      </c>
      <c r="G48" s="32" t="n"/>
      <c r="H48" s="30" t="n"/>
      <c r="I48" s="31" t="n"/>
      <c r="J48" s="45">
        <f>IF($A48="","",IF(E48=1,"Complete",IF(AND(I48&lt;&gt;"",I48&lt;TODAY(),E48&lt;1),"Follow-up overdue",IF(E48&gt;=0.75,"Minor gaps","Action needed"))))</f>
        <v/>
      </c>
    </row>
    <row r="49" ht="26" customHeight="1">
      <c r="A49" s="30" t="n"/>
      <c r="B49" s="43">
        <f>IFERROR(IF($A49="","",INDEX(RegTitle,MATCH($A49,RegCaseNo,0))),"Case no. not found")</f>
        <v/>
      </c>
      <c r="C49" s="44">
        <f>IF($A49="","",SUMPRODUCT((RegCaseNo=$A49)*((RegDoc1="Y")+(RegDoc2="Y")+(RegDoc3="Y")+(RegDoc4="Y")+(RegDoc5="Y")+(RegDoc6="Y")+(RegDoc7="Y")+(RegDoc8="Y"))))</f>
        <v/>
      </c>
      <c r="D49" s="44">
        <f>IF($A49="","",SUMPRODUCT((RegCaseNo=$A49)*((RegDoc1="N")+(RegDoc2="N")+(RegDoc3="N")+(RegDoc4="N")+(RegDoc5="N")+(RegDoc6="N")+(RegDoc7="N")+(RegDoc8="N"))))</f>
        <v/>
      </c>
      <c r="E49" s="47">
        <f>IFERROR(IF($A49="","",C49/(C49+D49)),0)</f>
        <v/>
      </c>
      <c r="F49" s="43">
        <f>IF($A49="","",TRIM(IF(INDEX(RegDoc1,MATCH($A49,RegCaseNo,0))="N","Affidavit of Complaint; ","")&amp;IF(INDEX(RegDoc2,MATCH($A49,RegCaseNo,0))="N","Sworn Statements; ","")&amp;IF(INDEX(RegDoc3,MATCH($A49,RegCaseNo,0))="N","Police / Incident Report; ","")&amp;IF(INDEX(RegDoc4,MATCH($A49,RegCaseNo,0))="N","Evidence and Exhibits; ","")&amp;IF(INDEX(RegDoc5,MATCH($A49,RegCaseNo,0))="N","Resolution / Information; ","")&amp;IF(INDEX(RegDoc6,MATCH($A49,RegCaseNo,0))="N","Court Order / Docket; ","")&amp;IF(INDEX(RegDoc7,MATCH($A49,RegCaseNo,0))="N","Bail / Bond Records; ","")&amp;IF(INDEX(RegDoc8,MATCH($A49,RegCaseNo,0))="N","Judgment / Order; ","")))</f>
        <v/>
      </c>
      <c r="G49" s="32" t="n"/>
      <c r="H49" s="30" t="n"/>
      <c r="I49" s="31" t="n"/>
      <c r="J49" s="45">
        <f>IF($A49="","",IF(E49=1,"Complete",IF(AND(I49&lt;&gt;"",I49&lt;TODAY(),E49&lt;1),"Follow-up overdue",IF(E49&gt;=0.75,"Minor gaps","Action needed"))))</f>
        <v/>
      </c>
    </row>
    <row r="50" ht="26" customHeight="1">
      <c r="A50" s="30" t="n"/>
      <c r="B50" s="43">
        <f>IFERROR(IF($A50="","",INDEX(RegTitle,MATCH($A50,RegCaseNo,0))),"Case no. not found")</f>
        <v/>
      </c>
      <c r="C50" s="44">
        <f>IF($A50="","",SUMPRODUCT((RegCaseNo=$A50)*((RegDoc1="Y")+(RegDoc2="Y")+(RegDoc3="Y")+(RegDoc4="Y")+(RegDoc5="Y")+(RegDoc6="Y")+(RegDoc7="Y")+(RegDoc8="Y"))))</f>
        <v/>
      </c>
      <c r="D50" s="44">
        <f>IF($A50="","",SUMPRODUCT((RegCaseNo=$A50)*((RegDoc1="N")+(RegDoc2="N")+(RegDoc3="N")+(RegDoc4="N")+(RegDoc5="N")+(RegDoc6="N")+(RegDoc7="N")+(RegDoc8="N"))))</f>
        <v/>
      </c>
      <c r="E50" s="47">
        <f>IFERROR(IF($A50="","",C50/(C50+D50)),0)</f>
        <v/>
      </c>
      <c r="F50" s="43">
        <f>IF($A50="","",TRIM(IF(INDEX(RegDoc1,MATCH($A50,RegCaseNo,0))="N","Affidavit of Complaint; ","")&amp;IF(INDEX(RegDoc2,MATCH($A50,RegCaseNo,0))="N","Sworn Statements; ","")&amp;IF(INDEX(RegDoc3,MATCH($A50,RegCaseNo,0))="N","Police / Incident Report; ","")&amp;IF(INDEX(RegDoc4,MATCH($A50,RegCaseNo,0))="N","Evidence and Exhibits; ","")&amp;IF(INDEX(RegDoc5,MATCH($A50,RegCaseNo,0))="N","Resolution / Information; ","")&amp;IF(INDEX(RegDoc6,MATCH($A50,RegCaseNo,0))="N","Court Order / Docket; ","")&amp;IF(INDEX(RegDoc7,MATCH($A50,RegCaseNo,0))="N","Bail / Bond Records; ","")&amp;IF(INDEX(RegDoc8,MATCH($A50,RegCaseNo,0))="N","Judgment / Order; ","")))</f>
        <v/>
      </c>
      <c r="G50" s="32" t="n"/>
      <c r="H50" s="30" t="n"/>
      <c r="I50" s="31" t="n"/>
      <c r="J50" s="45">
        <f>IF($A50="","",IF(E50=1,"Complete",IF(AND(I50&lt;&gt;"",I50&lt;TODAY(),E50&lt;1),"Follow-up overdue",IF(E50&gt;=0.75,"Minor gaps","Action needed"))))</f>
        <v/>
      </c>
    </row>
    <row r="51" ht="26" customHeight="1">
      <c r="A51" s="30" t="n"/>
      <c r="B51" s="43">
        <f>IFERROR(IF($A51="","",INDEX(RegTitle,MATCH($A51,RegCaseNo,0))),"Case no. not found")</f>
        <v/>
      </c>
      <c r="C51" s="44">
        <f>IF($A51="","",SUMPRODUCT((RegCaseNo=$A51)*((RegDoc1="Y")+(RegDoc2="Y")+(RegDoc3="Y")+(RegDoc4="Y")+(RegDoc5="Y")+(RegDoc6="Y")+(RegDoc7="Y")+(RegDoc8="Y"))))</f>
        <v/>
      </c>
      <c r="D51" s="44">
        <f>IF($A51="","",SUMPRODUCT((RegCaseNo=$A51)*((RegDoc1="N")+(RegDoc2="N")+(RegDoc3="N")+(RegDoc4="N")+(RegDoc5="N")+(RegDoc6="N")+(RegDoc7="N")+(RegDoc8="N"))))</f>
        <v/>
      </c>
      <c r="E51" s="47">
        <f>IFERROR(IF($A51="","",C51/(C51+D51)),0)</f>
        <v/>
      </c>
      <c r="F51" s="43">
        <f>IF($A51="","",TRIM(IF(INDEX(RegDoc1,MATCH($A51,RegCaseNo,0))="N","Affidavit of Complaint; ","")&amp;IF(INDEX(RegDoc2,MATCH($A51,RegCaseNo,0))="N","Sworn Statements; ","")&amp;IF(INDEX(RegDoc3,MATCH($A51,RegCaseNo,0))="N","Police / Incident Report; ","")&amp;IF(INDEX(RegDoc4,MATCH($A51,RegCaseNo,0))="N","Evidence and Exhibits; ","")&amp;IF(INDEX(RegDoc5,MATCH($A51,RegCaseNo,0))="N","Resolution / Information; ","")&amp;IF(INDEX(RegDoc6,MATCH($A51,RegCaseNo,0))="N","Court Order / Docket; ","")&amp;IF(INDEX(RegDoc7,MATCH($A51,RegCaseNo,0))="N","Bail / Bond Records; ","")&amp;IF(INDEX(RegDoc8,MATCH($A51,RegCaseNo,0))="N","Judgment / Order; ","")))</f>
        <v/>
      </c>
      <c r="G51" s="32" t="n"/>
      <c r="H51" s="30" t="n"/>
      <c r="I51" s="31" t="n"/>
      <c r="J51" s="45">
        <f>IF($A51="","",IF(E51=1,"Complete",IF(AND(I51&lt;&gt;"",I51&lt;TODAY(),E51&lt;1),"Follow-up overdue",IF(E51&gt;=0.75,"Minor gaps","Action needed"))))</f>
        <v/>
      </c>
    </row>
    <row r="52" ht="26" customHeight="1">
      <c r="A52" s="30" t="n"/>
      <c r="B52" s="43">
        <f>IFERROR(IF($A52="","",INDEX(RegTitle,MATCH($A52,RegCaseNo,0))),"Case no. not found")</f>
        <v/>
      </c>
      <c r="C52" s="44">
        <f>IF($A52="","",SUMPRODUCT((RegCaseNo=$A52)*((RegDoc1="Y")+(RegDoc2="Y")+(RegDoc3="Y")+(RegDoc4="Y")+(RegDoc5="Y")+(RegDoc6="Y")+(RegDoc7="Y")+(RegDoc8="Y"))))</f>
        <v/>
      </c>
      <c r="D52" s="44">
        <f>IF($A52="","",SUMPRODUCT((RegCaseNo=$A52)*((RegDoc1="N")+(RegDoc2="N")+(RegDoc3="N")+(RegDoc4="N")+(RegDoc5="N")+(RegDoc6="N")+(RegDoc7="N")+(RegDoc8="N"))))</f>
        <v/>
      </c>
      <c r="E52" s="47">
        <f>IFERROR(IF($A52="","",C52/(C52+D52)),0)</f>
        <v/>
      </c>
      <c r="F52" s="43">
        <f>IF($A52="","",TRIM(IF(INDEX(RegDoc1,MATCH($A52,RegCaseNo,0))="N","Affidavit of Complaint; ","")&amp;IF(INDEX(RegDoc2,MATCH($A52,RegCaseNo,0))="N","Sworn Statements; ","")&amp;IF(INDEX(RegDoc3,MATCH($A52,RegCaseNo,0))="N","Police / Incident Report; ","")&amp;IF(INDEX(RegDoc4,MATCH($A52,RegCaseNo,0))="N","Evidence and Exhibits; ","")&amp;IF(INDEX(RegDoc5,MATCH($A52,RegCaseNo,0))="N","Resolution / Information; ","")&amp;IF(INDEX(RegDoc6,MATCH($A52,RegCaseNo,0))="N","Court Order / Docket; ","")&amp;IF(INDEX(RegDoc7,MATCH($A52,RegCaseNo,0))="N","Bail / Bond Records; ","")&amp;IF(INDEX(RegDoc8,MATCH($A52,RegCaseNo,0))="N","Judgment / Order; ","")))</f>
        <v/>
      </c>
      <c r="G52" s="32" t="n"/>
      <c r="H52" s="30" t="n"/>
      <c r="I52" s="31" t="n"/>
      <c r="J52" s="45">
        <f>IF($A52="","",IF(E52=1,"Complete",IF(AND(I52&lt;&gt;"",I52&lt;TODAY(),E52&lt;1),"Follow-up overdue",IF(E52&gt;=0.75,"Minor gaps","Action needed"))))</f>
        <v/>
      </c>
    </row>
    <row r="53" ht="26" customHeight="1">
      <c r="A53" s="30" t="n"/>
      <c r="B53" s="43">
        <f>IFERROR(IF($A53="","",INDEX(RegTitle,MATCH($A53,RegCaseNo,0))),"Case no. not found")</f>
        <v/>
      </c>
      <c r="C53" s="44">
        <f>IF($A53="","",SUMPRODUCT((RegCaseNo=$A53)*((RegDoc1="Y")+(RegDoc2="Y")+(RegDoc3="Y")+(RegDoc4="Y")+(RegDoc5="Y")+(RegDoc6="Y")+(RegDoc7="Y")+(RegDoc8="Y"))))</f>
        <v/>
      </c>
      <c r="D53" s="44">
        <f>IF($A53="","",SUMPRODUCT((RegCaseNo=$A53)*((RegDoc1="N")+(RegDoc2="N")+(RegDoc3="N")+(RegDoc4="N")+(RegDoc5="N")+(RegDoc6="N")+(RegDoc7="N")+(RegDoc8="N"))))</f>
        <v/>
      </c>
      <c r="E53" s="47">
        <f>IFERROR(IF($A53="","",C53/(C53+D53)),0)</f>
        <v/>
      </c>
      <c r="F53" s="43">
        <f>IF($A53="","",TRIM(IF(INDEX(RegDoc1,MATCH($A53,RegCaseNo,0))="N","Affidavit of Complaint; ","")&amp;IF(INDEX(RegDoc2,MATCH($A53,RegCaseNo,0))="N","Sworn Statements; ","")&amp;IF(INDEX(RegDoc3,MATCH($A53,RegCaseNo,0))="N","Police / Incident Report; ","")&amp;IF(INDEX(RegDoc4,MATCH($A53,RegCaseNo,0))="N","Evidence and Exhibits; ","")&amp;IF(INDEX(RegDoc5,MATCH($A53,RegCaseNo,0))="N","Resolution / Information; ","")&amp;IF(INDEX(RegDoc6,MATCH($A53,RegCaseNo,0))="N","Court Order / Docket; ","")&amp;IF(INDEX(RegDoc7,MATCH($A53,RegCaseNo,0))="N","Bail / Bond Records; ","")&amp;IF(INDEX(RegDoc8,MATCH($A53,RegCaseNo,0))="N","Judgment / Order; ","")))</f>
        <v/>
      </c>
      <c r="G53" s="32" t="n"/>
      <c r="H53" s="30" t="n"/>
      <c r="I53" s="31" t="n"/>
      <c r="J53" s="45">
        <f>IF($A53="","",IF(E53=1,"Complete",IF(AND(I53&lt;&gt;"",I53&lt;TODAY(),E53&lt;1),"Follow-up overdue",IF(E53&gt;=0.75,"Minor gaps","Action needed"))))</f>
        <v/>
      </c>
    </row>
    <row r="54" ht="26" customHeight="1">
      <c r="A54" s="30" t="n"/>
      <c r="B54" s="43">
        <f>IFERROR(IF($A54="","",INDEX(RegTitle,MATCH($A54,RegCaseNo,0))),"Case no. not found")</f>
        <v/>
      </c>
      <c r="C54" s="44">
        <f>IF($A54="","",SUMPRODUCT((RegCaseNo=$A54)*((RegDoc1="Y")+(RegDoc2="Y")+(RegDoc3="Y")+(RegDoc4="Y")+(RegDoc5="Y")+(RegDoc6="Y")+(RegDoc7="Y")+(RegDoc8="Y"))))</f>
        <v/>
      </c>
      <c r="D54" s="44">
        <f>IF($A54="","",SUMPRODUCT((RegCaseNo=$A54)*((RegDoc1="N")+(RegDoc2="N")+(RegDoc3="N")+(RegDoc4="N")+(RegDoc5="N")+(RegDoc6="N")+(RegDoc7="N")+(RegDoc8="N"))))</f>
        <v/>
      </c>
      <c r="E54" s="47">
        <f>IFERROR(IF($A54="","",C54/(C54+D54)),0)</f>
        <v/>
      </c>
      <c r="F54" s="43">
        <f>IF($A54="","",TRIM(IF(INDEX(RegDoc1,MATCH($A54,RegCaseNo,0))="N","Affidavit of Complaint; ","")&amp;IF(INDEX(RegDoc2,MATCH($A54,RegCaseNo,0))="N","Sworn Statements; ","")&amp;IF(INDEX(RegDoc3,MATCH($A54,RegCaseNo,0))="N","Police / Incident Report; ","")&amp;IF(INDEX(RegDoc4,MATCH($A54,RegCaseNo,0))="N","Evidence and Exhibits; ","")&amp;IF(INDEX(RegDoc5,MATCH($A54,RegCaseNo,0))="N","Resolution / Information; ","")&amp;IF(INDEX(RegDoc6,MATCH($A54,RegCaseNo,0))="N","Court Order / Docket; ","")&amp;IF(INDEX(RegDoc7,MATCH($A54,RegCaseNo,0))="N","Bail / Bond Records; ","")&amp;IF(INDEX(RegDoc8,MATCH($A54,RegCaseNo,0))="N","Judgment / Order; ","")))</f>
        <v/>
      </c>
      <c r="G54" s="32" t="n"/>
      <c r="H54" s="30" t="n"/>
      <c r="I54" s="31" t="n"/>
      <c r="J54" s="45">
        <f>IF($A54="","",IF(E54=1,"Complete",IF(AND(I54&lt;&gt;"",I54&lt;TODAY(),E54&lt;1),"Follow-up overdue",IF(E54&gt;=0.75,"Minor gaps","Action needed"))))</f>
        <v/>
      </c>
    </row>
    <row r="55" ht="26" customHeight="1">
      <c r="A55" s="30" t="n"/>
      <c r="B55" s="43">
        <f>IFERROR(IF($A55="","",INDEX(RegTitle,MATCH($A55,RegCaseNo,0))),"Case no. not found")</f>
        <v/>
      </c>
      <c r="C55" s="44">
        <f>IF($A55="","",SUMPRODUCT((RegCaseNo=$A55)*((RegDoc1="Y")+(RegDoc2="Y")+(RegDoc3="Y")+(RegDoc4="Y")+(RegDoc5="Y")+(RegDoc6="Y")+(RegDoc7="Y")+(RegDoc8="Y"))))</f>
        <v/>
      </c>
      <c r="D55" s="44">
        <f>IF($A55="","",SUMPRODUCT((RegCaseNo=$A55)*((RegDoc1="N")+(RegDoc2="N")+(RegDoc3="N")+(RegDoc4="N")+(RegDoc5="N")+(RegDoc6="N")+(RegDoc7="N")+(RegDoc8="N"))))</f>
        <v/>
      </c>
      <c r="E55" s="47">
        <f>IFERROR(IF($A55="","",C55/(C55+D55)),0)</f>
        <v/>
      </c>
      <c r="F55" s="43">
        <f>IF($A55="","",TRIM(IF(INDEX(RegDoc1,MATCH($A55,RegCaseNo,0))="N","Affidavit of Complaint; ","")&amp;IF(INDEX(RegDoc2,MATCH($A55,RegCaseNo,0))="N","Sworn Statements; ","")&amp;IF(INDEX(RegDoc3,MATCH($A55,RegCaseNo,0))="N","Police / Incident Report; ","")&amp;IF(INDEX(RegDoc4,MATCH($A55,RegCaseNo,0))="N","Evidence and Exhibits; ","")&amp;IF(INDEX(RegDoc5,MATCH($A55,RegCaseNo,0))="N","Resolution / Information; ","")&amp;IF(INDEX(RegDoc6,MATCH($A55,RegCaseNo,0))="N","Court Order / Docket; ","")&amp;IF(INDEX(RegDoc7,MATCH($A55,RegCaseNo,0))="N","Bail / Bond Records; ","")&amp;IF(INDEX(RegDoc8,MATCH($A55,RegCaseNo,0))="N","Judgment / Order; ","")))</f>
        <v/>
      </c>
      <c r="G55" s="32" t="n"/>
      <c r="H55" s="30" t="n"/>
      <c r="I55" s="31" t="n"/>
      <c r="J55" s="45">
        <f>IF($A55="","",IF(E55=1,"Complete",IF(AND(I55&lt;&gt;"",I55&lt;TODAY(),E55&lt;1),"Follow-up overdue",IF(E55&gt;=0.75,"Minor gaps","Action needed"))))</f>
        <v/>
      </c>
    </row>
    <row r="56" ht="26" customHeight="1">
      <c r="A56" s="30" t="n"/>
      <c r="B56" s="43">
        <f>IFERROR(IF($A56="","",INDEX(RegTitle,MATCH($A56,RegCaseNo,0))),"Case no. not found")</f>
        <v/>
      </c>
      <c r="C56" s="44">
        <f>IF($A56="","",SUMPRODUCT((RegCaseNo=$A56)*((RegDoc1="Y")+(RegDoc2="Y")+(RegDoc3="Y")+(RegDoc4="Y")+(RegDoc5="Y")+(RegDoc6="Y")+(RegDoc7="Y")+(RegDoc8="Y"))))</f>
        <v/>
      </c>
      <c r="D56" s="44">
        <f>IF($A56="","",SUMPRODUCT((RegCaseNo=$A56)*((RegDoc1="N")+(RegDoc2="N")+(RegDoc3="N")+(RegDoc4="N")+(RegDoc5="N")+(RegDoc6="N")+(RegDoc7="N")+(RegDoc8="N"))))</f>
        <v/>
      </c>
      <c r="E56" s="47">
        <f>IFERROR(IF($A56="","",C56/(C56+D56)),0)</f>
        <v/>
      </c>
      <c r="F56" s="43">
        <f>IF($A56="","",TRIM(IF(INDEX(RegDoc1,MATCH($A56,RegCaseNo,0))="N","Affidavit of Complaint; ","")&amp;IF(INDEX(RegDoc2,MATCH($A56,RegCaseNo,0))="N","Sworn Statements; ","")&amp;IF(INDEX(RegDoc3,MATCH($A56,RegCaseNo,0))="N","Police / Incident Report; ","")&amp;IF(INDEX(RegDoc4,MATCH($A56,RegCaseNo,0))="N","Evidence and Exhibits; ","")&amp;IF(INDEX(RegDoc5,MATCH($A56,RegCaseNo,0))="N","Resolution / Information; ","")&amp;IF(INDEX(RegDoc6,MATCH($A56,RegCaseNo,0))="N","Court Order / Docket; ","")&amp;IF(INDEX(RegDoc7,MATCH($A56,RegCaseNo,0))="N","Bail / Bond Records; ","")&amp;IF(INDEX(RegDoc8,MATCH($A56,RegCaseNo,0))="N","Judgment / Order; ","")))</f>
        <v/>
      </c>
      <c r="G56" s="32" t="n"/>
      <c r="H56" s="30" t="n"/>
      <c r="I56" s="31" t="n"/>
      <c r="J56" s="45">
        <f>IF($A56="","",IF(E56=1,"Complete",IF(AND(I56&lt;&gt;"",I56&lt;TODAY(),E56&lt;1),"Follow-up overdue",IF(E56&gt;=0.75,"Minor gaps","Action needed"))))</f>
        <v/>
      </c>
    </row>
    <row r="57" ht="26" customHeight="1">
      <c r="A57" s="30" t="n"/>
      <c r="B57" s="43">
        <f>IFERROR(IF($A57="","",INDEX(RegTitle,MATCH($A57,RegCaseNo,0))),"Case no. not found")</f>
        <v/>
      </c>
      <c r="C57" s="44">
        <f>IF($A57="","",SUMPRODUCT((RegCaseNo=$A57)*((RegDoc1="Y")+(RegDoc2="Y")+(RegDoc3="Y")+(RegDoc4="Y")+(RegDoc5="Y")+(RegDoc6="Y")+(RegDoc7="Y")+(RegDoc8="Y"))))</f>
        <v/>
      </c>
      <c r="D57" s="44">
        <f>IF($A57="","",SUMPRODUCT((RegCaseNo=$A57)*((RegDoc1="N")+(RegDoc2="N")+(RegDoc3="N")+(RegDoc4="N")+(RegDoc5="N")+(RegDoc6="N")+(RegDoc7="N")+(RegDoc8="N"))))</f>
        <v/>
      </c>
      <c r="E57" s="47">
        <f>IFERROR(IF($A57="","",C57/(C57+D57)),0)</f>
        <v/>
      </c>
      <c r="F57" s="43">
        <f>IF($A57="","",TRIM(IF(INDEX(RegDoc1,MATCH($A57,RegCaseNo,0))="N","Affidavit of Complaint; ","")&amp;IF(INDEX(RegDoc2,MATCH($A57,RegCaseNo,0))="N","Sworn Statements; ","")&amp;IF(INDEX(RegDoc3,MATCH($A57,RegCaseNo,0))="N","Police / Incident Report; ","")&amp;IF(INDEX(RegDoc4,MATCH($A57,RegCaseNo,0))="N","Evidence and Exhibits; ","")&amp;IF(INDEX(RegDoc5,MATCH($A57,RegCaseNo,0))="N","Resolution / Information; ","")&amp;IF(INDEX(RegDoc6,MATCH($A57,RegCaseNo,0))="N","Court Order / Docket; ","")&amp;IF(INDEX(RegDoc7,MATCH($A57,RegCaseNo,0))="N","Bail / Bond Records; ","")&amp;IF(INDEX(RegDoc8,MATCH($A57,RegCaseNo,0))="N","Judgment / Order; ","")))</f>
        <v/>
      </c>
      <c r="G57" s="32" t="n"/>
      <c r="H57" s="30" t="n"/>
      <c r="I57" s="31" t="n"/>
      <c r="J57" s="45">
        <f>IF($A57="","",IF(E57=1,"Complete",IF(AND(I57&lt;&gt;"",I57&lt;TODAY(),E57&lt;1),"Follow-up overdue",IF(E57&gt;=0.75,"Minor gaps","Action needed"))))</f>
        <v/>
      </c>
    </row>
    <row r="58" ht="26" customHeight="1">
      <c r="A58" s="30" t="n"/>
      <c r="B58" s="43">
        <f>IFERROR(IF($A58="","",INDEX(RegTitle,MATCH($A58,RegCaseNo,0))),"Case no. not found")</f>
        <v/>
      </c>
      <c r="C58" s="44">
        <f>IF($A58="","",SUMPRODUCT((RegCaseNo=$A58)*((RegDoc1="Y")+(RegDoc2="Y")+(RegDoc3="Y")+(RegDoc4="Y")+(RegDoc5="Y")+(RegDoc6="Y")+(RegDoc7="Y")+(RegDoc8="Y"))))</f>
        <v/>
      </c>
      <c r="D58" s="44">
        <f>IF($A58="","",SUMPRODUCT((RegCaseNo=$A58)*((RegDoc1="N")+(RegDoc2="N")+(RegDoc3="N")+(RegDoc4="N")+(RegDoc5="N")+(RegDoc6="N")+(RegDoc7="N")+(RegDoc8="N"))))</f>
        <v/>
      </c>
      <c r="E58" s="47">
        <f>IFERROR(IF($A58="","",C58/(C58+D58)),0)</f>
        <v/>
      </c>
      <c r="F58" s="43">
        <f>IF($A58="","",TRIM(IF(INDEX(RegDoc1,MATCH($A58,RegCaseNo,0))="N","Affidavit of Complaint; ","")&amp;IF(INDEX(RegDoc2,MATCH($A58,RegCaseNo,0))="N","Sworn Statements; ","")&amp;IF(INDEX(RegDoc3,MATCH($A58,RegCaseNo,0))="N","Police / Incident Report; ","")&amp;IF(INDEX(RegDoc4,MATCH($A58,RegCaseNo,0))="N","Evidence and Exhibits; ","")&amp;IF(INDEX(RegDoc5,MATCH($A58,RegCaseNo,0))="N","Resolution / Information; ","")&amp;IF(INDEX(RegDoc6,MATCH($A58,RegCaseNo,0))="N","Court Order / Docket; ","")&amp;IF(INDEX(RegDoc7,MATCH($A58,RegCaseNo,0))="N","Bail / Bond Records; ","")&amp;IF(INDEX(RegDoc8,MATCH($A58,RegCaseNo,0))="N","Judgment / Order; ","")))</f>
        <v/>
      </c>
      <c r="G58" s="32" t="n"/>
      <c r="H58" s="30" t="n"/>
      <c r="I58" s="31" t="n"/>
      <c r="J58" s="45">
        <f>IF($A58="","",IF(E58=1,"Complete",IF(AND(I58&lt;&gt;"",I58&lt;TODAY(),E58&lt;1),"Follow-up overdue",IF(E58&gt;=0.75,"Minor gaps","Action needed"))))</f>
        <v/>
      </c>
    </row>
    <row r="59" ht="26" customHeight="1">
      <c r="A59" s="30" t="n"/>
      <c r="B59" s="43">
        <f>IFERROR(IF($A59="","",INDEX(RegTitle,MATCH($A59,RegCaseNo,0))),"Case no. not found")</f>
        <v/>
      </c>
      <c r="C59" s="44">
        <f>IF($A59="","",SUMPRODUCT((RegCaseNo=$A59)*((RegDoc1="Y")+(RegDoc2="Y")+(RegDoc3="Y")+(RegDoc4="Y")+(RegDoc5="Y")+(RegDoc6="Y")+(RegDoc7="Y")+(RegDoc8="Y"))))</f>
        <v/>
      </c>
      <c r="D59" s="44">
        <f>IF($A59="","",SUMPRODUCT((RegCaseNo=$A59)*((RegDoc1="N")+(RegDoc2="N")+(RegDoc3="N")+(RegDoc4="N")+(RegDoc5="N")+(RegDoc6="N")+(RegDoc7="N")+(RegDoc8="N"))))</f>
        <v/>
      </c>
      <c r="E59" s="47">
        <f>IFERROR(IF($A59="","",C59/(C59+D59)),0)</f>
        <v/>
      </c>
      <c r="F59" s="43">
        <f>IF($A59="","",TRIM(IF(INDEX(RegDoc1,MATCH($A59,RegCaseNo,0))="N","Affidavit of Complaint; ","")&amp;IF(INDEX(RegDoc2,MATCH($A59,RegCaseNo,0))="N","Sworn Statements; ","")&amp;IF(INDEX(RegDoc3,MATCH($A59,RegCaseNo,0))="N","Police / Incident Report; ","")&amp;IF(INDEX(RegDoc4,MATCH($A59,RegCaseNo,0))="N","Evidence and Exhibits; ","")&amp;IF(INDEX(RegDoc5,MATCH($A59,RegCaseNo,0))="N","Resolution / Information; ","")&amp;IF(INDEX(RegDoc6,MATCH($A59,RegCaseNo,0))="N","Court Order / Docket; ","")&amp;IF(INDEX(RegDoc7,MATCH($A59,RegCaseNo,0))="N","Bail / Bond Records; ","")&amp;IF(INDEX(RegDoc8,MATCH($A59,RegCaseNo,0))="N","Judgment / Order; ","")))</f>
        <v/>
      </c>
      <c r="G59" s="32" t="n"/>
      <c r="H59" s="30" t="n"/>
      <c r="I59" s="31" t="n"/>
      <c r="J59" s="45">
        <f>IF($A59="","",IF(E59=1,"Complete",IF(AND(I59&lt;&gt;"",I59&lt;TODAY(),E59&lt;1),"Follow-up overdue",IF(E59&gt;=0.75,"Minor gaps","Action needed"))))</f>
        <v/>
      </c>
    </row>
    <row r="60" ht="26" customHeight="1">
      <c r="A60" s="30" t="n"/>
      <c r="B60" s="43">
        <f>IFERROR(IF($A60="","",INDEX(RegTitle,MATCH($A60,RegCaseNo,0))),"Case no. not found")</f>
        <v/>
      </c>
      <c r="C60" s="44">
        <f>IF($A60="","",SUMPRODUCT((RegCaseNo=$A60)*((RegDoc1="Y")+(RegDoc2="Y")+(RegDoc3="Y")+(RegDoc4="Y")+(RegDoc5="Y")+(RegDoc6="Y")+(RegDoc7="Y")+(RegDoc8="Y"))))</f>
        <v/>
      </c>
      <c r="D60" s="44">
        <f>IF($A60="","",SUMPRODUCT((RegCaseNo=$A60)*((RegDoc1="N")+(RegDoc2="N")+(RegDoc3="N")+(RegDoc4="N")+(RegDoc5="N")+(RegDoc6="N")+(RegDoc7="N")+(RegDoc8="N"))))</f>
        <v/>
      </c>
      <c r="E60" s="47">
        <f>IFERROR(IF($A60="","",C60/(C60+D60)),0)</f>
        <v/>
      </c>
      <c r="F60" s="43">
        <f>IF($A60="","",TRIM(IF(INDEX(RegDoc1,MATCH($A60,RegCaseNo,0))="N","Affidavit of Complaint; ","")&amp;IF(INDEX(RegDoc2,MATCH($A60,RegCaseNo,0))="N","Sworn Statements; ","")&amp;IF(INDEX(RegDoc3,MATCH($A60,RegCaseNo,0))="N","Police / Incident Report; ","")&amp;IF(INDEX(RegDoc4,MATCH($A60,RegCaseNo,0))="N","Evidence and Exhibits; ","")&amp;IF(INDEX(RegDoc5,MATCH($A60,RegCaseNo,0))="N","Resolution / Information; ","")&amp;IF(INDEX(RegDoc6,MATCH($A60,RegCaseNo,0))="N","Court Order / Docket; ","")&amp;IF(INDEX(RegDoc7,MATCH($A60,RegCaseNo,0))="N","Bail / Bond Records; ","")&amp;IF(INDEX(RegDoc8,MATCH($A60,RegCaseNo,0))="N","Judgment / Order; ","")))</f>
        <v/>
      </c>
      <c r="G60" s="32" t="n"/>
      <c r="H60" s="30" t="n"/>
      <c r="I60" s="31" t="n"/>
      <c r="J60" s="45">
        <f>IF($A60="","",IF(E60=1,"Complete",IF(AND(I60&lt;&gt;"",I60&lt;TODAY(),E60&lt;1),"Follow-up overdue",IF(E60&gt;=0.75,"Minor gaps","Action needed"))))</f>
        <v/>
      </c>
    </row>
    <row r="61" ht="26" customHeight="1">
      <c r="A61" s="30" t="n"/>
      <c r="B61" s="43">
        <f>IFERROR(IF($A61="","",INDEX(RegTitle,MATCH($A61,RegCaseNo,0))),"Case no. not found")</f>
        <v/>
      </c>
      <c r="C61" s="44">
        <f>IF($A61="","",SUMPRODUCT((RegCaseNo=$A61)*((RegDoc1="Y")+(RegDoc2="Y")+(RegDoc3="Y")+(RegDoc4="Y")+(RegDoc5="Y")+(RegDoc6="Y")+(RegDoc7="Y")+(RegDoc8="Y"))))</f>
        <v/>
      </c>
      <c r="D61" s="44">
        <f>IF($A61="","",SUMPRODUCT((RegCaseNo=$A61)*((RegDoc1="N")+(RegDoc2="N")+(RegDoc3="N")+(RegDoc4="N")+(RegDoc5="N")+(RegDoc6="N")+(RegDoc7="N")+(RegDoc8="N"))))</f>
        <v/>
      </c>
      <c r="E61" s="47">
        <f>IFERROR(IF($A61="","",C61/(C61+D61)),0)</f>
        <v/>
      </c>
      <c r="F61" s="43">
        <f>IF($A61="","",TRIM(IF(INDEX(RegDoc1,MATCH($A61,RegCaseNo,0))="N","Affidavit of Complaint; ","")&amp;IF(INDEX(RegDoc2,MATCH($A61,RegCaseNo,0))="N","Sworn Statements; ","")&amp;IF(INDEX(RegDoc3,MATCH($A61,RegCaseNo,0))="N","Police / Incident Report; ","")&amp;IF(INDEX(RegDoc4,MATCH($A61,RegCaseNo,0))="N","Evidence and Exhibits; ","")&amp;IF(INDEX(RegDoc5,MATCH($A61,RegCaseNo,0))="N","Resolution / Information; ","")&amp;IF(INDEX(RegDoc6,MATCH($A61,RegCaseNo,0))="N","Court Order / Docket; ","")&amp;IF(INDEX(RegDoc7,MATCH($A61,RegCaseNo,0))="N","Bail / Bond Records; ","")&amp;IF(INDEX(RegDoc8,MATCH($A61,RegCaseNo,0))="N","Judgment / Order; ","")))</f>
        <v/>
      </c>
      <c r="G61" s="32" t="n"/>
      <c r="H61" s="30" t="n"/>
      <c r="I61" s="31" t="n"/>
      <c r="J61" s="45">
        <f>IF($A61="","",IF(E61=1,"Complete",IF(AND(I61&lt;&gt;"",I61&lt;TODAY(),E61&lt;1),"Follow-up overdue",IF(E61&gt;=0.75,"Minor gaps","Action needed"))))</f>
        <v/>
      </c>
    </row>
    <row r="62" ht="26" customHeight="1">
      <c r="A62" s="30" t="n"/>
      <c r="B62" s="43">
        <f>IFERROR(IF($A62="","",INDEX(RegTitle,MATCH($A62,RegCaseNo,0))),"Case no. not found")</f>
        <v/>
      </c>
      <c r="C62" s="44">
        <f>IF($A62="","",SUMPRODUCT((RegCaseNo=$A62)*((RegDoc1="Y")+(RegDoc2="Y")+(RegDoc3="Y")+(RegDoc4="Y")+(RegDoc5="Y")+(RegDoc6="Y")+(RegDoc7="Y")+(RegDoc8="Y"))))</f>
        <v/>
      </c>
      <c r="D62" s="44">
        <f>IF($A62="","",SUMPRODUCT((RegCaseNo=$A62)*((RegDoc1="N")+(RegDoc2="N")+(RegDoc3="N")+(RegDoc4="N")+(RegDoc5="N")+(RegDoc6="N")+(RegDoc7="N")+(RegDoc8="N"))))</f>
        <v/>
      </c>
      <c r="E62" s="47">
        <f>IFERROR(IF($A62="","",C62/(C62+D62)),0)</f>
        <v/>
      </c>
      <c r="F62" s="43">
        <f>IF($A62="","",TRIM(IF(INDEX(RegDoc1,MATCH($A62,RegCaseNo,0))="N","Affidavit of Complaint; ","")&amp;IF(INDEX(RegDoc2,MATCH($A62,RegCaseNo,0))="N","Sworn Statements; ","")&amp;IF(INDEX(RegDoc3,MATCH($A62,RegCaseNo,0))="N","Police / Incident Report; ","")&amp;IF(INDEX(RegDoc4,MATCH($A62,RegCaseNo,0))="N","Evidence and Exhibits; ","")&amp;IF(INDEX(RegDoc5,MATCH($A62,RegCaseNo,0))="N","Resolution / Information; ","")&amp;IF(INDEX(RegDoc6,MATCH($A62,RegCaseNo,0))="N","Court Order / Docket; ","")&amp;IF(INDEX(RegDoc7,MATCH($A62,RegCaseNo,0))="N","Bail / Bond Records; ","")&amp;IF(INDEX(RegDoc8,MATCH($A62,RegCaseNo,0))="N","Judgment / Order; ","")))</f>
        <v/>
      </c>
      <c r="G62" s="32" t="n"/>
      <c r="H62" s="30" t="n"/>
      <c r="I62" s="31" t="n"/>
      <c r="J62" s="45">
        <f>IF($A62="","",IF(E62=1,"Complete",IF(AND(I62&lt;&gt;"",I62&lt;TODAY(),E62&lt;1),"Follow-up overdue",IF(E62&gt;=0.75,"Minor gaps","Action needed"))))</f>
        <v/>
      </c>
    </row>
    <row r="63" ht="26" customHeight="1">
      <c r="A63" s="30" t="n"/>
      <c r="B63" s="43">
        <f>IFERROR(IF($A63="","",INDEX(RegTitle,MATCH($A63,RegCaseNo,0))),"Case no. not found")</f>
        <v/>
      </c>
      <c r="C63" s="44">
        <f>IF($A63="","",SUMPRODUCT((RegCaseNo=$A63)*((RegDoc1="Y")+(RegDoc2="Y")+(RegDoc3="Y")+(RegDoc4="Y")+(RegDoc5="Y")+(RegDoc6="Y")+(RegDoc7="Y")+(RegDoc8="Y"))))</f>
        <v/>
      </c>
      <c r="D63" s="44">
        <f>IF($A63="","",SUMPRODUCT((RegCaseNo=$A63)*((RegDoc1="N")+(RegDoc2="N")+(RegDoc3="N")+(RegDoc4="N")+(RegDoc5="N")+(RegDoc6="N")+(RegDoc7="N")+(RegDoc8="N"))))</f>
        <v/>
      </c>
      <c r="E63" s="47">
        <f>IFERROR(IF($A63="","",C63/(C63+D63)),0)</f>
        <v/>
      </c>
      <c r="F63" s="43">
        <f>IF($A63="","",TRIM(IF(INDEX(RegDoc1,MATCH($A63,RegCaseNo,0))="N","Affidavit of Complaint; ","")&amp;IF(INDEX(RegDoc2,MATCH($A63,RegCaseNo,0))="N","Sworn Statements; ","")&amp;IF(INDEX(RegDoc3,MATCH($A63,RegCaseNo,0))="N","Police / Incident Report; ","")&amp;IF(INDEX(RegDoc4,MATCH($A63,RegCaseNo,0))="N","Evidence and Exhibits; ","")&amp;IF(INDEX(RegDoc5,MATCH($A63,RegCaseNo,0))="N","Resolution / Information; ","")&amp;IF(INDEX(RegDoc6,MATCH($A63,RegCaseNo,0))="N","Court Order / Docket; ","")&amp;IF(INDEX(RegDoc7,MATCH($A63,RegCaseNo,0))="N","Bail / Bond Records; ","")&amp;IF(INDEX(RegDoc8,MATCH($A63,RegCaseNo,0))="N","Judgment / Order; ","")))</f>
        <v/>
      </c>
      <c r="G63" s="32" t="n"/>
      <c r="H63" s="30" t="n"/>
      <c r="I63" s="31" t="n"/>
      <c r="J63" s="45">
        <f>IF($A63="","",IF(E63=1,"Complete",IF(AND(I63&lt;&gt;"",I63&lt;TODAY(),E63&lt;1),"Follow-up overdue",IF(E63&gt;=0.75,"Minor gaps","Action needed"))))</f>
        <v/>
      </c>
    </row>
    <row r="64" ht="26" customHeight="1">
      <c r="A64" s="30" t="n"/>
      <c r="B64" s="43">
        <f>IFERROR(IF($A64="","",INDEX(RegTitle,MATCH($A64,RegCaseNo,0))),"Case no. not found")</f>
        <v/>
      </c>
      <c r="C64" s="44">
        <f>IF($A64="","",SUMPRODUCT((RegCaseNo=$A64)*((RegDoc1="Y")+(RegDoc2="Y")+(RegDoc3="Y")+(RegDoc4="Y")+(RegDoc5="Y")+(RegDoc6="Y")+(RegDoc7="Y")+(RegDoc8="Y"))))</f>
        <v/>
      </c>
      <c r="D64" s="44">
        <f>IF($A64="","",SUMPRODUCT((RegCaseNo=$A64)*((RegDoc1="N")+(RegDoc2="N")+(RegDoc3="N")+(RegDoc4="N")+(RegDoc5="N")+(RegDoc6="N")+(RegDoc7="N")+(RegDoc8="N"))))</f>
        <v/>
      </c>
      <c r="E64" s="47">
        <f>IFERROR(IF($A64="","",C64/(C64+D64)),0)</f>
        <v/>
      </c>
      <c r="F64" s="43">
        <f>IF($A64="","",TRIM(IF(INDEX(RegDoc1,MATCH($A64,RegCaseNo,0))="N","Affidavit of Complaint; ","")&amp;IF(INDEX(RegDoc2,MATCH($A64,RegCaseNo,0))="N","Sworn Statements; ","")&amp;IF(INDEX(RegDoc3,MATCH($A64,RegCaseNo,0))="N","Police / Incident Report; ","")&amp;IF(INDEX(RegDoc4,MATCH($A64,RegCaseNo,0))="N","Evidence and Exhibits; ","")&amp;IF(INDEX(RegDoc5,MATCH($A64,RegCaseNo,0))="N","Resolution / Information; ","")&amp;IF(INDEX(RegDoc6,MATCH($A64,RegCaseNo,0))="N","Court Order / Docket; ","")&amp;IF(INDEX(RegDoc7,MATCH($A64,RegCaseNo,0))="N","Bail / Bond Records; ","")&amp;IF(INDEX(RegDoc8,MATCH($A64,RegCaseNo,0))="N","Judgment / Order; ","")))</f>
        <v/>
      </c>
      <c r="G64" s="32" t="n"/>
      <c r="H64" s="30" t="n"/>
      <c r="I64" s="31" t="n"/>
      <c r="J64" s="45">
        <f>IF($A64="","",IF(E64=1,"Complete",IF(AND(I64&lt;&gt;"",I64&lt;TODAY(),E64&lt;1),"Follow-up overdue",IF(E64&gt;=0.75,"Minor gaps","Action needed"))))</f>
        <v/>
      </c>
    </row>
    <row r="65" ht="26" customHeight="1">
      <c r="A65" s="30" t="n"/>
      <c r="B65" s="43">
        <f>IFERROR(IF($A65="","",INDEX(RegTitle,MATCH($A65,RegCaseNo,0))),"Case no. not found")</f>
        <v/>
      </c>
      <c r="C65" s="44">
        <f>IF($A65="","",SUMPRODUCT((RegCaseNo=$A65)*((RegDoc1="Y")+(RegDoc2="Y")+(RegDoc3="Y")+(RegDoc4="Y")+(RegDoc5="Y")+(RegDoc6="Y")+(RegDoc7="Y")+(RegDoc8="Y"))))</f>
        <v/>
      </c>
      <c r="D65" s="44">
        <f>IF($A65="","",SUMPRODUCT((RegCaseNo=$A65)*((RegDoc1="N")+(RegDoc2="N")+(RegDoc3="N")+(RegDoc4="N")+(RegDoc5="N")+(RegDoc6="N")+(RegDoc7="N")+(RegDoc8="N"))))</f>
        <v/>
      </c>
      <c r="E65" s="47">
        <f>IFERROR(IF($A65="","",C65/(C65+D65)),0)</f>
        <v/>
      </c>
      <c r="F65" s="43">
        <f>IF($A65="","",TRIM(IF(INDEX(RegDoc1,MATCH($A65,RegCaseNo,0))="N","Affidavit of Complaint; ","")&amp;IF(INDEX(RegDoc2,MATCH($A65,RegCaseNo,0))="N","Sworn Statements; ","")&amp;IF(INDEX(RegDoc3,MATCH($A65,RegCaseNo,0))="N","Police / Incident Report; ","")&amp;IF(INDEX(RegDoc4,MATCH($A65,RegCaseNo,0))="N","Evidence and Exhibits; ","")&amp;IF(INDEX(RegDoc5,MATCH($A65,RegCaseNo,0))="N","Resolution / Information; ","")&amp;IF(INDEX(RegDoc6,MATCH($A65,RegCaseNo,0))="N","Court Order / Docket; ","")&amp;IF(INDEX(RegDoc7,MATCH($A65,RegCaseNo,0))="N","Bail / Bond Records; ","")&amp;IF(INDEX(RegDoc8,MATCH($A65,RegCaseNo,0))="N","Judgment / Order; ","")))</f>
        <v/>
      </c>
      <c r="G65" s="32" t="n"/>
      <c r="H65" s="30" t="n"/>
      <c r="I65" s="31" t="n"/>
      <c r="J65" s="45">
        <f>IF($A65="","",IF(E65=1,"Complete",IF(AND(I65&lt;&gt;"",I65&lt;TODAY(),E65&lt;1),"Follow-up overdue",IF(E65&gt;=0.75,"Minor gaps","Action needed"))))</f>
        <v/>
      </c>
    </row>
    <row r="66" ht="26" customHeight="1">
      <c r="A66" s="30" t="n"/>
      <c r="B66" s="43">
        <f>IFERROR(IF($A66="","",INDEX(RegTitle,MATCH($A66,RegCaseNo,0))),"Case no. not found")</f>
        <v/>
      </c>
      <c r="C66" s="44">
        <f>IF($A66="","",SUMPRODUCT((RegCaseNo=$A66)*((RegDoc1="Y")+(RegDoc2="Y")+(RegDoc3="Y")+(RegDoc4="Y")+(RegDoc5="Y")+(RegDoc6="Y")+(RegDoc7="Y")+(RegDoc8="Y"))))</f>
        <v/>
      </c>
      <c r="D66" s="44">
        <f>IF($A66="","",SUMPRODUCT((RegCaseNo=$A66)*((RegDoc1="N")+(RegDoc2="N")+(RegDoc3="N")+(RegDoc4="N")+(RegDoc5="N")+(RegDoc6="N")+(RegDoc7="N")+(RegDoc8="N"))))</f>
        <v/>
      </c>
      <c r="E66" s="47">
        <f>IFERROR(IF($A66="","",C66/(C66+D66)),0)</f>
        <v/>
      </c>
      <c r="F66" s="43">
        <f>IF($A66="","",TRIM(IF(INDEX(RegDoc1,MATCH($A66,RegCaseNo,0))="N","Affidavit of Complaint; ","")&amp;IF(INDEX(RegDoc2,MATCH($A66,RegCaseNo,0))="N","Sworn Statements; ","")&amp;IF(INDEX(RegDoc3,MATCH($A66,RegCaseNo,0))="N","Police / Incident Report; ","")&amp;IF(INDEX(RegDoc4,MATCH($A66,RegCaseNo,0))="N","Evidence and Exhibits; ","")&amp;IF(INDEX(RegDoc5,MATCH($A66,RegCaseNo,0))="N","Resolution / Information; ","")&amp;IF(INDEX(RegDoc6,MATCH($A66,RegCaseNo,0))="N","Court Order / Docket; ","")&amp;IF(INDEX(RegDoc7,MATCH($A66,RegCaseNo,0))="N","Bail / Bond Records; ","")&amp;IF(INDEX(RegDoc8,MATCH($A66,RegCaseNo,0))="N","Judgment / Order; ","")))</f>
        <v/>
      </c>
      <c r="G66" s="32" t="n"/>
      <c r="H66" s="30" t="n"/>
      <c r="I66" s="31" t="n"/>
      <c r="J66" s="45">
        <f>IF($A66="","",IF(E66=1,"Complete",IF(AND(I66&lt;&gt;"",I66&lt;TODAY(),E66&lt;1),"Follow-up overdue",IF(E66&gt;=0.75,"Minor gaps","Action needed"))))</f>
        <v/>
      </c>
    </row>
    <row r="67" ht="26" customHeight="1">
      <c r="A67" s="30" t="n"/>
      <c r="B67" s="43">
        <f>IFERROR(IF($A67="","",INDEX(RegTitle,MATCH($A67,RegCaseNo,0))),"Case no. not found")</f>
        <v/>
      </c>
      <c r="C67" s="44">
        <f>IF($A67="","",SUMPRODUCT((RegCaseNo=$A67)*((RegDoc1="Y")+(RegDoc2="Y")+(RegDoc3="Y")+(RegDoc4="Y")+(RegDoc5="Y")+(RegDoc6="Y")+(RegDoc7="Y")+(RegDoc8="Y"))))</f>
        <v/>
      </c>
      <c r="D67" s="44">
        <f>IF($A67="","",SUMPRODUCT((RegCaseNo=$A67)*((RegDoc1="N")+(RegDoc2="N")+(RegDoc3="N")+(RegDoc4="N")+(RegDoc5="N")+(RegDoc6="N")+(RegDoc7="N")+(RegDoc8="N"))))</f>
        <v/>
      </c>
      <c r="E67" s="47">
        <f>IFERROR(IF($A67="","",C67/(C67+D67)),0)</f>
        <v/>
      </c>
      <c r="F67" s="43">
        <f>IF($A67="","",TRIM(IF(INDEX(RegDoc1,MATCH($A67,RegCaseNo,0))="N","Affidavit of Complaint; ","")&amp;IF(INDEX(RegDoc2,MATCH($A67,RegCaseNo,0))="N","Sworn Statements; ","")&amp;IF(INDEX(RegDoc3,MATCH($A67,RegCaseNo,0))="N","Police / Incident Report; ","")&amp;IF(INDEX(RegDoc4,MATCH($A67,RegCaseNo,0))="N","Evidence and Exhibits; ","")&amp;IF(INDEX(RegDoc5,MATCH($A67,RegCaseNo,0))="N","Resolution / Information; ","")&amp;IF(INDEX(RegDoc6,MATCH($A67,RegCaseNo,0))="N","Court Order / Docket; ","")&amp;IF(INDEX(RegDoc7,MATCH($A67,RegCaseNo,0))="N","Bail / Bond Records; ","")&amp;IF(INDEX(RegDoc8,MATCH($A67,RegCaseNo,0))="N","Judgment / Order; ","")))</f>
        <v/>
      </c>
      <c r="G67" s="32" t="n"/>
      <c r="H67" s="30" t="n"/>
      <c r="I67" s="31" t="n"/>
      <c r="J67" s="45">
        <f>IF($A67="","",IF(E67=1,"Complete",IF(AND(I67&lt;&gt;"",I67&lt;TODAY(),E67&lt;1),"Follow-up overdue",IF(E67&gt;=0.75,"Minor gaps","Action needed"))))</f>
        <v/>
      </c>
    </row>
    <row r="68" ht="26" customHeight="1">
      <c r="A68" s="30" t="n"/>
      <c r="B68" s="43">
        <f>IFERROR(IF($A68="","",INDEX(RegTitle,MATCH($A68,RegCaseNo,0))),"Case no. not found")</f>
        <v/>
      </c>
      <c r="C68" s="44">
        <f>IF($A68="","",SUMPRODUCT((RegCaseNo=$A68)*((RegDoc1="Y")+(RegDoc2="Y")+(RegDoc3="Y")+(RegDoc4="Y")+(RegDoc5="Y")+(RegDoc6="Y")+(RegDoc7="Y")+(RegDoc8="Y"))))</f>
        <v/>
      </c>
      <c r="D68" s="44">
        <f>IF($A68="","",SUMPRODUCT((RegCaseNo=$A68)*((RegDoc1="N")+(RegDoc2="N")+(RegDoc3="N")+(RegDoc4="N")+(RegDoc5="N")+(RegDoc6="N")+(RegDoc7="N")+(RegDoc8="N"))))</f>
        <v/>
      </c>
      <c r="E68" s="47">
        <f>IFERROR(IF($A68="","",C68/(C68+D68)),0)</f>
        <v/>
      </c>
      <c r="F68" s="43">
        <f>IF($A68="","",TRIM(IF(INDEX(RegDoc1,MATCH($A68,RegCaseNo,0))="N","Affidavit of Complaint; ","")&amp;IF(INDEX(RegDoc2,MATCH($A68,RegCaseNo,0))="N","Sworn Statements; ","")&amp;IF(INDEX(RegDoc3,MATCH($A68,RegCaseNo,0))="N","Police / Incident Report; ","")&amp;IF(INDEX(RegDoc4,MATCH($A68,RegCaseNo,0))="N","Evidence and Exhibits; ","")&amp;IF(INDEX(RegDoc5,MATCH($A68,RegCaseNo,0))="N","Resolution / Information; ","")&amp;IF(INDEX(RegDoc6,MATCH($A68,RegCaseNo,0))="N","Court Order / Docket; ","")&amp;IF(INDEX(RegDoc7,MATCH($A68,RegCaseNo,0))="N","Bail / Bond Records; ","")&amp;IF(INDEX(RegDoc8,MATCH($A68,RegCaseNo,0))="N","Judgment / Order; ","")))</f>
        <v/>
      </c>
      <c r="G68" s="32" t="n"/>
      <c r="H68" s="30" t="n"/>
      <c r="I68" s="31" t="n"/>
      <c r="J68" s="45">
        <f>IF($A68="","",IF(E68=1,"Complete",IF(AND(I68&lt;&gt;"",I68&lt;TODAY(),E68&lt;1),"Follow-up overdue",IF(E68&gt;=0.75,"Minor gaps","Action needed"))))</f>
        <v/>
      </c>
    </row>
    <row r="69" ht="26" customHeight="1">
      <c r="A69" s="30" t="n"/>
      <c r="B69" s="43">
        <f>IFERROR(IF($A69="","",INDEX(RegTitle,MATCH($A69,RegCaseNo,0))),"Case no. not found")</f>
        <v/>
      </c>
      <c r="C69" s="44">
        <f>IF($A69="","",SUMPRODUCT((RegCaseNo=$A69)*((RegDoc1="Y")+(RegDoc2="Y")+(RegDoc3="Y")+(RegDoc4="Y")+(RegDoc5="Y")+(RegDoc6="Y")+(RegDoc7="Y")+(RegDoc8="Y"))))</f>
        <v/>
      </c>
      <c r="D69" s="44">
        <f>IF($A69="","",SUMPRODUCT((RegCaseNo=$A69)*((RegDoc1="N")+(RegDoc2="N")+(RegDoc3="N")+(RegDoc4="N")+(RegDoc5="N")+(RegDoc6="N")+(RegDoc7="N")+(RegDoc8="N"))))</f>
        <v/>
      </c>
      <c r="E69" s="47">
        <f>IFERROR(IF($A69="","",C69/(C69+D69)),0)</f>
        <v/>
      </c>
      <c r="F69" s="43">
        <f>IF($A69="","",TRIM(IF(INDEX(RegDoc1,MATCH($A69,RegCaseNo,0))="N","Affidavit of Complaint; ","")&amp;IF(INDEX(RegDoc2,MATCH($A69,RegCaseNo,0))="N","Sworn Statements; ","")&amp;IF(INDEX(RegDoc3,MATCH($A69,RegCaseNo,0))="N","Police / Incident Report; ","")&amp;IF(INDEX(RegDoc4,MATCH($A69,RegCaseNo,0))="N","Evidence and Exhibits; ","")&amp;IF(INDEX(RegDoc5,MATCH($A69,RegCaseNo,0))="N","Resolution / Information; ","")&amp;IF(INDEX(RegDoc6,MATCH($A69,RegCaseNo,0))="N","Court Order / Docket; ","")&amp;IF(INDEX(RegDoc7,MATCH($A69,RegCaseNo,0))="N","Bail / Bond Records; ","")&amp;IF(INDEX(RegDoc8,MATCH($A69,RegCaseNo,0))="N","Judgment / Order; ","")))</f>
        <v/>
      </c>
      <c r="G69" s="32" t="n"/>
      <c r="H69" s="30" t="n"/>
      <c r="I69" s="31" t="n"/>
      <c r="J69" s="45">
        <f>IF($A69="","",IF(E69=1,"Complete",IF(AND(I69&lt;&gt;"",I69&lt;TODAY(),E69&lt;1),"Follow-up overdue",IF(E69&gt;=0.75,"Minor gaps","Action needed"))))</f>
        <v/>
      </c>
    </row>
    <row r="70" ht="26" customHeight="1">
      <c r="A70" s="30" t="n"/>
      <c r="B70" s="43">
        <f>IFERROR(IF($A70="","",INDEX(RegTitle,MATCH($A70,RegCaseNo,0))),"Case no. not found")</f>
        <v/>
      </c>
      <c r="C70" s="44">
        <f>IF($A70="","",SUMPRODUCT((RegCaseNo=$A70)*((RegDoc1="Y")+(RegDoc2="Y")+(RegDoc3="Y")+(RegDoc4="Y")+(RegDoc5="Y")+(RegDoc6="Y")+(RegDoc7="Y")+(RegDoc8="Y"))))</f>
        <v/>
      </c>
      <c r="D70" s="44">
        <f>IF($A70="","",SUMPRODUCT((RegCaseNo=$A70)*((RegDoc1="N")+(RegDoc2="N")+(RegDoc3="N")+(RegDoc4="N")+(RegDoc5="N")+(RegDoc6="N")+(RegDoc7="N")+(RegDoc8="N"))))</f>
        <v/>
      </c>
      <c r="E70" s="47">
        <f>IFERROR(IF($A70="","",C70/(C70+D70)),0)</f>
        <v/>
      </c>
      <c r="F70" s="43">
        <f>IF($A70="","",TRIM(IF(INDEX(RegDoc1,MATCH($A70,RegCaseNo,0))="N","Affidavit of Complaint; ","")&amp;IF(INDEX(RegDoc2,MATCH($A70,RegCaseNo,0))="N","Sworn Statements; ","")&amp;IF(INDEX(RegDoc3,MATCH($A70,RegCaseNo,0))="N","Police / Incident Report; ","")&amp;IF(INDEX(RegDoc4,MATCH($A70,RegCaseNo,0))="N","Evidence and Exhibits; ","")&amp;IF(INDEX(RegDoc5,MATCH($A70,RegCaseNo,0))="N","Resolution / Information; ","")&amp;IF(INDEX(RegDoc6,MATCH($A70,RegCaseNo,0))="N","Court Order / Docket; ","")&amp;IF(INDEX(RegDoc7,MATCH($A70,RegCaseNo,0))="N","Bail / Bond Records; ","")&amp;IF(INDEX(RegDoc8,MATCH($A70,RegCaseNo,0))="N","Judgment / Order; ","")))</f>
        <v/>
      </c>
      <c r="G70" s="32" t="n"/>
      <c r="H70" s="30" t="n"/>
      <c r="I70" s="31" t="n"/>
      <c r="J70" s="45">
        <f>IF($A70="","",IF(E70=1,"Complete",IF(AND(I70&lt;&gt;"",I70&lt;TODAY(),E70&lt;1),"Follow-up overdue",IF(E70&gt;=0.75,"Minor gaps","Action needed"))))</f>
        <v/>
      </c>
    </row>
    <row r="71" ht="26" customHeight="1">
      <c r="A71" s="30" t="n"/>
      <c r="B71" s="43">
        <f>IFERROR(IF($A71="","",INDEX(RegTitle,MATCH($A71,RegCaseNo,0))),"Case no. not found")</f>
        <v/>
      </c>
      <c r="C71" s="44">
        <f>IF($A71="","",SUMPRODUCT((RegCaseNo=$A71)*((RegDoc1="Y")+(RegDoc2="Y")+(RegDoc3="Y")+(RegDoc4="Y")+(RegDoc5="Y")+(RegDoc6="Y")+(RegDoc7="Y")+(RegDoc8="Y"))))</f>
        <v/>
      </c>
      <c r="D71" s="44">
        <f>IF($A71="","",SUMPRODUCT((RegCaseNo=$A71)*((RegDoc1="N")+(RegDoc2="N")+(RegDoc3="N")+(RegDoc4="N")+(RegDoc5="N")+(RegDoc6="N")+(RegDoc7="N")+(RegDoc8="N"))))</f>
        <v/>
      </c>
      <c r="E71" s="47">
        <f>IFERROR(IF($A71="","",C71/(C71+D71)),0)</f>
        <v/>
      </c>
      <c r="F71" s="43">
        <f>IF($A71="","",TRIM(IF(INDEX(RegDoc1,MATCH($A71,RegCaseNo,0))="N","Affidavit of Complaint; ","")&amp;IF(INDEX(RegDoc2,MATCH($A71,RegCaseNo,0))="N","Sworn Statements; ","")&amp;IF(INDEX(RegDoc3,MATCH($A71,RegCaseNo,0))="N","Police / Incident Report; ","")&amp;IF(INDEX(RegDoc4,MATCH($A71,RegCaseNo,0))="N","Evidence and Exhibits; ","")&amp;IF(INDEX(RegDoc5,MATCH($A71,RegCaseNo,0))="N","Resolution / Information; ","")&amp;IF(INDEX(RegDoc6,MATCH($A71,RegCaseNo,0))="N","Court Order / Docket; ","")&amp;IF(INDEX(RegDoc7,MATCH($A71,RegCaseNo,0))="N","Bail / Bond Records; ","")&amp;IF(INDEX(RegDoc8,MATCH($A71,RegCaseNo,0))="N","Judgment / Order; ","")))</f>
        <v/>
      </c>
      <c r="G71" s="32" t="n"/>
      <c r="H71" s="30" t="n"/>
      <c r="I71" s="31" t="n"/>
      <c r="J71" s="45">
        <f>IF($A71="","",IF(E71=1,"Complete",IF(AND(I71&lt;&gt;"",I71&lt;TODAY(),E71&lt;1),"Follow-up overdue",IF(E71&gt;=0.75,"Minor gaps","Action needed"))))</f>
        <v/>
      </c>
    </row>
    <row r="72" ht="26" customHeight="1">
      <c r="A72" s="30" t="n"/>
      <c r="B72" s="43">
        <f>IFERROR(IF($A72="","",INDEX(RegTitle,MATCH($A72,RegCaseNo,0))),"Case no. not found")</f>
        <v/>
      </c>
      <c r="C72" s="44">
        <f>IF($A72="","",SUMPRODUCT((RegCaseNo=$A72)*((RegDoc1="Y")+(RegDoc2="Y")+(RegDoc3="Y")+(RegDoc4="Y")+(RegDoc5="Y")+(RegDoc6="Y")+(RegDoc7="Y")+(RegDoc8="Y"))))</f>
        <v/>
      </c>
      <c r="D72" s="44">
        <f>IF($A72="","",SUMPRODUCT((RegCaseNo=$A72)*((RegDoc1="N")+(RegDoc2="N")+(RegDoc3="N")+(RegDoc4="N")+(RegDoc5="N")+(RegDoc6="N")+(RegDoc7="N")+(RegDoc8="N"))))</f>
        <v/>
      </c>
      <c r="E72" s="47">
        <f>IFERROR(IF($A72="","",C72/(C72+D72)),0)</f>
        <v/>
      </c>
      <c r="F72" s="43">
        <f>IF($A72="","",TRIM(IF(INDEX(RegDoc1,MATCH($A72,RegCaseNo,0))="N","Affidavit of Complaint; ","")&amp;IF(INDEX(RegDoc2,MATCH($A72,RegCaseNo,0))="N","Sworn Statements; ","")&amp;IF(INDEX(RegDoc3,MATCH($A72,RegCaseNo,0))="N","Police / Incident Report; ","")&amp;IF(INDEX(RegDoc4,MATCH($A72,RegCaseNo,0))="N","Evidence and Exhibits; ","")&amp;IF(INDEX(RegDoc5,MATCH($A72,RegCaseNo,0))="N","Resolution / Information; ","")&amp;IF(INDEX(RegDoc6,MATCH($A72,RegCaseNo,0))="N","Court Order / Docket; ","")&amp;IF(INDEX(RegDoc7,MATCH($A72,RegCaseNo,0))="N","Bail / Bond Records; ","")&amp;IF(INDEX(RegDoc8,MATCH($A72,RegCaseNo,0))="N","Judgment / Order; ","")))</f>
        <v/>
      </c>
      <c r="G72" s="32" t="n"/>
      <c r="H72" s="30" t="n"/>
      <c r="I72" s="31" t="n"/>
      <c r="J72" s="45">
        <f>IF($A72="","",IF(E72=1,"Complete",IF(AND(I72&lt;&gt;"",I72&lt;TODAY(),E72&lt;1),"Follow-up overdue",IF(E72&gt;=0.75,"Minor gaps","Action needed"))))</f>
        <v/>
      </c>
    </row>
    <row r="73" ht="26" customHeight="1">
      <c r="A73" s="30" t="n"/>
      <c r="B73" s="43">
        <f>IFERROR(IF($A73="","",INDEX(RegTitle,MATCH($A73,RegCaseNo,0))),"Case no. not found")</f>
        <v/>
      </c>
      <c r="C73" s="44">
        <f>IF($A73="","",SUMPRODUCT((RegCaseNo=$A73)*((RegDoc1="Y")+(RegDoc2="Y")+(RegDoc3="Y")+(RegDoc4="Y")+(RegDoc5="Y")+(RegDoc6="Y")+(RegDoc7="Y")+(RegDoc8="Y"))))</f>
        <v/>
      </c>
      <c r="D73" s="44">
        <f>IF($A73="","",SUMPRODUCT((RegCaseNo=$A73)*((RegDoc1="N")+(RegDoc2="N")+(RegDoc3="N")+(RegDoc4="N")+(RegDoc5="N")+(RegDoc6="N")+(RegDoc7="N")+(RegDoc8="N"))))</f>
        <v/>
      </c>
      <c r="E73" s="47">
        <f>IFERROR(IF($A73="","",C73/(C73+D73)),0)</f>
        <v/>
      </c>
      <c r="F73" s="43">
        <f>IF($A73="","",TRIM(IF(INDEX(RegDoc1,MATCH($A73,RegCaseNo,0))="N","Affidavit of Complaint; ","")&amp;IF(INDEX(RegDoc2,MATCH($A73,RegCaseNo,0))="N","Sworn Statements; ","")&amp;IF(INDEX(RegDoc3,MATCH($A73,RegCaseNo,0))="N","Police / Incident Report; ","")&amp;IF(INDEX(RegDoc4,MATCH($A73,RegCaseNo,0))="N","Evidence and Exhibits; ","")&amp;IF(INDEX(RegDoc5,MATCH($A73,RegCaseNo,0))="N","Resolution / Information; ","")&amp;IF(INDEX(RegDoc6,MATCH($A73,RegCaseNo,0))="N","Court Order / Docket; ","")&amp;IF(INDEX(RegDoc7,MATCH($A73,RegCaseNo,0))="N","Bail / Bond Records; ","")&amp;IF(INDEX(RegDoc8,MATCH($A73,RegCaseNo,0))="N","Judgment / Order; ","")))</f>
        <v/>
      </c>
      <c r="G73" s="32" t="n"/>
      <c r="H73" s="30" t="n"/>
      <c r="I73" s="31" t="n"/>
      <c r="J73" s="45">
        <f>IF($A73="","",IF(E73=1,"Complete",IF(AND(I73&lt;&gt;"",I73&lt;TODAY(),E73&lt;1),"Follow-up overdue",IF(E73&gt;=0.75,"Minor gaps","Action needed"))))</f>
        <v/>
      </c>
    </row>
    <row r="74" ht="26" customHeight="1">
      <c r="A74" s="30" t="n"/>
      <c r="B74" s="43">
        <f>IFERROR(IF($A74="","",INDEX(RegTitle,MATCH($A74,RegCaseNo,0))),"Case no. not found")</f>
        <v/>
      </c>
      <c r="C74" s="44">
        <f>IF($A74="","",SUMPRODUCT((RegCaseNo=$A74)*((RegDoc1="Y")+(RegDoc2="Y")+(RegDoc3="Y")+(RegDoc4="Y")+(RegDoc5="Y")+(RegDoc6="Y")+(RegDoc7="Y")+(RegDoc8="Y"))))</f>
        <v/>
      </c>
      <c r="D74" s="44">
        <f>IF($A74="","",SUMPRODUCT((RegCaseNo=$A74)*((RegDoc1="N")+(RegDoc2="N")+(RegDoc3="N")+(RegDoc4="N")+(RegDoc5="N")+(RegDoc6="N")+(RegDoc7="N")+(RegDoc8="N"))))</f>
        <v/>
      </c>
      <c r="E74" s="47">
        <f>IFERROR(IF($A74="","",C74/(C74+D74)),0)</f>
        <v/>
      </c>
      <c r="F74" s="43">
        <f>IF($A74="","",TRIM(IF(INDEX(RegDoc1,MATCH($A74,RegCaseNo,0))="N","Affidavit of Complaint; ","")&amp;IF(INDEX(RegDoc2,MATCH($A74,RegCaseNo,0))="N","Sworn Statements; ","")&amp;IF(INDEX(RegDoc3,MATCH($A74,RegCaseNo,0))="N","Police / Incident Report; ","")&amp;IF(INDEX(RegDoc4,MATCH($A74,RegCaseNo,0))="N","Evidence and Exhibits; ","")&amp;IF(INDEX(RegDoc5,MATCH($A74,RegCaseNo,0))="N","Resolution / Information; ","")&amp;IF(INDEX(RegDoc6,MATCH($A74,RegCaseNo,0))="N","Court Order / Docket; ","")&amp;IF(INDEX(RegDoc7,MATCH($A74,RegCaseNo,0))="N","Bail / Bond Records; ","")&amp;IF(INDEX(RegDoc8,MATCH($A74,RegCaseNo,0))="N","Judgment / Order; ","")))</f>
        <v/>
      </c>
      <c r="G74" s="32" t="n"/>
      <c r="H74" s="30" t="n"/>
      <c r="I74" s="31" t="n"/>
      <c r="J74" s="45">
        <f>IF($A74="","",IF(E74=1,"Complete",IF(AND(I74&lt;&gt;"",I74&lt;TODAY(),E74&lt;1),"Follow-up overdue",IF(E74&gt;=0.75,"Minor gaps","Action needed"))))</f>
        <v/>
      </c>
    </row>
    <row r="75" ht="26" customHeight="1">
      <c r="A75" s="30" t="n"/>
      <c r="B75" s="43">
        <f>IFERROR(IF($A75="","",INDEX(RegTitle,MATCH($A75,RegCaseNo,0))),"Case no. not found")</f>
        <v/>
      </c>
      <c r="C75" s="44">
        <f>IF($A75="","",SUMPRODUCT((RegCaseNo=$A75)*((RegDoc1="Y")+(RegDoc2="Y")+(RegDoc3="Y")+(RegDoc4="Y")+(RegDoc5="Y")+(RegDoc6="Y")+(RegDoc7="Y")+(RegDoc8="Y"))))</f>
        <v/>
      </c>
      <c r="D75" s="44">
        <f>IF($A75="","",SUMPRODUCT((RegCaseNo=$A75)*((RegDoc1="N")+(RegDoc2="N")+(RegDoc3="N")+(RegDoc4="N")+(RegDoc5="N")+(RegDoc6="N")+(RegDoc7="N")+(RegDoc8="N"))))</f>
        <v/>
      </c>
      <c r="E75" s="47">
        <f>IFERROR(IF($A75="","",C75/(C75+D75)),0)</f>
        <v/>
      </c>
      <c r="F75" s="43">
        <f>IF($A75="","",TRIM(IF(INDEX(RegDoc1,MATCH($A75,RegCaseNo,0))="N","Affidavit of Complaint; ","")&amp;IF(INDEX(RegDoc2,MATCH($A75,RegCaseNo,0))="N","Sworn Statements; ","")&amp;IF(INDEX(RegDoc3,MATCH($A75,RegCaseNo,0))="N","Police / Incident Report; ","")&amp;IF(INDEX(RegDoc4,MATCH($A75,RegCaseNo,0))="N","Evidence and Exhibits; ","")&amp;IF(INDEX(RegDoc5,MATCH($A75,RegCaseNo,0))="N","Resolution / Information; ","")&amp;IF(INDEX(RegDoc6,MATCH($A75,RegCaseNo,0))="N","Court Order / Docket; ","")&amp;IF(INDEX(RegDoc7,MATCH($A75,RegCaseNo,0))="N","Bail / Bond Records; ","")&amp;IF(INDEX(RegDoc8,MATCH($A75,RegCaseNo,0))="N","Judgment / Order; ","")))</f>
        <v/>
      </c>
      <c r="G75" s="32" t="n"/>
      <c r="H75" s="30" t="n"/>
      <c r="I75" s="31" t="n"/>
      <c r="J75" s="45">
        <f>IF($A75="","",IF(E75=1,"Complete",IF(AND(I75&lt;&gt;"",I75&lt;TODAY(),E75&lt;1),"Follow-up overdue",IF(E75&gt;=0.75,"Minor gaps","Action needed"))))</f>
        <v/>
      </c>
    </row>
    <row r="76" ht="26" customHeight="1">
      <c r="A76" s="30" t="n"/>
      <c r="B76" s="43">
        <f>IFERROR(IF($A76="","",INDEX(RegTitle,MATCH($A76,RegCaseNo,0))),"Case no. not found")</f>
        <v/>
      </c>
      <c r="C76" s="44">
        <f>IF($A76="","",SUMPRODUCT((RegCaseNo=$A76)*((RegDoc1="Y")+(RegDoc2="Y")+(RegDoc3="Y")+(RegDoc4="Y")+(RegDoc5="Y")+(RegDoc6="Y")+(RegDoc7="Y")+(RegDoc8="Y"))))</f>
        <v/>
      </c>
      <c r="D76" s="44">
        <f>IF($A76="","",SUMPRODUCT((RegCaseNo=$A76)*((RegDoc1="N")+(RegDoc2="N")+(RegDoc3="N")+(RegDoc4="N")+(RegDoc5="N")+(RegDoc6="N")+(RegDoc7="N")+(RegDoc8="N"))))</f>
        <v/>
      </c>
      <c r="E76" s="47">
        <f>IFERROR(IF($A76="","",C76/(C76+D76)),0)</f>
        <v/>
      </c>
      <c r="F76" s="43">
        <f>IF($A76="","",TRIM(IF(INDEX(RegDoc1,MATCH($A76,RegCaseNo,0))="N","Affidavit of Complaint; ","")&amp;IF(INDEX(RegDoc2,MATCH($A76,RegCaseNo,0))="N","Sworn Statements; ","")&amp;IF(INDEX(RegDoc3,MATCH($A76,RegCaseNo,0))="N","Police / Incident Report; ","")&amp;IF(INDEX(RegDoc4,MATCH($A76,RegCaseNo,0))="N","Evidence and Exhibits; ","")&amp;IF(INDEX(RegDoc5,MATCH($A76,RegCaseNo,0))="N","Resolution / Information; ","")&amp;IF(INDEX(RegDoc6,MATCH($A76,RegCaseNo,0))="N","Court Order / Docket; ","")&amp;IF(INDEX(RegDoc7,MATCH($A76,RegCaseNo,0))="N","Bail / Bond Records; ","")&amp;IF(INDEX(RegDoc8,MATCH($A76,RegCaseNo,0))="N","Judgment / Order; ","")))</f>
        <v/>
      </c>
      <c r="G76" s="32" t="n"/>
      <c r="H76" s="30" t="n"/>
      <c r="I76" s="31" t="n"/>
      <c r="J76" s="45">
        <f>IF($A76="","",IF(E76=1,"Complete",IF(AND(I76&lt;&gt;"",I76&lt;TODAY(),E76&lt;1),"Follow-up overdue",IF(E76&gt;=0.75,"Minor gaps","Action needed"))))</f>
        <v/>
      </c>
    </row>
    <row r="77" ht="26" customHeight="1">
      <c r="A77" s="30" t="n"/>
      <c r="B77" s="43">
        <f>IFERROR(IF($A77="","",INDEX(RegTitle,MATCH($A77,RegCaseNo,0))),"Case no. not found")</f>
        <v/>
      </c>
      <c r="C77" s="44">
        <f>IF($A77="","",SUMPRODUCT((RegCaseNo=$A77)*((RegDoc1="Y")+(RegDoc2="Y")+(RegDoc3="Y")+(RegDoc4="Y")+(RegDoc5="Y")+(RegDoc6="Y")+(RegDoc7="Y")+(RegDoc8="Y"))))</f>
        <v/>
      </c>
      <c r="D77" s="44">
        <f>IF($A77="","",SUMPRODUCT((RegCaseNo=$A77)*((RegDoc1="N")+(RegDoc2="N")+(RegDoc3="N")+(RegDoc4="N")+(RegDoc5="N")+(RegDoc6="N")+(RegDoc7="N")+(RegDoc8="N"))))</f>
        <v/>
      </c>
      <c r="E77" s="47">
        <f>IFERROR(IF($A77="","",C77/(C77+D77)),0)</f>
        <v/>
      </c>
      <c r="F77" s="43">
        <f>IF($A77="","",TRIM(IF(INDEX(RegDoc1,MATCH($A77,RegCaseNo,0))="N","Affidavit of Complaint; ","")&amp;IF(INDEX(RegDoc2,MATCH($A77,RegCaseNo,0))="N","Sworn Statements; ","")&amp;IF(INDEX(RegDoc3,MATCH($A77,RegCaseNo,0))="N","Police / Incident Report; ","")&amp;IF(INDEX(RegDoc4,MATCH($A77,RegCaseNo,0))="N","Evidence and Exhibits; ","")&amp;IF(INDEX(RegDoc5,MATCH($A77,RegCaseNo,0))="N","Resolution / Information; ","")&amp;IF(INDEX(RegDoc6,MATCH($A77,RegCaseNo,0))="N","Court Order / Docket; ","")&amp;IF(INDEX(RegDoc7,MATCH($A77,RegCaseNo,0))="N","Bail / Bond Records; ","")&amp;IF(INDEX(RegDoc8,MATCH($A77,RegCaseNo,0))="N","Judgment / Order; ","")))</f>
        <v/>
      </c>
      <c r="G77" s="32" t="n"/>
      <c r="H77" s="30" t="n"/>
      <c r="I77" s="31" t="n"/>
      <c r="J77" s="45">
        <f>IF($A77="","",IF(E77=1,"Complete",IF(AND(I77&lt;&gt;"",I77&lt;TODAY(),E77&lt;1),"Follow-up overdue",IF(E77&gt;=0.75,"Minor gaps","Action needed"))))</f>
        <v/>
      </c>
    </row>
    <row r="78" ht="26" customHeight="1">
      <c r="A78" s="30" t="n"/>
      <c r="B78" s="43">
        <f>IFERROR(IF($A78="","",INDEX(RegTitle,MATCH($A78,RegCaseNo,0))),"Case no. not found")</f>
        <v/>
      </c>
      <c r="C78" s="44">
        <f>IF($A78="","",SUMPRODUCT((RegCaseNo=$A78)*((RegDoc1="Y")+(RegDoc2="Y")+(RegDoc3="Y")+(RegDoc4="Y")+(RegDoc5="Y")+(RegDoc6="Y")+(RegDoc7="Y")+(RegDoc8="Y"))))</f>
        <v/>
      </c>
      <c r="D78" s="44">
        <f>IF($A78="","",SUMPRODUCT((RegCaseNo=$A78)*((RegDoc1="N")+(RegDoc2="N")+(RegDoc3="N")+(RegDoc4="N")+(RegDoc5="N")+(RegDoc6="N")+(RegDoc7="N")+(RegDoc8="N"))))</f>
        <v/>
      </c>
      <c r="E78" s="47">
        <f>IFERROR(IF($A78="","",C78/(C78+D78)),0)</f>
        <v/>
      </c>
      <c r="F78" s="43">
        <f>IF($A78="","",TRIM(IF(INDEX(RegDoc1,MATCH($A78,RegCaseNo,0))="N","Affidavit of Complaint; ","")&amp;IF(INDEX(RegDoc2,MATCH($A78,RegCaseNo,0))="N","Sworn Statements; ","")&amp;IF(INDEX(RegDoc3,MATCH($A78,RegCaseNo,0))="N","Police / Incident Report; ","")&amp;IF(INDEX(RegDoc4,MATCH($A78,RegCaseNo,0))="N","Evidence and Exhibits; ","")&amp;IF(INDEX(RegDoc5,MATCH($A78,RegCaseNo,0))="N","Resolution / Information; ","")&amp;IF(INDEX(RegDoc6,MATCH($A78,RegCaseNo,0))="N","Court Order / Docket; ","")&amp;IF(INDEX(RegDoc7,MATCH($A78,RegCaseNo,0))="N","Bail / Bond Records; ","")&amp;IF(INDEX(RegDoc8,MATCH($A78,RegCaseNo,0))="N","Judgment / Order; ","")))</f>
        <v/>
      </c>
      <c r="G78" s="32" t="n"/>
      <c r="H78" s="30" t="n"/>
      <c r="I78" s="31" t="n"/>
      <c r="J78" s="45">
        <f>IF($A78="","",IF(E78=1,"Complete",IF(AND(I78&lt;&gt;"",I78&lt;TODAY(),E78&lt;1),"Follow-up overdue",IF(E78&gt;=0.75,"Minor gaps","Action needed"))))</f>
        <v/>
      </c>
    </row>
    <row r="79" ht="26" customHeight="1">
      <c r="A79" s="30" t="n"/>
      <c r="B79" s="43">
        <f>IFERROR(IF($A79="","",INDEX(RegTitle,MATCH($A79,RegCaseNo,0))),"Case no. not found")</f>
        <v/>
      </c>
      <c r="C79" s="44">
        <f>IF($A79="","",SUMPRODUCT((RegCaseNo=$A79)*((RegDoc1="Y")+(RegDoc2="Y")+(RegDoc3="Y")+(RegDoc4="Y")+(RegDoc5="Y")+(RegDoc6="Y")+(RegDoc7="Y")+(RegDoc8="Y"))))</f>
        <v/>
      </c>
      <c r="D79" s="44">
        <f>IF($A79="","",SUMPRODUCT((RegCaseNo=$A79)*((RegDoc1="N")+(RegDoc2="N")+(RegDoc3="N")+(RegDoc4="N")+(RegDoc5="N")+(RegDoc6="N")+(RegDoc7="N")+(RegDoc8="N"))))</f>
        <v/>
      </c>
      <c r="E79" s="47">
        <f>IFERROR(IF($A79="","",C79/(C79+D79)),0)</f>
        <v/>
      </c>
      <c r="F79" s="43">
        <f>IF($A79="","",TRIM(IF(INDEX(RegDoc1,MATCH($A79,RegCaseNo,0))="N","Affidavit of Complaint; ","")&amp;IF(INDEX(RegDoc2,MATCH($A79,RegCaseNo,0))="N","Sworn Statements; ","")&amp;IF(INDEX(RegDoc3,MATCH($A79,RegCaseNo,0))="N","Police / Incident Report; ","")&amp;IF(INDEX(RegDoc4,MATCH($A79,RegCaseNo,0))="N","Evidence and Exhibits; ","")&amp;IF(INDEX(RegDoc5,MATCH($A79,RegCaseNo,0))="N","Resolution / Information; ","")&amp;IF(INDEX(RegDoc6,MATCH($A79,RegCaseNo,0))="N","Court Order / Docket; ","")&amp;IF(INDEX(RegDoc7,MATCH($A79,RegCaseNo,0))="N","Bail / Bond Records; ","")&amp;IF(INDEX(RegDoc8,MATCH($A79,RegCaseNo,0))="N","Judgment / Order; ","")))</f>
        <v/>
      </c>
      <c r="G79" s="32" t="n"/>
      <c r="H79" s="30" t="n"/>
      <c r="I79" s="31" t="n"/>
      <c r="J79" s="45">
        <f>IF($A79="","",IF(E79=1,"Complete",IF(AND(I79&lt;&gt;"",I79&lt;TODAY(),E79&lt;1),"Follow-up overdue",IF(E79&gt;=0.75,"Minor gaps","Action needed"))))</f>
        <v/>
      </c>
    </row>
    <row r="80" ht="26" customHeight="1">
      <c r="A80" s="30" t="n"/>
      <c r="B80" s="43">
        <f>IFERROR(IF($A80="","",INDEX(RegTitle,MATCH($A80,RegCaseNo,0))),"Case no. not found")</f>
        <v/>
      </c>
      <c r="C80" s="44">
        <f>IF($A80="","",SUMPRODUCT((RegCaseNo=$A80)*((RegDoc1="Y")+(RegDoc2="Y")+(RegDoc3="Y")+(RegDoc4="Y")+(RegDoc5="Y")+(RegDoc6="Y")+(RegDoc7="Y")+(RegDoc8="Y"))))</f>
        <v/>
      </c>
      <c r="D80" s="44">
        <f>IF($A80="","",SUMPRODUCT((RegCaseNo=$A80)*((RegDoc1="N")+(RegDoc2="N")+(RegDoc3="N")+(RegDoc4="N")+(RegDoc5="N")+(RegDoc6="N")+(RegDoc7="N")+(RegDoc8="N"))))</f>
        <v/>
      </c>
      <c r="E80" s="47">
        <f>IFERROR(IF($A80="","",C80/(C80+D80)),0)</f>
        <v/>
      </c>
      <c r="F80" s="43">
        <f>IF($A80="","",TRIM(IF(INDEX(RegDoc1,MATCH($A80,RegCaseNo,0))="N","Affidavit of Complaint; ","")&amp;IF(INDEX(RegDoc2,MATCH($A80,RegCaseNo,0))="N","Sworn Statements; ","")&amp;IF(INDEX(RegDoc3,MATCH($A80,RegCaseNo,0))="N","Police / Incident Report; ","")&amp;IF(INDEX(RegDoc4,MATCH($A80,RegCaseNo,0))="N","Evidence and Exhibits; ","")&amp;IF(INDEX(RegDoc5,MATCH($A80,RegCaseNo,0))="N","Resolution / Information; ","")&amp;IF(INDEX(RegDoc6,MATCH($A80,RegCaseNo,0))="N","Court Order / Docket; ","")&amp;IF(INDEX(RegDoc7,MATCH($A80,RegCaseNo,0))="N","Bail / Bond Records; ","")&amp;IF(INDEX(RegDoc8,MATCH($A80,RegCaseNo,0))="N","Judgment / Order; ","")))</f>
        <v/>
      </c>
      <c r="G80" s="32" t="n"/>
      <c r="H80" s="30" t="n"/>
      <c r="I80" s="31" t="n"/>
      <c r="J80" s="45">
        <f>IF($A80="","",IF(E80=1,"Complete",IF(AND(I80&lt;&gt;"",I80&lt;TODAY(),E80&lt;1),"Follow-up overdue",IF(E80&gt;=0.75,"Minor gaps","Action needed"))))</f>
        <v/>
      </c>
    </row>
    <row r="81" ht="26" customHeight="1">
      <c r="A81" s="30" t="n"/>
      <c r="B81" s="43">
        <f>IFERROR(IF($A81="","",INDEX(RegTitle,MATCH($A81,RegCaseNo,0))),"Case no. not found")</f>
        <v/>
      </c>
      <c r="C81" s="44">
        <f>IF($A81="","",SUMPRODUCT((RegCaseNo=$A81)*((RegDoc1="Y")+(RegDoc2="Y")+(RegDoc3="Y")+(RegDoc4="Y")+(RegDoc5="Y")+(RegDoc6="Y")+(RegDoc7="Y")+(RegDoc8="Y"))))</f>
        <v/>
      </c>
      <c r="D81" s="44">
        <f>IF($A81="","",SUMPRODUCT((RegCaseNo=$A81)*((RegDoc1="N")+(RegDoc2="N")+(RegDoc3="N")+(RegDoc4="N")+(RegDoc5="N")+(RegDoc6="N")+(RegDoc7="N")+(RegDoc8="N"))))</f>
        <v/>
      </c>
      <c r="E81" s="47">
        <f>IFERROR(IF($A81="","",C81/(C81+D81)),0)</f>
        <v/>
      </c>
      <c r="F81" s="43">
        <f>IF($A81="","",TRIM(IF(INDEX(RegDoc1,MATCH($A81,RegCaseNo,0))="N","Affidavit of Complaint; ","")&amp;IF(INDEX(RegDoc2,MATCH($A81,RegCaseNo,0))="N","Sworn Statements; ","")&amp;IF(INDEX(RegDoc3,MATCH($A81,RegCaseNo,0))="N","Police / Incident Report; ","")&amp;IF(INDEX(RegDoc4,MATCH($A81,RegCaseNo,0))="N","Evidence and Exhibits; ","")&amp;IF(INDEX(RegDoc5,MATCH($A81,RegCaseNo,0))="N","Resolution / Information; ","")&amp;IF(INDEX(RegDoc6,MATCH($A81,RegCaseNo,0))="N","Court Order / Docket; ","")&amp;IF(INDEX(RegDoc7,MATCH($A81,RegCaseNo,0))="N","Bail / Bond Records; ","")&amp;IF(INDEX(RegDoc8,MATCH($A81,RegCaseNo,0))="N","Judgment / Order; ","")))</f>
        <v/>
      </c>
      <c r="G81" s="32" t="n"/>
      <c r="H81" s="30" t="n"/>
      <c r="I81" s="31" t="n"/>
      <c r="J81" s="45">
        <f>IF($A81="","",IF(E81=1,"Complete",IF(AND(I81&lt;&gt;"",I81&lt;TODAY(),E81&lt;1),"Follow-up overdue",IF(E81&gt;=0.75,"Minor gaps","Action needed"))))</f>
        <v/>
      </c>
    </row>
    <row r="82" ht="26" customHeight="1">
      <c r="A82" s="30" t="n"/>
      <c r="B82" s="43">
        <f>IFERROR(IF($A82="","",INDEX(RegTitle,MATCH($A82,RegCaseNo,0))),"Case no. not found")</f>
        <v/>
      </c>
      <c r="C82" s="44">
        <f>IF($A82="","",SUMPRODUCT((RegCaseNo=$A82)*((RegDoc1="Y")+(RegDoc2="Y")+(RegDoc3="Y")+(RegDoc4="Y")+(RegDoc5="Y")+(RegDoc6="Y")+(RegDoc7="Y")+(RegDoc8="Y"))))</f>
        <v/>
      </c>
      <c r="D82" s="44">
        <f>IF($A82="","",SUMPRODUCT((RegCaseNo=$A82)*((RegDoc1="N")+(RegDoc2="N")+(RegDoc3="N")+(RegDoc4="N")+(RegDoc5="N")+(RegDoc6="N")+(RegDoc7="N")+(RegDoc8="N"))))</f>
        <v/>
      </c>
      <c r="E82" s="47">
        <f>IFERROR(IF($A82="","",C82/(C82+D82)),0)</f>
        <v/>
      </c>
      <c r="F82" s="43">
        <f>IF($A82="","",TRIM(IF(INDEX(RegDoc1,MATCH($A82,RegCaseNo,0))="N","Affidavit of Complaint; ","")&amp;IF(INDEX(RegDoc2,MATCH($A82,RegCaseNo,0))="N","Sworn Statements; ","")&amp;IF(INDEX(RegDoc3,MATCH($A82,RegCaseNo,0))="N","Police / Incident Report; ","")&amp;IF(INDEX(RegDoc4,MATCH($A82,RegCaseNo,0))="N","Evidence and Exhibits; ","")&amp;IF(INDEX(RegDoc5,MATCH($A82,RegCaseNo,0))="N","Resolution / Information; ","")&amp;IF(INDEX(RegDoc6,MATCH($A82,RegCaseNo,0))="N","Court Order / Docket; ","")&amp;IF(INDEX(RegDoc7,MATCH($A82,RegCaseNo,0))="N","Bail / Bond Records; ","")&amp;IF(INDEX(RegDoc8,MATCH($A82,RegCaseNo,0))="N","Judgment / Order; ","")))</f>
        <v/>
      </c>
      <c r="G82" s="32" t="n"/>
      <c r="H82" s="30" t="n"/>
      <c r="I82" s="31" t="n"/>
      <c r="J82" s="45">
        <f>IF($A82="","",IF(E82=1,"Complete",IF(AND(I82&lt;&gt;"",I82&lt;TODAY(),E82&lt;1),"Follow-up overdue",IF(E82&gt;=0.75,"Minor gaps","Action needed"))))</f>
        <v/>
      </c>
    </row>
    <row r="83" ht="26" customHeight="1">
      <c r="A83" s="30" t="n"/>
      <c r="B83" s="43">
        <f>IFERROR(IF($A83="","",INDEX(RegTitle,MATCH($A83,RegCaseNo,0))),"Case no. not found")</f>
        <v/>
      </c>
      <c r="C83" s="44">
        <f>IF($A83="","",SUMPRODUCT((RegCaseNo=$A83)*((RegDoc1="Y")+(RegDoc2="Y")+(RegDoc3="Y")+(RegDoc4="Y")+(RegDoc5="Y")+(RegDoc6="Y")+(RegDoc7="Y")+(RegDoc8="Y"))))</f>
        <v/>
      </c>
      <c r="D83" s="44">
        <f>IF($A83="","",SUMPRODUCT((RegCaseNo=$A83)*((RegDoc1="N")+(RegDoc2="N")+(RegDoc3="N")+(RegDoc4="N")+(RegDoc5="N")+(RegDoc6="N")+(RegDoc7="N")+(RegDoc8="N"))))</f>
        <v/>
      </c>
      <c r="E83" s="47">
        <f>IFERROR(IF($A83="","",C83/(C83+D83)),0)</f>
        <v/>
      </c>
      <c r="F83" s="43">
        <f>IF($A83="","",TRIM(IF(INDEX(RegDoc1,MATCH($A83,RegCaseNo,0))="N","Affidavit of Complaint; ","")&amp;IF(INDEX(RegDoc2,MATCH($A83,RegCaseNo,0))="N","Sworn Statements; ","")&amp;IF(INDEX(RegDoc3,MATCH($A83,RegCaseNo,0))="N","Police / Incident Report; ","")&amp;IF(INDEX(RegDoc4,MATCH($A83,RegCaseNo,0))="N","Evidence and Exhibits; ","")&amp;IF(INDEX(RegDoc5,MATCH($A83,RegCaseNo,0))="N","Resolution / Information; ","")&amp;IF(INDEX(RegDoc6,MATCH($A83,RegCaseNo,0))="N","Court Order / Docket; ","")&amp;IF(INDEX(RegDoc7,MATCH($A83,RegCaseNo,0))="N","Bail / Bond Records; ","")&amp;IF(INDEX(RegDoc8,MATCH($A83,RegCaseNo,0))="N","Judgment / Order; ","")))</f>
        <v/>
      </c>
      <c r="G83" s="32" t="n"/>
      <c r="H83" s="30" t="n"/>
      <c r="I83" s="31" t="n"/>
      <c r="J83" s="45">
        <f>IF($A83="","",IF(E83=1,"Complete",IF(AND(I83&lt;&gt;"",I83&lt;TODAY(),E83&lt;1),"Follow-up overdue",IF(E83&gt;=0.75,"Minor gaps","Action needed"))))</f>
        <v/>
      </c>
    </row>
    <row r="84" ht="26" customHeight="1">
      <c r="A84" s="30" t="n"/>
      <c r="B84" s="43">
        <f>IFERROR(IF($A84="","",INDEX(RegTitle,MATCH($A84,RegCaseNo,0))),"Case no. not found")</f>
        <v/>
      </c>
      <c r="C84" s="44">
        <f>IF($A84="","",SUMPRODUCT((RegCaseNo=$A84)*((RegDoc1="Y")+(RegDoc2="Y")+(RegDoc3="Y")+(RegDoc4="Y")+(RegDoc5="Y")+(RegDoc6="Y")+(RegDoc7="Y")+(RegDoc8="Y"))))</f>
        <v/>
      </c>
      <c r="D84" s="44">
        <f>IF($A84="","",SUMPRODUCT((RegCaseNo=$A84)*((RegDoc1="N")+(RegDoc2="N")+(RegDoc3="N")+(RegDoc4="N")+(RegDoc5="N")+(RegDoc6="N")+(RegDoc7="N")+(RegDoc8="N"))))</f>
        <v/>
      </c>
      <c r="E84" s="47">
        <f>IFERROR(IF($A84="","",C84/(C84+D84)),0)</f>
        <v/>
      </c>
      <c r="F84" s="43">
        <f>IF($A84="","",TRIM(IF(INDEX(RegDoc1,MATCH($A84,RegCaseNo,0))="N","Affidavit of Complaint; ","")&amp;IF(INDEX(RegDoc2,MATCH($A84,RegCaseNo,0))="N","Sworn Statements; ","")&amp;IF(INDEX(RegDoc3,MATCH($A84,RegCaseNo,0))="N","Police / Incident Report; ","")&amp;IF(INDEX(RegDoc4,MATCH($A84,RegCaseNo,0))="N","Evidence and Exhibits; ","")&amp;IF(INDEX(RegDoc5,MATCH($A84,RegCaseNo,0))="N","Resolution / Information; ","")&amp;IF(INDEX(RegDoc6,MATCH($A84,RegCaseNo,0))="N","Court Order / Docket; ","")&amp;IF(INDEX(RegDoc7,MATCH($A84,RegCaseNo,0))="N","Bail / Bond Records; ","")&amp;IF(INDEX(RegDoc8,MATCH($A84,RegCaseNo,0))="N","Judgment / Order; ","")))</f>
        <v/>
      </c>
      <c r="G84" s="32" t="n"/>
      <c r="H84" s="30" t="n"/>
      <c r="I84" s="31" t="n"/>
      <c r="J84" s="45">
        <f>IF($A84="","",IF(E84=1,"Complete",IF(AND(I84&lt;&gt;"",I84&lt;TODAY(),E84&lt;1),"Follow-up overdue",IF(E84&gt;=0.75,"Minor gaps","Action needed"))))</f>
        <v/>
      </c>
    </row>
    <row r="85" ht="26" customHeight="1">
      <c r="A85" s="30" t="n"/>
      <c r="B85" s="43">
        <f>IFERROR(IF($A85="","",INDEX(RegTitle,MATCH($A85,RegCaseNo,0))),"Case no. not found")</f>
        <v/>
      </c>
      <c r="C85" s="44">
        <f>IF($A85="","",SUMPRODUCT((RegCaseNo=$A85)*((RegDoc1="Y")+(RegDoc2="Y")+(RegDoc3="Y")+(RegDoc4="Y")+(RegDoc5="Y")+(RegDoc6="Y")+(RegDoc7="Y")+(RegDoc8="Y"))))</f>
        <v/>
      </c>
      <c r="D85" s="44">
        <f>IF($A85="","",SUMPRODUCT((RegCaseNo=$A85)*((RegDoc1="N")+(RegDoc2="N")+(RegDoc3="N")+(RegDoc4="N")+(RegDoc5="N")+(RegDoc6="N")+(RegDoc7="N")+(RegDoc8="N"))))</f>
        <v/>
      </c>
      <c r="E85" s="47">
        <f>IFERROR(IF($A85="","",C85/(C85+D85)),0)</f>
        <v/>
      </c>
      <c r="F85" s="43">
        <f>IF($A85="","",TRIM(IF(INDEX(RegDoc1,MATCH($A85,RegCaseNo,0))="N","Affidavit of Complaint; ","")&amp;IF(INDEX(RegDoc2,MATCH($A85,RegCaseNo,0))="N","Sworn Statements; ","")&amp;IF(INDEX(RegDoc3,MATCH($A85,RegCaseNo,0))="N","Police / Incident Report; ","")&amp;IF(INDEX(RegDoc4,MATCH($A85,RegCaseNo,0))="N","Evidence and Exhibits; ","")&amp;IF(INDEX(RegDoc5,MATCH($A85,RegCaseNo,0))="N","Resolution / Information; ","")&amp;IF(INDEX(RegDoc6,MATCH($A85,RegCaseNo,0))="N","Court Order / Docket; ","")&amp;IF(INDEX(RegDoc7,MATCH($A85,RegCaseNo,0))="N","Bail / Bond Records; ","")&amp;IF(INDEX(RegDoc8,MATCH($A85,RegCaseNo,0))="N","Judgment / Order; ","")))</f>
        <v/>
      </c>
      <c r="G85" s="32" t="n"/>
      <c r="H85" s="30" t="n"/>
      <c r="I85" s="31" t="n"/>
      <c r="J85" s="45">
        <f>IF($A85="","",IF(E85=1,"Complete",IF(AND(I85&lt;&gt;"",I85&lt;TODAY(),E85&lt;1),"Follow-up overdue",IF(E85&gt;=0.75,"Minor gaps","Action needed"))))</f>
        <v/>
      </c>
    </row>
    <row r="86" ht="26" customHeight="1">
      <c r="A86" s="30" t="n"/>
      <c r="B86" s="43">
        <f>IFERROR(IF($A86="","",INDEX(RegTitle,MATCH($A86,RegCaseNo,0))),"Case no. not found")</f>
        <v/>
      </c>
      <c r="C86" s="44">
        <f>IF($A86="","",SUMPRODUCT((RegCaseNo=$A86)*((RegDoc1="Y")+(RegDoc2="Y")+(RegDoc3="Y")+(RegDoc4="Y")+(RegDoc5="Y")+(RegDoc6="Y")+(RegDoc7="Y")+(RegDoc8="Y"))))</f>
        <v/>
      </c>
      <c r="D86" s="44">
        <f>IF($A86="","",SUMPRODUCT((RegCaseNo=$A86)*((RegDoc1="N")+(RegDoc2="N")+(RegDoc3="N")+(RegDoc4="N")+(RegDoc5="N")+(RegDoc6="N")+(RegDoc7="N")+(RegDoc8="N"))))</f>
        <v/>
      </c>
      <c r="E86" s="47">
        <f>IFERROR(IF($A86="","",C86/(C86+D86)),0)</f>
        <v/>
      </c>
      <c r="F86" s="43">
        <f>IF($A86="","",TRIM(IF(INDEX(RegDoc1,MATCH($A86,RegCaseNo,0))="N","Affidavit of Complaint; ","")&amp;IF(INDEX(RegDoc2,MATCH($A86,RegCaseNo,0))="N","Sworn Statements; ","")&amp;IF(INDEX(RegDoc3,MATCH($A86,RegCaseNo,0))="N","Police / Incident Report; ","")&amp;IF(INDEX(RegDoc4,MATCH($A86,RegCaseNo,0))="N","Evidence and Exhibits; ","")&amp;IF(INDEX(RegDoc5,MATCH($A86,RegCaseNo,0))="N","Resolution / Information; ","")&amp;IF(INDEX(RegDoc6,MATCH($A86,RegCaseNo,0))="N","Court Order / Docket; ","")&amp;IF(INDEX(RegDoc7,MATCH($A86,RegCaseNo,0))="N","Bail / Bond Records; ","")&amp;IF(INDEX(RegDoc8,MATCH($A86,RegCaseNo,0))="N","Judgment / Order; ","")))</f>
        <v/>
      </c>
      <c r="G86" s="32" t="n"/>
      <c r="H86" s="30" t="n"/>
      <c r="I86" s="31" t="n"/>
      <c r="J86" s="45">
        <f>IF($A86="","",IF(E86=1,"Complete",IF(AND(I86&lt;&gt;"",I86&lt;TODAY(),E86&lt;1),"Follow-up overdue",IF(E86&gt;=0.75,"Minor gaps","Action needed"))))</f>
        <v/>
      </c>
    </row>
    <row r="87" ht="26" customHeight="1">
      <c r="A87" s="30" t="n"/>
      <c r="B87" s="43">
        <f>IFERROR(IF($A87="","",INDEX(RegTitle,MATCH($A87,RegCaseNo,0))),"Case no. not found")</f>
        <v/>
      </c>
      <c r="C87" s="44">
        <f>IF($A87="","",SUMPRODUCT((RegCaseNo=$A87)*((RegDoc1="Y")+(RegDoc2="Y")+(RegDoc3="Y")+(RegDoc4="Y")+(RegDoc5="Y")+(RegDoc6="Y")+(RegDoc7="Y")+(RegDoc8="Y"))))</f>
        <v/>
      </c>
      <c r="D87" s="44">
        <f>IF($A87="","",SUMPRODUCT((RegCaseNo=$A87)*((RegDoc1="N")+(RegDoc2="N")+(RegDoc3="N")+(RegDoc4="N")+(RegDoc5="N")+(RegDoc6="N")+(RegDoc7="N")+(RegDoc8="N"))))</f>
        <v/>
      </c>
      <c r="E87" s="47">
        <f>IFERROR(IF($A87="","",C87/(C87+D87)),0)</f>
        <v/>
      </c>
      <c r="F87" s="43">
        <f>IF($A87="","",TRIM(IF(INDEX(RegDoc1,MATCH($A87,RegCaseNo,0))="N","Affidavit of Complaint; ","")&amp;IF(INDEX(RegDoc2,MATCH($A87,RegCaseNo,0))="N","Sworn Statements; ","")&amp;IF(INDEX(RegDoc3,MATCH($A87,RegCaseNo,0))="N","Police / Incident Report; ","")&amp;IF(INDEX(RegDoc4,MATCH($A87,RegCaseNo,0))="N","Evidence and Exhibits; ","")&amp;IF(INDEX(RegDoc5,MATCH($A87,RegCaseNo,0))="N","Resolution / Information; ","")&amp;IF(INDEX(RegDoc6,MATCH($A87,RegCaseNo,0))="N","Court Order / Docket; ","")&amp;IF(INDEX(RegDoc7,MATCH($A87,RegCaseNo,0))="N","Bail / Bond Records; ","")&amp;IF(INDEX(RegDoc8,MATCH($A87,RegCaseNo,0))="N","Judgment / Order; ","")))</f>
        <v/>
      </c>
      <c r="G87" s="32" t="n"/>
      <c r="H87" s="30" t="n"/>
      <c r="I87" s="31" t="n"/>
      <c r="J87" s="45">
        <f>IF($A87="","",IF(E87=1,"Complete",IF(AND(I87&lt;&gt;"",I87&lt;TODAY(),E87&lt;1),"Follow-up overdue",IF(E87&gt;=0.75,"Minor gaps","Action needed"))))</f>
        <v/>
      </c>
    </row>
    <row r="88" ht="26" customHeight="1">
      <c r="A88" s="30" t="n"/>
      <c r="B88" s="43">
        <f>IFERROR(IF($A88="","",INDEX(RegTitle,MATCH($A88,RegCaseNo,0))),"Case no. not found")</f>
        <v/>
      </c>
      <c r="C88" s="44">
        <f>IF($A88="","",SUMPRODUCT((RegCaseNo=$A88)*((RegDoc1="Y")+(RegDoc2="Y")+(RegDoc3="Y")+(RegDoc4="Y")+(RegDoc5="Y")+(RegDoc6="Y")+(RegDoc7="Y")+(RegDoc8="Y"))))</f>
        <v/>
      </c>
      <c r="D88" s="44">
        <f>IF($A88="","",SUMPRODUCT((RegCaseNo=$A88)*((RegDoc1="N")+(RegDoc2="N")+(RegDoc3="N")+(RegDoc4="N")+(RegDoc5="N")+(RegDoc6="N")+(RegDoc7="N")+(RegDoc8="N"))))</f>
        <v/>
      </c>
      <c r="E88" s="47">
        <f>IFERROR(IF($A88="","",C88/(C88+D88)),0)</f>
        <v/>
      </c>
      <c r="F88" s="43">
        <f>IF($A88="","",TRIM(IF(INDEX(RegDoc1,MATCH($A88,RegCaseNo,0))="N","Affidavit of Complaint; ","")&amp;IF(INDEX(RegDoc2,MATCH($A88,RegCaseNo,0))="N","Sworn Statements; ","")&amp;IF(INDEX(RegDoc3,MATCH($A88,RegCaseNo,0))="N","Police / Incident Report; ","")&amp;IF(INDEX(RegDoc4,MATCH($A88,RegCaseNo,0))="N","Evidence and Exhibits; ","")&amp;IF(INDEX(RegDoc5,MATCH($A88,RegCaseNo,0))="N","Resolution / Information; ","")&amp;IF(INDEX(RegDoc6,MATCH($A88,RegCaseNo,0))="N","Court Order / Docket; ","")&amp;IF(INDEX(RegDoc7,MATCH($A88,RegCaseNo,0))="N","Bail / Bond Records; ","")&amp;IF(INDEX(RegDoc8,MATCH($A88,RegCaseNo,0))="N","Judgment / Order; ","")))</f>
        <v/>
      </c>
      <c r="G88" s="32" t="n"/>
      <c r="H88" s="30" t="n"/>
      <c r="I88" s="31" t="n"/>
      <c r="J88" s="45">
        <f>IF($A88="","",IF(E88=1,"Complete",IF(AND(I88&lt;&gt;"",I88&lt;TODAY(),E88&lt;1),"Follow-up overdue",IF(E88&gt;=0.75,"Minor gaps","Action needed"))))</f>
        <v/>
      </c>
    </row>
    <row r="89" ht="26" customHeight="1">
      <c r="A89" s="30" t="n"/>
      <c r="B89" s="43">
        <f>IFERROR(IF($A89="","",INDEX(RegTitle,MATCH($A89,RegCaseNo,0))),"Case no. not found")</f>
        <v/>
      </c>
      <c r="C89" s="44">
        <f>IF($A89="","",SUMPRODUCT((RegCaseNo=$A89)*((RegDoc1="Y")+(RegDoc2="Y")+(RegDoc3="Y")+(RegDoc4="Y")+(RegDoc5="Y")+(RegDoc6="Y")+(RegDoc7="Y")+(RegDoc8="Y"))))</f>
        <v/>
      </c>
      <c r="D89" s="44">
        <f>IF($A89="","",SUMPRODUCT((RegCaseNo=$A89)*((RegDoc1="N")+(RegDoc2="N")+(RegDoc3="N")+(RegDoc4="N")+(RegDoc5="N")+(RegDoc6="N")+(RegDoc7="N")+(RegDoc8="N"))))</f>
        <v/>
      </c>
      <c r="E89" s="47">
        <f>IFERROR(IF($A89="","",C89/(C89+D89)),0)</f>
        <v/>
      </c>
      <c r="F89" s="43">
        <f>IF($A89="","",TRIM(IF(INDEX(RegDoc1,MATCH($A89,RegCaseNo,0))="N","Affidavit of Complaint; ","")&amp;IF(INDEX(RegDoc2,MATCH($A89,RegCaseNo,0))="N","Sworn Statements; ","")&amp;IF(INDEX(RegDoc3,MATCH($A89,RegCaseNo,0))="N","Police / Incident Report; ","")&amp;IF(INDEX(RegDoc4,MATCH($A89,RegCaseNo,0))="N","Evidence and Exhibits; ","")&amp;IF(INDEX(RegDoc5,MATCH($A89,RegCaseNo,0))="N","Resolution / Information; ","")&amp;IF(INDEX(RegDoc6,MATCH($A89,RegCaseNo,0))="N","Court Order / Docket; ","")&amp;IF(INDEX(RegDoc7,MATCH($A89,RegCaseNo,0))="N","Bail / Bond Records; ","")&amp;IF(INDEX(RegDoc8,MATCH($A89,RegCaseNo,0))="N","Judgment / Order; ","")))</f>
        <v/>
      </c>
      <c r="G89" s="32" t="n"/>
      <c r="H89" s="30" t="n"/>
      <c r="I89" s="31" t="n"/>
      <c r="J89" s="45">
        <f>IF($A89="","",IF(E89=1,"Complete",IF(AND(I89&lt;&gt;"",I89&lt;TODAY(),E89&lt;1),"Follow-up overdue",IF(E89&gt;=0.75,"Minor gaps","Action needed"))))</f>
        <v/>
      </c>
    </row>
    <row r="90" ht="26" customHeight="1">
      <c r="A90" s="30" t="n"/>
      <c r="B90" s="43">
        <f>IFERROR(IF($A90="","",INDEX(RegTitle,MATCH($A90,RegCaseNo,0))),"Case no. not found")</f>
        <v/>
      </c>
      <c r="C90" s="44">
        <f>IF($A90="","",SUMPRODUCT((RegCaseNo=$A90)*((RegDoc1="Y")+(RegDoc2="Y")+(RegDoc3="Y")+(RegDoc4="Y")+(RegDoc5="Y")+(RegDoc6="Y")+(RegDoc7="Y")+(RegDoc8="Y"))))</f>
        <v/>
      </c>
      <c r="D90" s="44">
        <f>IF($A90="","",SUMPRODUCT((RegCaseNo=$A90)*((RegDoc1="N")+(RegDoc2="N")+(RegDoc3="N")+(RegDoc4="N")+(RegDoc5="N")+(RegDoc6="N")+(RegDoc7="N")+(RegDoc8="N"))))</f>
        <v/>
      </c>
      <c r="E90" s="47">
        <f>IFERROR(IF($A90="","",C90/(C90+D90)),0)</f>
        <v/>
      </c>
      <c r="F90" s="43">
        <f>IF($A90="","",TRIM(IF(INDEX(RegDoc1,MATCH($A90,RegCaseNo,0))="N","Affidavit of Complaint; ","")&amp;IF(INDEX(RegDoc2,MATCH($A90,RegCaseNo,0))="N","Sworn Statements; ","")&amp;IF(INDEX(RegDoc3,MATCH($A90,RegCaseNo,0))="N","Police / Incident Report; ","")&amp;IF(INDEX(RegDoc4,MATCH($A90,RegCaseNo,0))="N","Evidence and Exhibits; ","")&amp;IF(INDEX(RegDoc5,MATCH($A90,RegCaseNo,0))="N","Resolution / Information; ","")&amp;IF(INDEX(RegDoc6,MATCH($A90,RegCaseNo,0))="N","Court Order / Docket; ","")&amp;IF(INDEX(RegDoc7,MATCH($A90,RegCaseNo,0))="N","Bail / Bond Records; ","")&amp;IF(INDEX(RegDoc8,MATCH($A90,RegCaseNo,0))="N","Judgment / Order; ","")))</f>
        <v/>
      </c>
      <c r="G90" s="32" t="n"/>
      <c r="H90" s="30" t="n"/>
      <c r="I90" s="31" t="n"/>
      <c r="J90" s="45">
        <f>IF($A90="","",IF(E90=1,"Complete",IF(AND(I90&lt;&gt;"",I90&lt;TODAY(),E90&lt;1),"Follow-up overdue",IF(E90&gt;=0.75,"Minor gaps","Action needed"))))</f>
        <v/>
      </c>
    </row>
    <row r="91" ht="26" customHeight="1">
      <c r="A91" s="30" t="n"/>
      <c r="B91" s="43">
        <f>IFERROR(IF($A91="","",INDEX(RegTitle,MATCH($A91,RegCaseNo,0))),"Case no. not found")</f>
        <v/>
      </c>
      <c r="C91" s="44">
        <f>IF($A91="","",SUMPRODUCT((RegCaseNo=$A91)*((RegDoc1="Y")+(RegDoc2="Y")+(RegDoc3="Y")+(RegDoc4="Y")+(RegDoc5="Y")+(RegDoc6="Y")+(RegDoc7="Y")+(RegDoc8="Y"))))</f>
        <v/>
      </c>
      <c r="D91" s="44">
        <f>IF($A91="","",SUMPRODUCT((RegCaseNo=$A91)*((RegDoc1="N")+(RegDoc2="N")+(RegDoc3="N")+(RegDoc4="N")+(RegDoc5="N")+(RegDoc6="N")+(RegDoc7="N")+(RegDoc8="N"))))</f>
        <v/>
      </c>
      <c r="E91" s="47">
        <f>IFERROR(IF($A91="","",C91/(C91+D91)),0)</f>
        <v/>
      </c>
      <c r="F91" s="43">
        <f>IF($A91="","",TRIM(IF(INDEX(RegDoc1,MATCH($A91,RegCaseNo,0))="N","Affidavit of Complaint; ","")&amp;IF(INDEX(RegDoc2,MATCH($A91,RegCaseNo,0))="N","Sworn Statements; ","")&amp;IF(INDEX(RegDoc3,MATCH($A91,RegCaseNo,0))="N","Police / Incident Report; ","")&amp;IF(INDEX(RegDoc4,MATCH($A91,RegCaseNo,0))="N","Evidence and Exhibits; ","")&amp;IF(INDEX(RegDoc5,MATCH($A91,RegCaseNo,0))="N","Resolution / Information; ","")&amp;IF(INDEX(RegDoc6,MATCH($A91,RegCaseNo,0))="N","Court Order / Docket; ","")&amp;IF(INDEX(RegDoc7,MATCH($A91,RegCaseNo,0))="N","Bail / Bond Records; ","")&amp;IF(INDEX(RegDoc8,MATCH($A91,RegCaseNo,0))="N","Judgment / Order; ","")))</f>
        <v/>
      </c>
      <c r="G91" s="32" t="n"/>
      <c r="H91" s="30" t="n"/>
      <c r="I91" s="31" t="n"/>
      <c r="J91" s="45">
        <f>IF($A91="","",IF(E91=1,"Complete",IF(AND(I91&lt;&gt;"",I91&lt;TODAY(),E91&lt;1),"Follow-up overdue",IF(E91&gt;=0.75,"Minor gaps","Action needed"))))</f>
        <v/>
      </c>
    </row>
    <row r="92" ht="26" customHeight="1">
      <c r="A92" s="30" t="n"/>
      <c r="B92" s="43">
        <f>IFERROR(IF($A92="","",INDEX(RegTitle,MATCH($A92,RegCaseNo,0))),"Case no. not found")</f>
        <v/>
      </c>
      <c r="C92" s="44">
        <f>IF($A92="","",SUMPRODUCT((RegCaseNo=$A92)*((RegDoc1="Y")+(RegDoc2="Y")+(RegDoc3="Y")+(RegDoc4="Y")+(RegDoc5="Y")+(RegDoc6="Y")+(RegDoc7="Y")+(RegDoc8="Y"))))</f>
        <v/>
      </c>
      <c r="D92" s="44">
        <f>IF($A92="","",SUMPRODUCT((RegCaseNo=$A92)*((RegDoc1="N")+(RegDoc2="N")+(RegDoc3="N")+(RegDoc4="N")+(RegDoc5="N")+(RegDoc6="N")+(RegDoc7="N")+(RegDoc8="N"))))</f>
        <v/>
      </c>
      <c r="E92" s="47">
        <f>IFERROR(IF($A92="","",C92/(C92+D92)),0)</f>
        <v/>
      </c>
      <c r="F92" s="43">
        <f>IF($A92="","",TRIM(IF(INDEX(RegDoc1,MATCH($A92,RegCaseNo,0))="N","Affidavit of Complaint; ","")&amp;IF(INDEX(RegDoc2,MATCH($A92,RegCaseNo,0))="N","Sworn Statements; ","")&amp;IF(INDEX(RegDoc3,MATCH($A92,RegCaseNo,0))="N","Police / Incident Report; ","")&amp;IF(INDEX(RegDoc4,MATCH($A92,RegCaseNo,0))="N","Evidence and Exhibits; ","")&amp;IF(INDEX(RegDoc5,MATCH($A92,RegCaseNo,0))="N","Resolution / Information; ","")&amp;IF(INDEX(RegDoc6,MATCH($A92,RegCaseNo,0))="N","Court Order / Docket; ","")&amp;IF(INDEX(RegDoc7,MATCH($A92,RegCaseNo,0))="N","Bail / Bond Records; ","")&amp;IF(INDEX(RegDoc8,MATCH($A92,RegCaseNo,0))="N","Judgment / Order; ","")))</f>
        <v/>
      </c>
      <c r="G92" s="32" t="n"/>
      <c r="H92" s="30" t="n"/>
      <c r="I92" s="31" t="n"/>
      <c r="J92" s="45">
        <f>IF($A92="","",IF(E92=1,"Complete",IF(AND(I92&lt;&gt;"",I92&lt;TODAY(),E92&lt;1),"Follow-up overdue",IF(E92&gt;=0.75,"Minor gaps","Action needed"))))</f>
        <v/>
      </c>
    </row>
    <row r="93" ht="26" customHeight="1">
      <c r="A93" s="30" t="n"/>
      <c r="B93" s="43">
        <f>IFERROR(IF($A93="","",INDEX(RegTitle,MATCH($A93,RegCaseNo,0))),"Case no. not found")</f>
        <v/>
      </c>
      <c r="C93" s="44">
        <f>IF($A93="","",SUMPRODUCT((RegCaseNo=$A93)*((RegDoc1="Y")+(RegDoc2="Y")+(RegDoc3="Y")+(RegDoc4="Y")+(RegDoc5="Y")+(RegDoc6="Y")+(RegDoc7="Y")+(RegDoc8="Y"))))</f>
        <v/>
      </c>
      <c r="D93" s="44">
        <f>IF($A93="","",SUMPRODUCT((RegCaseNo=$A93)*((RegDoc1="N")+(RegDoc2="N")+(RegDoc3="N")+(RegDoc4="N")+(RegDoc5="N")+(RegDoc6="N")+(RegDoc7="N")+(RegDoc8="N"))))</f>
        <v/>
      </c>
      <c r="E93" s="47">
        <f>IFERROR(IF($A93="","",C93/(C93+D93)),0)</f>
        <v/>
      </c>
      <c r="F93" s="43">
        <f>IF($A93="","",TRIM(IF(INDEX(RegDoc1,MATCH($A93,RegCaseNo,0))="N","Affidavit of Complaint; ","")&amp;IF(INDEX(RegDoc2,MATCH($A93,RegCaseNo,0))="N","Sworn Statements; ","")&amp;IF(INDEX(RegDoc3,MATCH($A93,RegCaseNo,0))="N","Police / Incident Report; ","")&amp;IF(INDEX(RegDoc4,MATCH($A93,RegCaseNo,0))="N","Evidence and Exhibits; ","")&amp;IF(INDEX(RegDoc5,MATCH($A93,RegCaseNo,0))="N","Resolution / Information; ","")&amp;IF(INDEX(RegDoc6,MATCH($A93,RegCaseNo,0))="N","Court Order / Docket; ","")&amp;IF(INDEX(RegDoc7,MATCH($A93,RegCaseNo,0))="N","Bail / Bond Records; ","")&amp;IF(INDEX(RegDoc8,MATCH($A93,RegCaseNo,0))="N","Judgment / Order; ","")))</f>
        <v/>
      </c>
      <c r="G93" s="32" t="n"/>
      <c r="H93" s="30" t="n"/>
      <c r="I93" s="31" t="n"/>
      <c r="J93" s="45">
        <f>IF($A93="","",IF(E93=1,"Complete",IF(AND(I93&lt;&gt;"",I93&lt;TODAY(),E93&lt;1),"Follow-up overdue",IF(E93&gt;=0.75,"Minor gaps","Action needed"))))</f>
        <v/>
      </c>
    </row>
    <row r="94" ht="26" customHeight="1">
      <c r="A94" s="30" t="n"/>
      <c r="B94" s="43">
        <f>IFERROR(IF($A94="","",INDEX(RegTitle,MATCH($A94,RegCaseNo,0))),"Case no. not found")</f>
        <v/>
      </c>
      <c r="C94" s="44">
        <f>IF($A94="","",SUMPRODUCT((RegCaseNo=$A94)*((RegDoc1="Y")+(RegDoc2="Y")+(RegDoc3="Y")+(RegDoc4="Y")+(RegDoc5="Y")+(RegDoc6="Y")+(RegDoc7="Y")+(RegDoc8="Y"))))</f>
        <v/>
      </c>
      <c r="D94" s="44">
        <f>IF($A94="","",SUMPRODUCT((RegCaseNo=$A94)*((RegDoc1="N")+(RegDoc2="N")+(RegDoc3="N")+(RegDoc4="N")+(RegDoc5="N")+(RegDoc6="N")+(RegDoc7="N")+(RegDoc8="N"))))</f>
        <v/>
      </c>
      <c r="E94" s="47">
        <f>IFERROR(IF($A94="","",C94/(C94+D94)),0)</f>
        <v/>
      </c>
      <c r="F94" s="43">
        <f>IF($A94="","",TRIM(IF(INDEX(RegDoc1,MATCH($A94,RegCaseNo,0))="N","Affidavit of Complaint; ","")&amp;IF(INDEX(RegDoc2,MATCH($A94,RegCaseNo,0))="N","Sworn Statements; ","")&amp;IF(INDEX(RegDoc3,MATCH($A94,RegCaseNo,0))="N","Police / Incident Report; ","")&amp;IF(INDEX(RegDoc4,MATCH($A94,RegCaseNo,0))="N","Evidence and Exhibits; ","")&amp;IF(INDEX(RegDoc5,MATCH($A94,RegCaseNo,0))="N","Resolution / Information; ","")&amp;IF(INDEX(RegDoc6,MATCH($A94,RegCaseNo,0))="N","Court Order / Docket; ","")&amp;IF(INDEX(RegDoc7,MATCH($A94,RegCaseNo,0))="N","Bail / Bond Records; ","")&amp;IF(INDEX(RegDoc8,MATCH($A94,RegCaseNo,0))="N","Judgment / Order; ","")))</f>
        <v/>
      </c>
      <c r="G94" s="32" t="n"/>
      <c r="H94" s="30" t="n"/>
      <c r="I94" s="31" t="n"/>
      <c r="J94" s="45">
        <f>IF($A94="","",IF(E94=1,"Complete",IF(AND(I94&lt;&gt;"",I94&lt;TODAY(),E94&lt;1),"Follow-up overdue",IF(E94&gt;=0.75,"Minor gaps","Action needed"))))</f>
        <v/>
      </c>
    </row>
    <row r="95" ht="26" customHeight="1">
      <c r="A95" s="30" t="n"/>
      <c r="B95" s="43">
        <f>IFERROR(IF($A95="","",INDEX(RegTitle,MATCH($A95,RegCaseNo,0))),"Case no. not found")</f>
        <v/>
      </c>
      <c r="C95" s="44">
        <f>IF($A95="","",SUMPRODUCT((RegCaseNo=$A95)*((RegDoc1="Y")+(RegDoc2="Y")+(RegDoc3="Y")+(RegDoc4="Y")+(RegDoc5="Y")+(RegDoc6="Y")+(RegDoc7="Y")+(RegDoc8="Y"))))</f>
        <v/>
      </c>
      <c r="D95" s="44">
        <f>IF($A95="","",SUMPRODUCT((RegCaseNo=$A95)*((RegDoc1="N")+(RegDoc2="N")+(RegDoc3="N")+(RegDoc4="N")+(RegDoc5="N")+(RegDoc6="N")+(RegDoc7="N")+(RegDoc8="N"))))</f>
        <v/>
      </c>
      <c r="E95" s="47">
        <f>IFERROR(IF($A95="","",C95/(C95+D95)),0)</f>
        <v/>
      </c>
      <c r="F95" s="43">
        <f>IF($A95="","",TRIM(IF(INDEX(RegDoc1,MATCH($A95,RegCaseNo,0))="N","Affidavit of Complaint; ","")&amp;IF(INDEX(RegDoc2,MATCH($A95,RegCaseNo,0))="N","Sworn Statements; ","")&amp;IF(INDEX(RegDoc3,MATCH($A95,RegCaseNo,0))="N","Police / Incident Report; ","")&amp;IF(INDEX(RegDoc4,MATCH($A95,RegCaseNo,0))="N","Evidence and Exhibits; ","")&amp;IF(INDEX(RegDoc5,MATCH($A95,RegCaseNo,0))="N","Resolution / Information; ","")&amp;IF(INDEX(RegDoc6,MATCH($A95,RegCaseNo,0))="N","Court Order / Docket; ","")&amp;IF(INDEX(RegDoc7,MATCH($A95,RegCaseNo,0))="N","Bail / Bond Records; ","")&amp;IF(INDEX(RegDoc8,MATCH($A95,RegCaseNo,0))="N","Judgment / Order; ","")))</f>
        <v/>
      </c>
      <c r="G95" s="32" t="n"/>
      <c r="H95" s="30" t="n"/>
      <c r="I95" s="31" t="n"/>
      <c r="J95" s="45">
        <f>IF($A95="","",IF(E95=1,"Complete",IF(AND(I95&lt;&gt;"",I95&lt;TODAY(),E95&lt;1),"Follow-up overdue",IF(E95&gt;=0.75,"Minor gaps","Action needed"))))</f>
        <v/>
      </c>
    </row>
    <row r="96" ht="26" customHeight="1">
      <c r="A96" s="30" t="n"/>
      <c r="B96" s="43">
        <f>IFERROR(IF($A96="","",INDEX(RegTitle,MATCH($A96,RegCaseNo,0))),"Case no. not found")</f>
        <v/>
      </c>
      <c r="C96" s="44">
        <f>IF($A96="","",SUMPRODUCT((RegCaseNo=$A96)*((RegDoc1="Y")+(RegDoc2="Y")+(RegDoc3="Y")+(RegDoc4="Y")+(RegDoc5="Y")+(RegDoc6="Y")+(RegDoc7="Y")+(RegDoc8="Y"))))</f>
        <v/>
      </c>
      <c r="D96" s="44">
        <f>IF($A96="","",SUMPRODUCT((RegCaseNo=$A96)*((RegDoc1="N")+(RegDoc2="N")+(RegDoc3="N")+(RegDoc4="N")+(RegDoc5="N")+(RegDoc6="N")+(RegDoc7="N")+(RegDoc8="N"))))</f>
        <v/>
      </c>
      <c r="E96" s="47">
        <f>IFERROR(IF($A96="","",C96/(C96+D96)),0)</f>
        <v/>
      </c>
      <c r="F96" s="43">
        <f>IF($A96="","",TRIM(IF(INDEX(RegDoc1,MATCH($A96,RegCaseNo,0))="N","Affidavit of Complaint; ","")&amp;IF(INDEX(RegDoc2,MATCH($A96,RegCaseNo,0))="N","Sworn Statements; ","")&amp;IF(INDEX(RegDoc3,MATCH($A96,RegCaseNo,0))="N","Police / Incident Report; ","")&amp;IF(INDEX(RegDoc4,MATCH($A96,RegCaseNo,0))="N","Evidence and Exhibits; ","")&amp;IF(INDEX(RegDoc5,MATCH($A96,RegCaseNo,0))="N","Resolution / Information; ","")&amp;IF(INDEX(RegDoc6,MATCH($A96,RegCaseNo,0))="N","Court Order / Docket; ","")&amp;IF(INDEX(RegDoc7,MATCH($A96,RegCaseNo,0))="N","Bail / Bond Records; ","")&amp;IF(INDEX(RegDoc8,MATCH($A96,RegCaseNo,0))="N","Judgment / Order; ","")))</f>
        <v/>
      </c>
      <c r="G96" s="32" t="n"/>
      <c r="H96" s="30" t="n"/>
      <c r="I96" s="31" t="n"/>
      <c r="J96" s="45">
        <f>IF($A96="","",IF(E96=1,"Complete",IF(AND(I96&lt;&gt;"",I96&lt;TODAY(),E96&lt;1),"Follow-up overdue",IF(E96&gt;=0.75,"Minor gaps","Action needed"))))</f>
        <v/>
      </c>
    </row>
    <row r="97" ht="26" customHeight="1">
      <c r="A97" s="30" t="n"/>
      <c r="B97" s="43">
        <f>IFERROR(IF($A97="","",INDEX(RegTitle,MATCH($A97,RegCaseNo,0))),"Case no. not found")</f>
        <v/>
      </c>
      <c r="C97" s="44">
        <f>IF($A97="","",SUMPRODUCT((RegCaseNo=$A97)*((RegDoc1="Y")+(RegDoc2="Y")+(RegDoc3="Y")+(RegDoc4="Y")+(RegDoc5="Y")+(RegDoc6="Y")+(RegDoc7="Y")+(RegDoc8="Y"))))</f>
        <v/>
      </c>
      <c r="D97" s="44">
        <f>IF($A97="","",SUMPRODUCT((RegCaseNo=$A97)*((RegDoc1="N")+(RegDoc2="N")+(RegDoc3="N")+(RegDoc4="N")+(RegDoc5="N")+(RegDoc6="N")+(RegDoc7="N")+(RegDoc8="N"))))</f>
        <v/>
      </c>
      <c r="E97" s="47">
        <f>IFERROR(IF($A97="","",C97/(C97+D97)),0)</f>
        <v/>
      </c>
      <c r="F97" s="43">
        <f>IF($A97="","",TRIM(IF(INDEX(RegDoc1,MATCH($A97,RegCaseNo,0))="N","Affidavit of Complaint; ","")&amp;IF(INDEX(RegDoc2,MATCH($A97,RegCaseNo,0))="N","Sworn Statements; ","")&amp;IF(INDEX(RegDoc3,MATCH($A97,RegCaseNo,0))="N","Police / Incident Report; ","")&amp;IF(INDEX(RegDoc4,MATCH($A97,RegCaseNo,0))="N","Evidence and Exhibits; ","")&amp;IF(INDEX(RegDoc5,MATCH($A97,RegCaseNo,0))="N","Resolution / Information; ","")&amp;IF(INDEX(RegDoc6,MATCH($A97,RegCaseNo,0))="N","Court Order / Docket; ","")&amp;IF(INDEX(RegDoc7,MATCH($A97,RegCaseNo,0))="N","Bail / Bond Records; ","")&amp;IF(INDEX(RegDoc8,MATCH($A97,RegCaseNo,0))="N","Judgment / Order; ","")))</f>
        <v/>
      </c>
      <c r="G97" s="32" t="n"/>
      <c r="H97" s="30" t="n"/>
      <c r="I97" s="31" t="n"/>
      <c r="J97" s="45">
        <f>IF($A97="","",IF(E97=1,"Complete",IF(AND(I97&lt;&gt;"",I97&lt;TODAY(),E97&lt;1),"Follow-up overdue",IF(E97&gt;=0.75,"Minor gaps","Action needed"))))</f>
        <v/>
      </c>
    </row>
    <row r="98" ht="26" customHeight="1">
      <c r="A98" s="30" t="n"/>
      <c r="B98" s="43">
        <f>IFERROR(IF($A98="","",INDEX(RegTitle,MATCH($A98,RegCaseNo,0))),"Case no. not found")</f>
        <v/>
      </c>
      <c r="C98" s="44">
        <f>IF($A98="","",SUMPRODUCT((RegCaseNo=$A98)*((RegDoc1="Y")+(RegDoc2="Y")+(RegDoc3="Y")+(RegDoc4="Y")+(RegDoc5="Y")+(RegDoc6="Y")+(RegDoc7="Y")+(RegDoc8="Y"))))</f>
        <v/>
      </c>
      <c r="D98" s="44">
        <f>IF($A98="","",SUMPRODUCT((RegCaseNo=$A98)*((RegDoc1="N")+(RegDoc2="N")+(RegDoc3="N")+(RegDoc4="N")+(RegDoc5="N")+(RegDoc6="N")+(RegDoc7="N")+(RegDoc8="N"))))</f>
        <v/>
      </c>
      <c r="E98" s="47">
        <f>IFERROR(IF($A98="","",C98/(C98+D98)),0)</f>
        <v/>
      </c>
      <c r="F98" s="43">
        <f>IF($A98="","",TRIM(IF(INDEX(RegDoc1,MATCH($A98,RegCaseNo,0))="N","Affidavit of Complaint; ","")&amp;IF(INDEX(RegDoc2,MATCH($A98,RegCaseNo,0))="N","Sworn Statements; ","")&amp;IF(INDEX(RegDoc3,MATCH($A98,RegCaseNo,0))="N","Police / Incident Report; ","")&amp;IF(INDEX(RegDoc4,MATCH($A98,RegCaseNo,0))="N","Evidence and Exhibits; ","")&amp;IF(INDEX(RegDoc5,MATCH($A98,RegCaseNo,0))="N","Resolution / Information; ","")&amp;IF(INDEX(RegDoc6,MATCH($A98,RegCaseNo,0))="N","Court Order / Docket; ","")&amp;IF(INDEX(RegDoc7,MATCH($A98,RegCaseNo,0))="N","Bail / Bond Records; ","")&amp;IF(INDEX(RegDoc8,MATCH($A98,RegCaseNo,0))="N","Judgment / Order; ","")))</f>
        <v/>
      </c>
      <c r="G98" s="32" t="n"/>
      <c r="H98" s="30" t="n"/>
      <c r="I98" s="31" t="n"/>
      <c r="J98" s="45">
        <f>IF($A98="","",IF(E98=1,"Complete",IF(AND(I98&lt;&gt;"",I98&lt;TODAY(),E98&lt;1),"Follow-up overdue",IF(E98&gt;=0.75,"Minor gaps","Action needed"))))</f>
        <v/>
      </c>
    </row>
    <row r="99" ht="26" customHeight="1">
      <c r="A99" s="30" t="n"/>
      <c r="B99" s="43">
        <f>IFERROR(IF($A99="","",INDEX(RegTitle,MATCH($A99,RegCaseNo,0))),"Case no. not found")</f>
        <v/>
      </c>
      <c r="C99" s="44">
        <f>IF($A99="","",SUMPRODUCT((RegCaseNo=$A99)*((RegDoc1="Y")+(RegDoc2="Y")+(RegDoc3="Y")+(RegDoc4="Y")+(RegDoc5="Y")+(RegDoc6="Y")+(RegDoc7="Y")+(RegDoc8="Y"))))</f>
        <v/>
      </c>
      <c r="D99" s="44">
        <f>IF($A99="","",SUMPRODUCT((RegCaseNo=$A99)*((RegDoc1="N")+(RegDoc2="N")+(RegDoc3="N")+(RegDoc4="N")+(RegDoc5="N")+(RegDoc6="N")+(RegDoc7="N")+(RegDoc8="N"))))</f>
        <v/>
      </c>
      <c r="E99" s="47">
        <f>IFERROR(IF($A99="","",C99/(C99+D99)),0)</f>
        <v/>
      </c>
      <c r="F99" s="43">
        <f>IF($A99="","",TRIM(IF(INDEX(RegDoc1,MATCH($A99,RegCaseNo,0))="N","Affidavit of Complaint; ","")&amp;IF(INDEX(RegDoc2,MATCH($A99,RegCaseNo,0))="N","Sworn Statements; ","")&amp;IF(INDEX(RegDoc3,MATCH($A99,RegCaseNo,0))="N","Police / Incident Report; ","")&amp;IF(INDEX(RegDoc4,MATCH($A99,RegCaseNo,0))="N","Evidence and Exhibits; ","")&amp;IF(INDEX(RegDoc5,MATCH($A99,RegCaseNo,0))="N","Resolution / Information; ","")&amp;IF(INDEX(RegDoc6,MATCH($A99,RegCaseNo,0))="N","Court Order / Docket; ","")&amp;IF(INDEX(RegDoc7,MATCH($A99,RegCaseNo,0))="N","Bail / Bond Records; ","")&amp;IF(INDEX(RegDoc8,MATCH($A99,RegCaseNo,0))="N","Judgment / Order; ","")))</f>
        <v/>
      </c>
      <c r="G99" s="32" t="n"/>
      <c r="H99" s="30" t="n"/>
      <c r="I99" s="31" t="n"/>
      <c r="J99" s="45">
        <f>IF($A99="","",IF(E99=1,"Complete",IF(AND(I99&lt;&gt;"",I99&lt;TODAY(),E99&lt;1),"Follow-up overdue",IF(E99&gt;=0.75,"Minor gaps","Action needed"))))</f>
        <v/>
      </c>
    </row>
    <row r="100" ht="26" customHeight="1">
      <c r="A100" s="30" t="n"/>
      <c r="B100" s="43">
        <f>IFERROR(IF($A100="","",INDEX(RegTitle,MATCH($A100,RegCaseNo,0))),"Case no. not found")</f>
        <v/>
      </c>
      <c r="C100" s="44">
        <f>IF($A100="","",SUMPRODUCT((RegCaseNo=$A100)*((RegDoc1="Y")+(RegDoc2="Y")+(RegDoc3="Y")+(RegDoc4="Y")+(RegDoc5="Y")+(RegDoc6="Y")+(RegDoc7="Y")+(RegDoc8="Y"))))</f>
        <v/>
      </c>
      <c r="D100" s="44">
        <f>IF($A100="","",SUMPRODUCT((RegCaseNo=$A100)*((RegDoc1="N")+(RegDoc2="N")+(RegDoc3="N")+(RegDoc4="N")+(RegDoc5="N")+(RegDoc6="N")+(RegDoc7="N")+(RegDoc8="N"))))</f>
        <v/>
      </c>
      <c r="E100" s="47">
        <f>IFERROR(IF($A100="","",C100/(C100+D100)),0)</f>
        <v/>
      </c>
      <c r="F100" s="43">
        <f>IF($A100="","",TRIM(IF(INDEX(RegDoc1,MATCH($A100,RegCaseNo,0))="N","Affidavit of Complaint; ","")&amp;IF(INDEX(RegDoc2,MATCH($A100,RegCaseNo,0))="N","Sworn Statements; ","")&amp;IF(INDEX(RegDoc3,MATCH($A100,RegCaseNo,0))="N","Police / Incident Report; ","")&amp;IF(INDEX(RegDoc4,MATCH($A100,RegCaseNo,0))="N","Evidence and Exhibits; ","")&amp;IF(INDEX(RegDoc5,MATCH($A100,RegCaseNo,0))="N","Resolution / Information; ","")&amp;IF(INDEX(RegDoc6,MATCH($A100,RegCaseNo,0))="N","Court Order / Docket; ","")&amp;IF(INDEX(RegDoc7,MATCH($A100,RegCaseNo,0))="N","Bail / Bond Records; ","")&amp;IF(INDEX(RegDoc8,MATCH($A100,RegCaseNo,0))="N","Judgment / Order; ","")))</f>
        <v/>
      </c>
      <c r="G100" s="32" t="n"/>
      <c r="H100" s="30" t="n"/>
      <c r="I100" s="31" t="n"/>
      <c r="J100" s="45">
        <f>IF($A100="","",IF(E100=1,"Complete",IF(AND(I100&lt;&gt;"",I100&lt;TODAY(),E100&lt;1),"Follow-up overdue",IF(E100&gt;=0.75,"Minor gaps","Action needed"))))</f>
        <v/>
      </c>
    </row>
    <row r="101" ht="26" customHeight="1">
      <c r="A101" s="30" t="n"/>
      <c r="B101" s="43">
        <f>IFERROR(IF($A101="","",INDEX(RegTitle,MATCH($A101,RegCaseNo,0))),"Case no. not found")</f>
        <v/>
      </c>
      <c r="C101" s="44">
        <f>IF($A101="","",SUMPRODUCT((RegCaseNo=$A101)*((RegDoc1="Y")+(RegDoc2="Y")+(RegDoc3="Y")+(RegDoc4="Y")+(RegDoc5="Y")+(RegDoc6="Y")+(RegDoc7="Y")+(RegDoc8="Y"))))</f>
        <v/>
      </c>
      <c r="D101" s="44">
        <f>IF($A101="","",SUMPRODUCT((RegCaseNo=$A101)*((RegDoc1="N")+(RegDoc2="N")+(RegDoc3="N")+(RegDoc4="N")+(RegDoc5="N")+(RegDoc6="N")+(RegDoc7="N")+(RegDoc8="N"))))</f>
        <v/>
      </c>
      <c r="E101" s="47">
        <f>IFERROR(IF($A101="","",C101/(C101+D101)),0)</f>
        <v/>
      </c>
      <c r="F101" s="43">
        <f>IF($A101="","",TRIM(IF(INDEX(RegDoc1,MATCH($A101,RegCaseNo,0))="N","Affidavit of Complaint; ","")&amp;IF(INDEX(RegDoc2,MATCH($A101,RegCaseNo,0))="N","Sworn Statements; ","")&amp;IF(INDEX(RegDoc3,MATCH($A101,RegCaseNo,0))="N","Police / Incident Report; ","")&amp;IF(INDEX(RegDoc4,MATCH($A101,RegCaseNo,0))="N","Evidence and Exhibits; ","")&amp;IF(INDEX(RegDoc5,MATCH($A101,RegCaseNo,0))="N","Resolution / Information; ","")&amp;IF(INDEX(RegDoc6,MATCH($A101,RegCaseNo,0))="N","Court Order / Docket; ","")&amp;IF(INDEX(RegDoc7,MATCH($A101,RegCaseNo,0))="N","Bail / Bond Records; ","")&amp;IF(INDEX(RegDoc8,MATCH($A101,RegCaseNo,0))="N","Judgment / Order; ","")))</f>
        <v/>
      </c>
      <c r="G101" s="32" t="n"/>
      <c r="H101" s="30" t="n"/>
      <c r="I101" s="31" t="n"/>
      <c r="J101" s="45">
        <f>IF($A101="","",IF(E101=1,"Complete",IF(AND(I101&lt;&gt;"",I101&lt;TODAY(),E101&lt;1),"Follow-up overdue",IF(E101&gt;=0.75,"Minor gaps","Action needed"))))</f>
        <v/>
      </c>
    </row>
    <row r="102" ht="26" customHeight="1">
      <c r="A102" s="30" t="n"/>
      <c r="B102" s="43">
        <f>IFERROR(IF($A102="","",INDEX(RegTitle,MATCH($A102,RegCaseNo,0))),"Case no. not found")</f>
        <v/>
      </c>
      <c r="C102" s="44">
        <f>IF($A102="","",SUMPRODUCT((RegCaseNo=$A102)*((RegDoc1="Y")+(RegDoc2="Y")+(RegDoc3="Y")+(RegDoc4="Y")+(RegDoc5="Y")+(RegDoc6="Y")+(RegDoc7="Y")+(RegDoc8="Y"))))</f>
        <v/>
      </c>
      <c r="D102" s="44">
        <f>IF($A102="","",SUMPRODUCT((RegCaseNo=$A102)*((RegDoc1="N")+(RegDoc2="N")+(RegDoc3="N")+(RegDoc4="N")+(RegDoc5="N")+(RegDoc6="N")+(RegDoc7="N")+(RegDoc8="N"))))</f>
        <v/>
      </c>
      <c r="E102" s="47">
        <f>IFERROR(IF($A102="","",C102/(C102+D102)),0)</f>
        <v/>
      </c>
      <c r="F102" s="43">
        <f>IF($A102="","",TRIM(IF(INDEX(RegDoc1,MATCH($A102,RegCaseNo,0))="N","Affidavit of Complaint; ","")&amp;IF(INDEX(RegDoc2,MATCH($A102,RegCaseNo,0))="N","Sworn Statements; ","")&amp;IF(INDEX(RegDoc3,MATCH($A102,RegCaseNo,0))="N","Police / Incident Report; ","")&amp;IF(INDEX(RegDoc4,MATCH($A102,RegCaseNo,0))="N","Evidence and Exhibits; ","")&amp;IF(INDEX(RegDoc5,MATCH($A102,RegCaseNo,0))="N","Resolution / Information; ","")&amp;IF(INDEX(RegDoc6,MATCH($A102,RegCaseNo,0))="N","Court Order / Docket; ","")&amp;IF(INDEX(RegDoc7,MATCH($A102,RegCaseNo,0))="N","Bail / Bond Records; ","")&amp;IF(INDEX(RegDoc8,MATCH($A102,RegCaseNo,0))="N","Judgment / Order; ","")))</f>
        <v/>
      </c>
      <c r="G102" s="32" t="n"/>
      <c r="H102" s="30" t="n"/>
      <c r="I102" s="31" t="n"/>
      <c r="J102" s="45">
        <f>IF($A102="","",IF(E102=1,"Complete",IF(AND(I102&lt;&gt;"",I102&lt;TODAY(),E102&lt;1),"Follow-up overdue",IF(E102&gt;=0.75,"Minor gaps","Action needed"))))</f>
        <v/>
      </c>
    </row>
    <row r="103" ht="26" customHeight="1">
      <c r="A103" s="30" t="n"/>
      <c r="B103" s="43">
        <f>IFERROR(IF($A103="","",INDEX(RegTitle,MATCH($A103,RegCaseNo,0))),"Case no. not found")</f>
        <v/>
      </c>
      <c r="C103" s="44">
        <f>IF($A103="","",SUMPRODUCT((RegCaseNo=$A103)*((RegDoc1="Y")+(RegDoc2="Y")+(RegDoc3="Y")+(RegDoc4="Y")+(RegDoc5="Y")+(RegDoc6="Y")+(RegDoc7="Y")+(RegDoc8="Y"))))</f>
        <v/>
      </c>
      <c r="D103" s="44">
        <f>IF($A103="","",SUMPRODUCT((RegCaseNo=$A103)*((RegDoc1="N")+(RegDoc2="N")+(RegDoc3="N")+(RegDoc4="N")+(RegDoc5="N")+(RegDoc6="N")+(RegDoc7="N")+(RegDoc8="N"))))</f>
        <v/>
      </c>
      <c r="E103" s="47">
        <f>IFERROR(IF($A103="","",C103/(C103+D103)),0)</f>
        <v/>
      </c>
      <c r="F103" s="43">
        <f>IF($A103="","",TRIM(IF(INDEX(RegDoc1,MATCH($A103,RegCaseNo,0))="N","Affidavit of Complaint; ","")&amp;IF(INDEX(RegDoc2,MATCH($A103,RegCaseNo,0))="N","Sworn Statements; ","")&amp;IF(INDEX(RegDoc3,MATCH($A103,RegCaseNo,0))="N","Police / Incident Report; ","")&amp;IF(INDEX(RegDoc4,MATCH($A103,RegCaseNo,0))="N","Evidence and Exhibits; ","")&amp;IF(INDEX(RegDoc5,MATCH($A103,RegCaseNo,0))="N","Resolution / Information; ","")&amp;IF(INDEX(RegDoc6,MATCH($A103,RegCaseNo,0))="N","Court Order / Docket; ","")&amp;IF(INDEX(RegDoc7,MATCH($A103,RegCaseNo,0))="N","Bail / Bond Records; ","")&amp;IF(INDEX(RegDoc8,MATCH($A103,RegCaseNo,0))="N","Judgment / Order; ","")))</f>
        <v/>
      </c>
      <c r="G103" s="32" t="n"/>
      <c r="H103" s="30" t="n"/>
      <c r="I103" s="31" t="n"/>
      <c r="J103" s="45">
        <f>IF($A103="","",IF(E103=1,"Complete",IF(AND(I103&lt;&gt;"",I103&lt;TODAY(),E103&lt;1),"Follow-up overdue",IF(E103&gt;=0.75,"Minor gaps","Action needed"))))</f>
        <v/>
      </c>
    </row>
    <row r="104" ht="26" customHeight="1">
      <c r="A104" s="30" t="n"/>
      <c r="B104" s="43">
        <f>IFERROR(IF($A104="","",INDEX(RegTitle,MATCH($A104,RegCaseNo,0))),"Case no. not found")</f>
        <v/>
      </c>
      <c r="C104" s="44">
        <f>IF($A104="","",SUMPRODUCT((RegCaseNo=$A104)*((RegDoc1="Y")+(RegDoc2="Y")+(RegDoc3="Y")+(RegDoc4="Y")+(RegDoc5="Y")+(RegDoc6="Y")+(RegDoc7="Y")+(RegDoc8="Y"))))</f>
        <v/>
      </c>
      <c r="D104" s="44">
        <f>IF($A104="","",SUMPRODUCT((RegCaseNo=$A104)*((RegDoc1="N")+(RegDoc2="N")+(RegDoc3="N")+(RegDoc4="N")+(RegDoc5="N")+(RegDoc6="N")+(RegDoc7="N")+(RegDoc8="N"))))</f>
        <v/>
      </c>
      <c r="E104" s="47">
        <f>IFERROR(IF($A104="","",C104/(C104+D104)),0)</f>
        <v/>
      </c>
      <c r="F104" s="43">
        <f>IF($A104="","",TRIM(IF(INDEX(RegDoc1,MATCH($A104,RegCaseNo,0))="N","Affidavit of Complaint; ","")&amp;IF(INDEX(RegDoc2,MATCH($A104,RegCaseNo,0))="N","Sworn Statements; ","")&amp;IF(INDEX(RegDoc3,MATCH($A104,RegCaseNo,0))="N","Police / Incident Report; ","")&amp;IF(INDEX(RegDoc4,MATCH($A104,RegCaseNo,0))="N","Evidence and Exhibits; ","")&amp;IF(INDEX(RegDoc5,MATCH($A104,RegCaseNo,0))="N","Resolution / Information; ","")&amp;IF(INDEX(RegDoc6,MATCH($A104,RegCaseNo,0))="N","Court Order / Docket; ","")&amp;IF(INDEX(RegDoc7,MATCH($A104,RegCaseNo,0))="N","Bail / Bond Records; ","")&amp;IF(INDEX(RegDoc8,MATCH($A104,RegCaseNo,0))="N","Judgment / Order; ","")))</f>
        <v/>
      </c>
      <c r="G104" s="32" t="n"/>
      <c r="H104" s="30" t="n"/>
      <c r="I104" s="31" t="n"/>
      <c r="J104" s="45">
        <f>IF($A104="","",IF(E104=1,"Complete",IF(AND(I104&lt;&gt;"",I104&lt;TODAY(),E104&lt;1),"Follow-up overdue",IF(E104&gt;=0.75,"Minor gaps","Action needed"))))</f>
        <v/>
      </c>
    </row>
    <row r="105" ht="26" customHeight="1">
      <c r="A105" s="30" t="n"/>
      <c r="B105" s="43">
        <f>IFERROR(IF($A105="","",INDEX(RegTitle,MATCH($A105,RegCaseNo,0))),"Case no. not found")</f>
        <v/>
      </c>
      <c r="C105" s="44">
        <f>IF($A105="","",SUMPRODUCT((RegCaseNo=$A105)*((RegDoc1="Y")+(RegDoc2="Y")+(RegDoc3="Y")+(RegDoc4="Y")+(RegDoc5="Y")+(RegDoc6="Y")+(RegDoc7="Y")+(RegDoc8="Y"))))</f>
        <v/>
      </c>
      <c r="D105" s="44">
        <f>IF($A105="","",SUMPRODUCT((RegCaseNo=$A105)*((RegDoc1="N")+(RegDoc2="N")+(RegDoc3="N")+(RegDoc4="N")+(RegDoc5="N")+(RegDoc6="N")+(RegDoc7="N")+(RegDoc8="N"))))</f>
        <v/>
      </c>
      <c r="E105" s="47">
        <f>IFERROR(IF($A105="","",C105/(C105+D105)),0)</f>
        <v/>
      </c>
      <c r="F105" s="43">
        <f>IF($A105="","",TRIM(IF(INDEX(RegDoc1,MATCH($A105,RegCaseNo,0))="N","Affidavit of Complaint; ","")&amp;IF(INDEX(RegDoc2,MATCH($A105,RegCaseNo,0))="N","Sworn Statements; ","")&amp;IF(INDEX(RegDoc3,MATCH($A105,RegCaseNo,0))="N","Police / Incident Report; ","")&amp;IF(INDEX(RegDoc4,MATCH($A105,RegCaseNo,0))="N","Evidence and Exhibits; ","")&amp;IF(INDEX(RegDoc5,MATCH($A105,RegCaseNo,0))="N","Resolution / Information; ","")&amp;IF(INDEX(RegDoc6,MATCH($A105,RegCaseNo,0))="N","Court Order / Docket; ","")&amp;IF(INDEX(RegDoc7,MATCH($A105,RegCaseNo,0))="N","Bail / Bond Records; ","")&amp;IF(INDEX(RegDoc8,MATCH($A105,RegCaseNo,0))="N","Judgment / Order; ","")))</f>
        <v/>
      </c>
      <c r="G105" s="32" t="n"/>
      <c r="H105" s="30" t="n"/>
      <c r="I105" s="31" t="n"/>
      <c r="J105" s="45">
        <f>IF($A105="","",IF(E105=1,"Complete",IF(AND(I105&lt;&gt;"",I105&lt;TODAY(),E105&lt;1),"Follow-up overdue",IF(E105&gt;=0.75,"Minor gaps","Action needed"))))</f>
        <v/>
      </c>
    </row>
    <row r="106" ht="26" customHeight="1">
      <c r="A106" s="30" t="n"/>
      <c r="B106" s="43">
        <f>IFERROR(IF($A106="","",INDEX(RegTitle,MATCH($A106,RegCaseNo,0))),"Case no. not found")</f>
        <v/>
      </c>
      <c r="C106" s="44">
        <f>IF($A106="","",SUMPRODUCT((RegCaseNo=$A106)*((RegDoc1="Y")+(RegDoc2="Y")+(RegDoc3="Y")+(RegDoc4="Y")+(RegDoc5="Y")+(RegDoc6="Y")+(RegDoc7="Y")+(RegDoc8="Y"))))</f>
        <v/>
      </c>
      <c r="D106" s="44">
        <f>IF($A106="","",SUMPRODUCT((RegCaseNo=$A106)*((RegDoc1="N")+(RegDoc2="N")+(RegDoc3="N")+(RegDoc4="N")+(RegDoc5="N")+(RegDoc6="N")+(RegDoc7="N")+(RegDoc8="N"))))</f>
        <v/>
      </c>
      <c r="E106" s="47">
        <f>IFERROR(IF($A106="","",C106/(C106+D106)),0)</f>
        <v/>
      </c>
      <c r="F106" s="43">
        <f>IF($A106="","",TRIM(IF(INDEX(RegDoc1,MATCH($A106,RegCaseNo,0))="N","Affidavit of Complaint; ","")&amp;IF(INDEX(RegDoc2,MATCH($A106,RegCaseNo,0))="N","Sworn Statements; ","")&amp;IF(INDEX(RegDoc3,MATCH($A106,RegCaseNo,0))="N","Police / Incident Report; ","")&amp;IF(INDEX(RegDoc4,MATCH($A106,RegCaseNo,0))="N","Evidence and Exhibits; ","")&amp;IF(INDEX(RegDoc5,MATCH($A106,RegCaseNo,0))="N","Resolution / Information; ","")&amp;IF(INDEX(RegDoc6,MATCH($A106,RegCaseNo,0))="N","Court Order / Docket; ","")&amp;IF(INDEX(RegDoc7,MATCH($A106,RegCaseNo,0))="N","Bail / Bond Records; ","")&amp;IF(INDEX(RegDoc8,MATCH($A106,RegCaseNo,0))="N","Judgment / Order; ","")))</f>
        <v/>
      </c>
      <c r="G106" s="32" t="n"/>
      <c r="H106" s="30" t="n"/>
      <c r="I106" s="31" t="n"/>
      <c r="J106" s="45">
        <f>IF($A106="","",IF(E106=1,"Complete",IF(AND(I106&lt;&gt;"",I106&lt;TODAY(),E106&lt;1),"Follow-up overdue",IF(E106&gt;=0.75,"Minor gaps","Action needed"))))</f>
        <v/>
      </c>
    </row>
    <row r="107" ht="26" customHeight="1">
      <c r="A107" s="30" t="n"/>
      <c r="B107" s="43">
        <f>IFERROR(IF($A107="","",INDEX(RegTitle,MATCH($A107,RegCaseNo,0))),"Case no. not found")</f>
        <v/>
      </c>
      <c r="C107" s="44">
        <f>IF($A107="","",SUMPRODUCT((RegCaseNo=$A107)*((RegDoc1="Y")+(RegDoc2="Y")+(RegDoc3="Y")+(RegDoc4="Y")+(RegDoc5="Y")+(RegDoc6="Y")+(RegDoc7="Y")+(RegDoc8="Y"))))</f>
        <v/>
      </c>
      <c r="D107" s="44">
        <f>IF($A107="","",SUMPRODUCT((RegCaseNo=$A107)*((RegDoc1="N")+(RegDoc2="N")+(RegDoc3="N")+(RegDoc4="N")+(RegDoc5="N")+(RegDoc6="N")+(RegDoc7="N")+(RegDoc8="N"))))</f>
        <v/>
      </c>
      <c r="E107" s="47">
        <f>IFERROR(IF($A107="","",C107/(C107+D107)),0)</f>
        <v/>
      </c>
      <c r="F107" s="43">
        <f>IF($A107="","",TRIM(IF(INDEX(RegDoc1,MATCH($A107,RegCaseNo,0))="N","Affidavit of Complaint; ","")&amp;IF(INDEX(RegDoc2,MATCH($A107,RegCaseNo,0))="N","Sworn Statements; ","")&amp;IF(INDEX(RegDoc3,MATCH($A107,RegCaseNo,0))="N","Police / Incident Report; ","")&amp;IF(INDEX(RegDoc4,MATCH($A107,RegCaseNo,0))="N","Evidence and Exhibits; ","")&amp;IF(INDEX(RegDoc5,MATCH($A107,RegCaseNo,0))="N","Resolution / Information; ","")&amp;IF(INDEX(RegDoc6,MATCH($A107,RegCaseNo,0))="N","Court Order / Docket; ","")&amp;IF(INDEX(RegDoc7,MATCH($A107,RegCaseNo,0))="N","Bail / Bond Records; ","")&amp;IF(INDEX(RegDoc8,MATCH($A107,RegCaseNo,0))="N","Judgment / Order; ","")))</f>
        <v/>
      </c>
      <c r="G107" s="32" t="n"/>
      <c r="H107" s="30" t="n"/>
      <c r="I107" s="31" t="n"/>
      <c r="J107" s="45">
        <f>IF($A107="","",IF(E107=1,"Complete",IF(AND(I107&lt;&gt;"",I107&lt;TODAY(),E107&lt;1),"Follow-up overdue",IF(E107&gt;=0.75,"Minor gaps","Action needed"))))</f>
        <v/>
      </c>
    </row>
    <row r="108" ht="26" customHeight="1">
      <c r="A108" s="30" t="n"/>
      <c r="B108" s="43">
        <f>IFERROR(IF($A108="","",INDEX(RegTitle,MATCH($A108,RegCaseNo,0))),"Case no. not found")</f>
        <v/>
      </c>
      <c r="C108" s="44">
        <f>IF($A108="","",SUMPRODUCT((RegCaseNo=$A108)*((RegDoc1="Y")+(RegDoc2="Y")+(RegDoc3="Y")+(RegDoc4="Y")+(RegDoc5="Y")+(RegDoc6="Y")+(RegDoc7="Y")+(RegDoc8="Y"))))</f>
        <v/>
      </c>
      <c r="D108" s="44">
        <f>IF($A108="","",SUMPRODUCT((RegCaseNo=$A108)*((RegDoc1="N")+(RegDoc2="N")+(RegDoc3="N")+(RegDoc4="N")+(RegDoc5="N")+(RegDoc6="N")+(RegDoc7="N")+(RegDoc8="N"))))</f>
        <v/>
      </c>
      <c r="E108" s="47">
        <f>IFERROR(IF($A108="","",C108/(C108+D108)),0)</f>
        <v/>
      </c>
      <c r="F108" s="43">
        <f>IF($A108="","",TRIM(IF(INDEX(RegDoc1,MATCH($A108,RegCaseNo,0))="N","Affidavit of Complaint; ","")&amp;IF(INDEX(RegDoc2,MATCH($A108,RegCaseNo,0))="N","Sworn Statements; ","")&amp;IF(INDEX(RegDoc3,MATCH($A108,RegCaseNo,0))="N","Police / Incident Report; ","")&amp;IF(INDEX(RegDoc4,MATCH($A108,RegCaseNo,0))="N","Evidence and Exhibits; ","")&amp;IF(INDEX(RegDoc5,MATCH($A108,RegCaseNo,0))="N","Resolution / Information; ","")&amp;IF(INDEX(RegDoc6,MATCH($A108,RegCaseNo,0))="N","Court Order / Docket; ","")&amp;IF(INDEX(RegDoc7,MATCH($A108,RegCaseNo,0))="N","Bail / Bond Records; ","")&amp;IF(INDEX(RegDoc8,MATCH($A108,RegCaseNo,0))="N","Judgment / Order; ","")))</f>
        <v/>
      </c>
      <c r="G108" s="32" t="n"/>
      <c r="H108" s="30" t="n"/>
      <c r="I108" s="31" t="n"/>
      <c r="J108" s="45">
        <f>IF($A108="","",IF(E108=1,"Complete",IF(AND(I108&lt;&gt;"",I108&lt;TODAY(),E108&lt;1),"Follow-up overdue",IF(E108&gt;=0.75,"Minor gaps","Action needed"))))</f>
        <v/>
      </c>
    </row>
    <row r="109" ht="26" customHeight="1">
      <c r="A109" s="30" t="n"/>
      <c r="B109" s="43">
        <f>IFERROR(IF($A109="","",INDEX(RegTitle,MATCH($A109,RegCaseNo,0))),"Case no. not found")</f>
        <v/>
      </c>
      <c r="C109" s="44">
        <f>IF($A109="","",SUMPRODUCT((RegCaseNo=$A109)*((RegDoc1="Y")+(RegDoc2="Y")+(RegDoc3="Y")+(RegDoc4="Y")+(RegDoc5="Y")+(RegDoc6="Y")+(RegDoc7="Y")+(RegDoc8="Y"))))</f>
        <v/>
      </c>
      <c r="D109" s="44">
        <f>IF($A109="","",SUMPRODUCT((RegCaseNo=$A109)*((RegDoc1="N")+(RegDoc2="N")+(RegDoc3="N")+(RegDoc4="N")+(RegDoc5="N")+(RegDoc6="N")+(RegDoc7="N")+(RegDoc8="N"))))</f>
        <v/>
      </c>
      <c r="E109" s="47">
        <f>IFERROR(IF($A109="","",C109/(C109+D109)),0)</f>
        <v/>
      </c>
      <c r="F109" s="43">
        <f>IF($A109="","",TRIM(IF(INDEX(RegDoc1,MATCH($A109,RegCaseNo,0))="N","Affidavit of Complaint; ","")&amp;IF(INDEX(RegDoc2,MATCH($A109,RegCaseNo,0))="N","Sworn Statements; ","")&amp;IF(INDEX(RegDoc3,MATCH($A109,RegCaseNo,0))="N","Police / Incident Report; ","")&amp;IF(INDEX(RegDoc4,MATCH($A109,RegCaseNo,0))="N","Evidence and Exhibits; ","")&amp;IF(INDEX(RegDoc5,MATCH($A109,RegCaseNo,0))="N","Resolution / Information; ","")&amp;IF(INDEX(RegDoc6,MATCH($A109,RegCaseNo,0))="N","Court Order / Docket; ","")&amp;IF(INDEX(RegDoc7,MATCH($A109,RegCaseNo,0))="N","Bail / Bond Records; ","")&amp;IF(INDEX(RegDoc8,MATCH($A109,RegCaseNo,0))="N","Judgment / Order; ","")))</f>
        <v/>
      </c>
      <c r="G109" s="32" t="n"/>
      <c r="H109" s="30" t="n"/>
      <c r="I109" s="31" t="n"/>
      <c r="J109" s="45">
        <f>IF($A109="","",IF(E109=1,"Complete",IF(AND(I109&lt;&gt;"",I109&lt;TODAY(),E109&lt;1),"Follow-up overdue",IF(E109&gt;=0.75,"Minor gaps","Action needed"))))</f>
        <v/>
      </c>
    </row>
    <row r="110" ht="26" customHeight="1">
      <c r="A110" s="30" t="n"/>
      <c r="B110" s="43">
        <f>IFERROR(IF($A110="","",INDEX(RegTitle,MATCH($A110,RegCaseNo,0))),"Case no. not found")</f>
        <v/>
      </c>
      <c r="C110" s="44">
        <f>IF($A110="","",SUMPRODUCT((RegCaseNo=$A110)*((RegDoc1="Y")+(RegDoc2="Y")+(RegDoc3="Y")+(RegDoc4="Y")+(RegDoc5="Y")+(RegDoc6="Y")+(RegDoc7="Y")+(RegDoc8="Y"))))</f>
        <v/>
      </c>
      <c r="D110" s="44">
        <f>IF($A110="","",SUMPRODUCT((RegCaseNo=$A110)*((RegDoc1="N")+(RegDoc2="N")+(RegDoc3="N")+(RegDoc4="N")+(RegDoc5="N")+(RegDoc6="N")+(RegDoc7="N")+(RegDoc8="N"))))</f>
        <v/>
      </c>
      <c r="E110" s="47">
        <f>IFERROR(IF($A110="","",C110/(C110+D110)),0)</f>
        <v/>
      </c>
      <c r="F110" s="43">
        <f>IF($A110="","",TRIM(IF(INDEX(RegDoc1,MATCH($A110,RegCaseNo,0))="N","Affidavit of Complaint; ","")&amp;IF(INDEX(RegDoc2,MATCH($A110,RegCaseNo,0))="N","Sworn Statements; ","")&amp;IF(INDEX(RegDoc3,MATCH($A110,RegCaseNo,0))="N","Police / Incident Report; ","")&amp;IF(INDEX(RegDoc4,MATCH($A110,RegCaseNo,0))="N","Evidence and Exhibits; ","")&amp;IF(INDEX(RegDoc5,MATCH($A110,RegCaseNo,0))="N","Resolution / Information; ","")&amp;IF(INDEX(RegDoc6,MATCH($A110,RegCaseNo,0))="N","Court Order / Docket; ","")&amp;IF(INDEX(RegDoc7,MATCH($A110,RegCaseNo,0))="N","Bail / Bond Records; ","")&amp;IF(INDEX(RegDoc8,MATCH($A110,RegCaseNo,0))="N","Judgment / Order; ","")))</f>
        <v/>
      </c>
      <c r="G110" s="32" t="n"/>
      <c r="H110" s="30" t="n"/>
      <c r="I110" s="31" t="n"/>
      <c r="J110" s="45">
        <f>IF($A110="","",IF(E110=1,"Complete",IF(AND(I110&lt;&gt;"",I110&lt;TODAY(),E110&lt;1),"Follow-up overdue",IF(E110&gt;=0.75,"Minor gaps","Action needed"))))</f>
        <v/>
      </c>
    </row>
    <row r="111" ht="26" customHeight="1">
      <c r="A111" s="30" t="n"/>
      <c r="B111" s="43">
        <f>IFERROR(IF($A111="","",INDEX(RegTitle,MATCH($A111,RegCaseNo,0))),"Case no. not found")</f>
        <v/>
      </c>
      <c r="C111" s="44">
        <f>IF($A111="","",SUMPRODUCT((RegCaseNo=$A111)*((RegDoc1="Y")+(RegDoc2="Y")+(RegDoc3="Y")+(RegDoc4="Y")+(RegDoc5="Y")+(RegDoc6="Y")+(RegDoc7="Y")+(RegDoc8="Y"))))</f>
        <v/>
      </c>
      <c r="D111" s="44">
        <f>IF($A111="","",SUMPRODUCT((RegCaseNo=$A111)*((RegDoc1="N")+(RegDoc2="N")+(RegDoc3="N")+(RegDoc4="N")+(RegDoc5="N")+(RegDoc6="N")+(RegDoc7="N")+(RegDoc8="N"))))</f>
        <v/>
      </c>
      <c r="E111" s="47">
        <f>IFERROR(IF($A111="","",C111/(C111+D111)),0)</f>
        <v/>
      </c>
      <c r="F111" s="43">
        <f>IF($A111="","",TRIM(IF(INDEX(RegDoc1,MATCH($A111,RegCaseNo,0))="N","Affidavit of Complaint; ","")&amp;IF(INDEX(RegDoc2,MATCH($A111,RegCaseNo,0))="N","Sworn Statements; ","")&amp;IF(INDEX(RegDoc3,MATCH($A111,RegCaseNo,0))="N","Police / Incident Report; ","")&amp;IF(INDEX(RegDoc4,MATCH($A111,RegCaseNo,0))="N","Evidence and Exhibits; ","")&amp;IF(INDEX(RegDoc5,MATCH($A111,RegCaseNo,0))="N","Resolution / Information; ","")&amp;IF(INDEX(RegDoc6,MATCH($A111,RegCaseNo,0))="N","Court Order / Docket; ","")&amp;IF(INDEX(RegDoc7,MATCH($A111,RegCaseNo,0))="N","Bail / Bond Records; ","")&amp;IF(INDEX(RegDoc8,MATCH($A111,RegCaseNo,0))="N","Judgment / Order; ","")))</f>
        <v/>
      </c>
      <c r="G111" s="32" t="n"/>
      <c r="H111" s="30" t="n"/>
      <c r="I111" s="31" t="n"/>
      <c r="J111" s="45">
        <f>IF($A111="","",IF(E111=1,"Complete",IF(AND(I111&lt;&gt;"",I111&lt;TODAY(),E111&lt;1),"Follow-up overdue",IF(E111&gt;=0.75,"Minor gaps","Action needed"))))</f>
        <v/>
      </c>
    </row>
    <row r="112" ht="26" customHeight="1">
      <c r="A112" s="30" t="n"/>
      <c r="B112" s="43">
        <f>IFERROR(IF($A112="","",INDEX(RegTitle,MATCH($A112,RegCaseNo,0))),"Case no. not found")</f>
        <v/>
      </c>
      <c r="C112" s="44">
        <f>IF($A112="","",SUMPRODUCT((RegCaseNo=$A112)*((RegDoc1="Y")+(RegDoc2="Y")+(RegDoc3="Y")+(RegDoc4="Y")+(RegDoc5="Y")+(RegDoc6="Y")+(RegDoc7="Y")+(RegDoc8="Y"))))</f>
        <v/>
      </c>
      <c r="D112" s="44">
        <f>IF($A112="","",SUMPRODUCT((RegCaseNo=$A112)*((RegDoc1="N")+(RegDoc2="N")+(RegDoc3="N")+(RegDoc4="N")+(RegDoc5="N")+(RegDoc6="N")+(RegDoc7="N")+(RegDoc8="N"))))</f>
        <v/>
      </c>
      <c r="E112" s="47">
        <f>IFERROR(IF($A112="","",C112/(C112+D112)),0)</f>
        <v/>
      </c>
      <c r="F112" s="43">
        <f>IF($A112="","",TRIM(IF(INDEX(RegDoc1,MATCH($A112,RegCaseNo,0))="N","Affidavit of Complaint; ","")&amp;IF(INDEX(RegDoc2,MATCH($A112,RegCaseNo,0))="N","Sworn Statements; ","")&amp;IF(INDEX(RegDoc3,MATCH($A112,RegCaseNo,0))="N","Police / Incident Report; ","")&amp;IF(INDEX(RegDoc4,MATCH($A112,RegCaseNo,0))="N","Evidence and Exhibits; ","")&amp;IF(INDEX(RegDoc5,MATCH($A112,RegCaseNo,0))="N","Resolution / Information; ","")&amp;IF(INDEX(RegDoc6,MATCH($A112,RegCaseNo,0))="N","Court Order / Docket; ","")&amp;IF(INDEX(RegDoc7,MATCH($A112,RegCaseNo,0))="N","Bail / Bond Records; ","")&amp;IF(INDEX(RegDoc8,MATCH($A112,RegCaseNo,0))="N","Judgment / Order; ","")))</f>
        <v/>
      </c>
      <c r="G112" s="32" t="n"/>
      <c r="H112" s="30" t="n"/>
      <c r="I112" s="31" t="n"/>
      <c r="J112" s="45">
        <f>IF($A112="","",IF(E112=1,"Complete",IF(AND(I112&lt;&gt;"",I112&lt;TODAY(),E112&lt;1),"Follow-up overdue",IF(E112&gt;=0.75,"Minor gaps","Action needed"))))</f>
        <v/>
      </c>
    </row>
    <row r="113" ht="26" customHeight="1">
      <c r="A113" s="30" t="n"/>
      <c r="B113" s="43">
        <f>IFERROR(IF($A113="","",INDEX(RegTitle,MATCH($A113,RegCaseNo,0))),"Case no. not found")</f>
        <v/>
      </c>
      <c r="C113" s="44">
        <f>IF($A113="","",SUMPRODUCT((RegCaseNo=$A113)*((RegDoc1="Y")+(RegDoc2="Y")+(RegDoc3="Y")+(RegDoc4="Y")+(RegDoc5="Y")+(RegDoc6="Y")+(RegDoc7="Y")+(RegDoc8="Y"))))</f>
        <v/>
      </c>
      <c r="D113" s="44">
        <f>IF($A113="","",SUMPRODUCT((RegCaseNo=$A113)*((RegDoc1="N")+(RegDoc2="N")+(RegDoc3="N")+(RegDoc4="N")+(RegDoc5="N")+(RegDoc6="N")+(RegDoc7="N")+(RegDoc8="N"))))</f>
        <v/>
      </c>
      <c r="E113" s="47">
        <f>IFERROR(IF($A113="","",C113/(C113+D113)),0)</f>
        <v/>
      </c>
      <c r="F113" s="43">
        <f>IF($A113="","",TRIM(IF(INDEX(RegDoc1,MATCH($A113,RegCaseNo,0))="N","Affidavit of Complaint; ","")&amp;IF(INDEX(RegDoc2,MATCH($A113,RegCaseNo,0))="N","Sworn Statements; ","")&amp;IF(INDEX(RegDoc3,MATCH($A113,RegCaseNo,0))="N","Police / Incident Report; ","")&amp;IF(INDEX(RegDoc4,MATCH($A113,RegCaseNo,0))="N","Evidence and Exhibits; ","")&amp;IF(INDEX(RegDoc5,MATCH($A113,RegCaseNo,0))="N","Resolution / Information; ","")&amp;IF(INDEX(RegDoc6,MATCH($A113,RegCaseNo,0))="N","Court Order / Docket; ","")&amp;IF(INDEX(RegDoc7,MATCH($A113,RegCaseNo,0))="N","Bail / Bond Records; ","")&amp;IF(INDEX(RegDoc8,MATCH($A113,RegCaseNo,0))="N","Judgment / Order; ","")))</f>
        <v/>
      </c>
      <c r="G113" s="32" t="n"/>
      <c r="H113" s="30" t="n"/>
      <c r="I113" s="31" t="n"/>
      <c r="J113" s="45">
        <f>IF($A113="","",IF(E113=1,"Complete",IF(AND(I113&lt;&gt;"",I113&lt;TODAY(),E113&lt;1),"Follow-up overdue",IF(E113&gt;=0.75,"Minor gaps","Action needed"))))</f>
        <v/>
      </c>
    </row>
    <row r="114" ht="26" customHeight="1">
      <c r="A114" s="30" t="n"/>
      <c r="B114" s="43">
        <f>IFERROR(IF($A114="","",INDEX(RegTitle,MATCH($A114,RegCaseNo,0))),"Case no. not found")</f>
        <v/>
      </c>
      <c r="C114" s="44">
        <f>IF($A114="","",SUMPRODUCT((RegCaseNo=$A114)*((RegDoc1="Y")+(RegDoc2="Y")+(RegDoc3="Y")+(RegDoc4="Y")+(RegDoc5="Y")+(RegDoc6="Y")+(RegDoc7="Y")+(RegDoc8="Y"))))</f>
        <v/>
      </c>
      <c r="D114" s="44">
        <f>IF($A114="","",SUMPRODUCT((RegCaseNo=$A114)*((RegDoc1="N")+(RegDoc2="N")+(RegDoc3="N")+(RegDoc4="N")+(RegDoc5="N")+(RegDoc6="N")+(RegDoc7="N")+(RegDoc8="N"))))</f>
        <v/>
      </c>
      <c r="E114" s="47">
        <f>IFERROR(IF($A114="","",C114/(C114+D114)),0)</f>
        <v/>
      </c>
      <c r="F114" s="43">
        <f>IF($A114="","",TRIM(IF(INDEX(RegDoc1,MATCH($A114,RegCaseNo,0))="N","Affidavit of Complaint; ","")&amp;IF(INDEX(RegDoc2,MATCH($A114,RegCaseNo,0))="N","Sworn Statements; ","")&amp;IF(INDEX(RegDoc3,MATCH($A114,RegCaseNo,0))="N","Police / Incident Report; ","")&amp;IF(INDEX(RegDoc4,MATCH($A114,RegCaseNo,0))="N","Evidence and Exhibits; ","")&amp;IF(INDEX(RegDoc5,MATCH($A114,RegCaseNo,0))="N","Resolution / Information; ","")&amp;IF(INDEX(RegDoc6,MATCH($A114,RegCaseNo,0))="N","Court Order / Docket; ","")&amp;IF(INDEX(RegDoc7,MATCH($A114,RegCaseNo,0))="N","Bail / Bond Records; ","")&amp;IF(INDEX(RegDoc8,MATCH($A114,RegCaseNo,0))="N","Judgment / Order; ","")))</f>
        <v/>
      </c>
      <c r="G114" s="32" t="n"/>
      <c r="H114" s="30" t="n"/>
      <c r="I114" s="31" t="n"/>
      <c r="J114" s="45">
        <f>IF($A114="","",IF(E114=1,"Complete",IF(AND(I114&lt;&gt;"",I114&lt;TODAY(),E114&lt;1),"Follow-up overdue",IF(E114&gt;=0.75,"Minor gaps","Action needed"))))</f>
        <v/>
      </c>
    </row>
    <row r="115" ht="26" customHeight="1">
      <c r="A115" s="30" t="n"/>
      <c r="B115" s="43">
        <f>IFERROR(IF($A115="","",INDEX(RegTitle,MATCH($A115,RegCaseNo,0))),"Case no. not found")</f>
        <v/>
      </c>
      <c r="C115" s="44">
        <f>IF($A115="","",SUMPRODUCT((RegCaseNo=$A115)*((RegDoc1="Y")+(RegDoc2="Y")+(RegDoc3="Y")+(RegDoc4="Y")+(RegDoc5="Y")+(RegDoc6="Y")+(RegDoc7="Y")+(RegDoc8="Y"))))</f>
        <v/>
      </c>
      <c r="D115" s="44">
        <f>IF($A115="","",SUMPRODUCT((RegCaseNo=$A115)*((RegDoc1="N")+(RegDoc2="N")+(RegDoc3="N")+(RegDoc4="N")+(RegDoc5="N")+(RegDoc6="N")+(RegDoc7="N")+(RegDoc8="N"))))</f>
        <v/>
      </c>
      <c r="E115" s="47">
        <f>IFERROR(IF($A115="","",C115/(C115+D115)),0)</f>
        <v/>
      </c>
      <c r="F115" s="43">
        <f>IF($A115="","",TRIM(IF(INDEX(RegDoc1,MATCH($A115,RegCaseNo,0))="N","Affidavit of Complaint; ","")&amp;IF(INDEX(RegDoc2,MATCH($A115,RegCaseNo,0))="N","Sworn Statements; ","")&amp;IF(INDEX(RegDoc3,MATCH($A115,RegCaseNo,0))="N","Police / Incident Report; ","")&amp;IF(INDEX(RegDoc4,MATCH($A115,RegCaseNo,0))="N","Evidence and Exhibits; ","")&amp;IF(INDEX(RegDoc5,MATCH($A115,RegCaseNo,0))="N","Resolution / Information; ","")&amp;IF(INDEX(RegDoc6,MATCH($A115,RegCaseNo,0))="N","Court Order / Docket; ","")&amp;IF(INDEX(RegDoc7,MATCH($A115,RegCaseNo,0))="N","Bail / Bond Records; ","")&amp;IF(INDEX(RegDoc8,MATCH($A115,RegCaseNo,0))="N","Judgment / Order; ","")))</f>
        <v/>
      </c>
      <c r="G115" s="32" t="n"/>
      <c r="H115" s="30" t="n"/>
      <c r="I115" s="31" t="n"/>
      <c r="J115" s="45">
        <f>IF($A115="","",IF(E115=1,"Complete",IF(AND(I115&lt;&gt;"",I115&lt;TODAY(),E115&lt;1),"Follow-up overdue",IF(E115&gt;=0.75,"Minor gaps","Action needed"))))</f>
        <v/>
      </c>
    </row>
    <row r="116" ht="26" customHeight="1">
      <c r="A116" s="30" t="n"/>
      <c r="B116" s="43">
        <f>IFERROR(IF($A116="","",INDEX(RegTitle,MATCH($A116,RegCaseNo,0))),"Case no. not found")</f>
        <v/>
      </c>
      <c r="C116" s="44">
        <f>IF($A116="","",SUMPRODUCT((RegCaseNo=$A116)*((RegDoc1="Y")+(RegDoc2="Y")+(RegDoc3="Y")+(RegDoc4="Y")+(RegDoc5="Y")+(RegDoc6="Y")+(RegDoc7="Y")+(RegDoc8="Y"))))</f>
        <v/>
      </c>
      <c r="D116" s="44">
        <f>IF($A116="","",SUMPRODUCT((RegCaseNo=$A116)*((RegDoc1="N")+(RegDoc2="N")+(RegDoc3="N")+(RegDoc4="N")+(RegDoc5="N")+(RegDoc6="N")+(RegDoc7="N")+(RegDoc8="N"))))</f>
        <v/>
      </c>
      <c r="E116" s="47">
        <f>IFERROR(IF($A116="","",C116/(C116+D116)),0)</f>
        <v/>
      </c>
      <c r="F116" s="43">
        <f>IF($A116="","",TRIM(IF(INDEX(RegDoc1,MATCH($A116,RegCaseNo,0))="N","Affidavit of Complaint; ","")&amp;IF(INDEX(RegDoc2,MATCH($A116,RegCaseNo,0))="N","Sworn Statements; ","")&amp;IF(INDEX(RegDoc3,MATCH($A116,RegCaseNo,0))="N","Police / Incident Report; ","")&amp;IF(INDEX(RegDoc4,MATCH($A116,RegCaseNo,0))="N","Evidence and Exhibits; ","")&amp;IF(INDEX(RegDoc5,MATCH($A116,RegCaseNo,0))="N","Resolution / Information; ","")&amp;IF(INDEX(RegDoc6,MATCH($A116,RegCaseNo,0))="N","Court Order / Docket; ","")&amp;IF(INDEX(RegDoc7,MATCH($A116,RegCaseNo,0))="N","Bail / Bond Records; ","")&amp;IF(INDEX(RegDoc8,MATCH($A116,RegCaseNo,0))="N","Judgment / Order; ","")))</f>
        <v/>
      </c>
      <c r="G116" s="32" t="n"/>
      <c r="H116" s="30" t="n"/>
      <c r="I116" s="31" t="n"/>
      <c r="J116" s="45">
        <f>IF($A116="","",IF(E116=1,"Complete",IF(AND(I116&lt;&gt;"",I116&lt;TODAY(),E116&lt;1),"Follow-up overdue",IF(E116&gt;=0.75,"Minor gaps","Action needed"))))</f>
        <v/>
      </c>
    </row>
    <row r="117" ht="26" customHeight="1">
      <c r="A117" s="30" t="n"/>
      <c r="B117" s="43">
        <f>IFERROR(IF($A117="","",INDEX(RegTitle,MATCH($A117,RegCaseNo,0))),"Case no. not found")</f>
        <v/>
      </c>
      <c r="C117" s="44">
        <f>IF($A117="","",SUMPRODUCT((RegCaseNo=$A117)*((RegDoc1="Y")+(RegDoc2="Y")+(RegDoc3="Y")+(RegDoc4="Y")+(RegDoc5="Y")+(RegDoc6="Y")+(RegDoc7="Y")+(RegDoc8="Y"))))</f>
        <v/>
      </c>
      <c r="D117" s="44">
        <f>IF($A117="","",SUMPRODUCT((RegCaseNo=$A117)*((RegDoc1="N")+(RegDoc2="N")+(RegDoc3="N")+(RegDoc4="N")+(RegDoc5="N")+(RegDoc6="N")+(RegDoc7="N")+(RegDoc8="N"))))</f>
        <v/>
      </c>
      <c r="E117" s="47">
        <f>IFERROR(IF($A117="","",C117/(C117+D117)),0)</f>
        <v/>
      </c>
      <c r="F117" s="43">
        <f>IF($A117="","",TRIM(IF(INDEX(RegDoc1,MATCH($A117,RegCaseNo,0))="N","Affidavit of Complaint; ","")&amp;IF(INDEX(RegDoc2,MATCH($A117,RegCaseNo,0))="N","Sworn Statements; ","")&amp;IF(INDEX(RegDoc3,MATCH($A117,RegCaseNo,0))="N","Police / Incident Report; ","")&amp;IF(INDEX(RegDoc4,MATCH($A117,RegCaseNo,0))="N","Evidence and Exhibits; ","")&amp;IF(INDEX(RegDoc5,MATCH($A117,RegCaseNo,0))="N","Resolution / Information; ","")&amp;IF(INDEX(RegDoc6,MATCH($A117,RegCaseNo,0))="N","Court Order / Docket; ","")&amp;IF(INDEX(RegDoc7,MATCH($A117,RegCaseNo,0))="N","Bail / Bond Records; ","")&amp;IF(INDEX(RegDoc8,MATCH($A117,RegCaseNo,0))="N","Judgment / Order; ","")))</f>
        <v/>
      </c>
      <c r="G117" s="32" t="n"/>
      <c r="H117" s="30" t="n"/>
      <c r="I117" s="31" t="n"/>
      <c r="J117" s="45">
        <f>IF($A117="","",IF(E117=1,"Complete",IF(AND(I117&lt;&gt;"",I117&lt;TODAY(),E117&lt;1),"Follow-up overdue",IF(E117&gt;=0.75,"Minor gaps","Action needed"))))</f>
        <v/>
      </c>
    </row>
    <row r="118" ht="26" customHeight="1">
      <c r="A118" s="30" t="n"/>
      <c r="B118" s="43">
        <f>IFERROR(IF($A118="","",INDEX(RegTitle,MATCH($A118,RegCaseNo,0))),"Case no. not found")</f>
        <v/>
      </c>
      <c r="C118" s="44">
        <f>IF($A118="","",SUMPRODUCT((RegCaseNo=$A118)*((RegDoc1="Y")+(RegDoc2="Y")+(RegDoc3="Y")+(RegDoc4="Y")+(RegDoc5="Y")+(RegDoc6="Y")+(RegDoc7="Y")+(RegDoc8="Y"))))</f>
        <v/>
      </c>
      <c r="D118" s="44">
        <f>IF($A118="","",SUMPRODUCT((RegCaseNo=$A118)*((RegDoc1="N")+(RegDoc2="N")+(RegDoc3="N")+(RegDoc4="N")+(RegDoc5="N")+(RegDoc6="N")+(RegDoc7="N")+(RegDoc8="N"))))</f>
        <v/>
      </c>
      <c r="E118" s="47">
        <f>IFERROR(IF($A118="","",C118/(C118+D118)),0)</f>
        <v/>
      </c>
      <c r="F118" s="43">
        <f>IF($A118="","",TRIM(IF(INDEX(RegDoc1,MATCH($A118,RegCaseNo,0))="N","Affidavit of Complaint; ","")&amp;IF(INDEX(RegDoc2,MATCH($A118,RegCaseNo,0))="N","Sworn Statements; ","")&amp;IF(INDEX(RegDoc3,MATCH($A118,RegCaseNo,0))="N","Police / Incident Report; ","")&amp;IF(INDEX(RegDoc4,MATCH($A118,RegCaseNo,0))="N","Evidence and Exhibits; ","")&amp;IF(INDEX(RegDoc5,MATCH($A118,RegCaseNo,0))="N","Resolution / Information; ","")&amp;IF(INDEX(RegDoc6,MATCH($A118,RegCaseNo,0))="N","Court Order / Docket; ","")&amp;IF(INDEX(RegDoc7,MATCH($A118,RegCaseNo,0))="N","Bail / Bond Records; ","")&amp;IF(INDEX(RegDoc8,MATCH($A118,RegCaseNo,0))="N","Judgment / Order; ","")))</f>
        <v/>
      </c>
      <c r="G118" s="32" t="n"/>
      <c r="H118" s="30" t="n"/>
      <c r="I118" s="31" t="n"/>
      <c r="J118" s="45">
        <f>IF($A118="","",IF(E118=1,"Complete",IF(AND(I118&lt;&gt;"",I118&lt;TODAY(),E118&lt;1),"Follow-up overdue",IF(E118&gt;=0.75,"Minor gaps","Action needed"))))</f>
        <v/>
      </c>
    </row>
    <row r="119" ht="26" customHeight="1">
      <c r="A119" s="30" t="n"/>
      <c r="B119" s="43">
        <f>IFERROR(IF($A119="","",INDEX(RegTitle,MATCH($A119,RegCaseNo,0))),"Case no. not found")</f>
        <v/>
      </c>
      <c r="C119" s="44">
        <f>IF($A119="","",SUMPRODUCT((RegCaseNo=$A119)*((RegDoc1="Y")+(RegDoc2="Y")+(RegDoc3="Y")+(RegDoc4="Y")+(RegDoc5="Y")+(RegDoc6="Y")+(RegDoc7="Y")+(RegDoc8="Y"))))</f>
        <v/>
      </c>
      <c r="D119" s="44">
        <f>IF($A119="","",SUMPRODUCT((RegCaseNo=$A119)*((RegDoc1="N")+(RegDoc2="N")+(RegDoc3="N")+(RegDoc4="N")+(RegDoc5="N")+(RegDoc6="N")+(RegDoc7="N")+(RegDoc8="N"))))</f>
        <v/>
      </c>
      <c r="E119" s="47">
        <f>IFERROR(IF($A119="","",C119/(C119+D119)),0)</f>
        <v/>
      </c>
      <c r="F119" s="43">
        <f>IF($A119="","",TRIM(IF(INDEX(RegDoc1,MATCH($A119,RegCaseNo,0))="N","Affidavit of Complaint; ","")&amp;IF(INDEX(RegDoc2,MATCH($A119,RegCaseNo,0))="N","Sworn Statements; ","")&amp;IF(INDEX(RegDoc3,MATCH($A119,RegCaseNo,0))="N","Police / Incident Report; ","")&amp;IF(INDEX(RegDoc4,MATCH($A119,RegCaseNo,0))="N","Evidence and Exhibits; ","")&amp;IF(INDEX(RegDoc5,MATCH($A119,RegCaseNo,0))="N","Resolution / Information; ","")&amp;IF(INDEX(RegDoc6,MATCH($A119,RegCaseNo,0))="N","Court Order / Docket; ","")&amp;IF(INDEX(RegDoc7,MATCH($A119,RegCaseNo,0))="N","Bail / Bond Records; ","")&amp;IF(INDEX(RegDoc8,MATCH($A119,RegCaseNo,0))="N","Judgment / Order; ","")))</f>
        <v/>
      </c>
      <c r="G119" s="32" t="n"/>
      <c r="H119" s="30" t="n"/>
      <c r="I119" s="31" t="n"/>
      <c r="J119" s="45">
        <f>IF($A119="","",IF(E119=1,"Complete",IF(AND(I119&lt;&gt;"",I119&lt;TODAY(),E119&lt;1),"Follow-up overdue",IF(E119&gt;=0.75,"Minor gaps","Action needed"))))</f>
        <v/>
      </c>
    </row>
    <row r="120" ht="26" customHeight="1">
      <c r="A120" s="30" t="n"/>
      <c r="B120" s="43">
        <f>IFERROR(IF($A120="","",INDEX(RegTitle,MATCH($A120,RegCaseNo,0))),"Case no. not found")</f>
        <v/>
      </c>
      <c r="C120" s="44">
        <f>IF($A120="","",SUMPRODUCT((RegCaseNo=$A120)*((RegDoc1="Y")+(RegDoc2="Y")+(RegDoc3="Y")+(RegDoc4="Y")+(RegDoc5="Y")+(RegDoc6="Y")+(RegDoc7="Y")+(RegDoc8="Y"))))</f>
        <v/>
      </c>
      <c r="D120" s="44">
        <f>IF($A120="","",SUMPRODUCT((RegCaseNo=$A120)*((RegDoc1="N")+(RegDoc2="N")+(RegDoc3="N")+(RegDoc4="N")+(RegDoc5="N")+(RegDoc6="N")+(RegDoc7="N")+(RegDoc8="N"))))</f>
        <v/>
      </c>
      <c r="E120" s="47">
        <f>IFERROR(IF($A120="","",C120/(C120+D120)),0)</f>
        <v/>
      </c>
      <c r="F120" s="43">
        <f>IF($A120="","",TRIM(IF(INDEX(RegDoc1,MATCH($A120,RegCaseNo,0))="N","Affidavit of Complaint; ","")&amp;IF(INDEX(RegDoc2,MATCH($A120,RegCaseNo,0))="N","Sworn Statements; ","")&amp;IF(INDEX(RegDoc3,MATCH($A120,RegCaseNo,0))="N","Police / Incident Report; ","")&amp;IF(INDEX(RegDoc4,MATCH($A120,RegCaseNo,0))="N","Evidence and Exhibits; ","")&amp;IF(INDEX(RegDoc5,MATCH($A120,RegCaseNo,0))="N","Resolution / Information; ","")&amp;IF(INDEX(RegDoc6,MATCH($A120,RegCaseNo,0))="N","Court Order / Docket; ","")&amp;IF(INDEX(RegDoc7,MATCH($A120,RegCaseNo,0))="N","Bail / Bond Records; ","")&amp;IF(INDEX(RegDoc8,MATCH($A120,RegCaseNo,0))="N","Judgment / Order; ","")))</f>
        <v/>
      </c>
      <c r="G120" s="32" t="n"/>
      <c r="H120" s="30" t="n"/>
      <c r="I120" s="31" t="n"/>
      <c r="J120" s="45">
        <f>IF($A120="","",IF(E120=1,"Complete",IF(AND(I120&lt;&gt;"",I120&lt;TODAY(),E120&lt;1),"Follow-up overdue",IF(E120&gt;=0.75,"Minor gaps","Action needed"))))</f>
        <v/>
      </c>
    </row>
    <row r="121" ht="26" customHeight="1">
      <c r="A121" s="30" t="n"/>
      <c r="B121" s="43">
        <f>IFERROR(IF($A121="","",INDEX(RegTitle,MATCH($A121,RegCaseNo,0))),"Case no. not found")</f>
        <v/>
      </c>
      <c r="C121" s="44">
        <f>IF($A121="","",SUMPRODUCT((RegCaseNo=$A121)*((RegDoc1="Y")+(RegDoc2="Y")+(RegDoc3="Y")+(RegDoc4="Y")+(RegDoc5="Y")+(RegDoc6="Y")+(RegDoc7="Y")+(RegDoc8="Y"))))</f>
        <v/>
      </c>
      <c r="D121" s="44">
        <f>IF($A121="","",SUMPRODUCT((RegCaseNo=$A121)*((RegDoc1="N")+(RegDoc2="N")+(RegDoc3="N")+(RegDoc4="N")+(RegDoc5="N")+(RegDoc6="N")+(RegDoc7="N")+(RegDoc8="N"))))</f>
        <v/>
      </c>
      <c r="E121" s="47">
        <f>IFERROR(IF($A121="","",C121/(C121+D121)),0)</f>
        <v/>
      </c>
      <c r="F121" s="43">
        <f>IF($A121="","",TRIM(IF(INDEX(RegDoc1,MATCH($A121,RegCaseNo,0))="N","Affidavit of Complaint; ","")&amp;IF(INDEX(RegDoc2,MATCH($A121,RegCaseNo,0))="N","Sworn Statements; ","")&amp;IF(INDEX(RegDoc3,MATCH($A121,RegCaseNo,0))="N","Police / Incident Report; ","")&amp;IF(INDEX(RegDoc4,MATCH($A121,RegCaseNo,0))="N","Evidence and Exhibits; ","")&amp;IF(INDEX(RegDoc5,MATCH($A121,RegCaseNo,0))="N","Resolution / Information; ","")&amp;IF(INDEX(RegDoc6,MATCH($A121,RegCaseNo,0))="N","Court Order / Docket; ","")&amp;IF(INDEX(RegDoc7,MATCH($A121,RegCaseNo,0))="N","Bail / Bond Records; ","")&amp;IF(INDEX(RegDoc8,MATCH($A121,RegCaseNo,0))="N","Judgment / Order; ","")))</f>
        <v/>
      </c>
      <c r="G121" s="32" t="n"/>
      <c r="H121" s="30" t="n"/>
      <c r="I121" s="31" t="n"/>
      <c r="J121" s="45">
        <f>IF($A121="","",IF(E121=1,"Complete",IF(AND(I121&lt;&gt;"",I121&lt;TODAY(),E121&lt;1),"Follow-up overdue",IF(E121&gt;=0.75,"Minor gaps","Action needed"))))</f>
        <v/>
      </c>
    </row>
    <row r="122" ht="26" customHeight="1">
      <c r="A122" s="30" t="n"/>
      <c r="B122" s="43">
        <f>IFERROR(IF($A122="","",INDEX(RegTitle,MATCH($A122,RegCaseNo,0))),"Case no. not found")</f>
        <v/>
      </c>
      <c r="C122" s="44">
        <f>IF($A122="","",SUMPRODUCT((RegCaseNo=$A122)*((RegDoc1="Y")+(RegDoc2="Y")+(RegDoc3="Y")+(RegDoc4="Y")+(RegDoc5="Y")+(RegDoc6="Y")+(RegDoc7="Y")+(RegDoc8="Y"))))</f>
        <v/>
      </c>
      <c r="D122" s="44">
        <f>IF($A122="","",SUMPRODUCT((RegCaseNo=$A122)*((RegDoc1="N")+(RegDoc2="N")+(RegDoc3="N")+(RegDoc4="N")+(RegDoc5="N")+(RegDoc6="N")+(RegDoc7="N")+(RegDoc8="N"))))</f>
        <v/>
      </c>
      <c r="E122" s="47">
        <f>IFERROR(IF($A122="","",C122/(C122+D122)),0)</f>
        <v/>
      </c>
      <c r="F122" s="43">
        <f>IF($A122="","",TRIM(IF(INDEX(RegDoc1,MATCH($A122,RegCaseNo,0))="N","Affidavit of Complaint; ","")&amp;IF(INDEX(RegDoc2,MATCH($A122,RegCaseNo,0))="N","Sworn Statements; ","")&amp;IF(INDEX(RegDoc3,MATCH($A122,RegCaseNo,0))="N","Police / Incident Report; ","")&amp;IF(INDEX(RegDoc4,MATCH($A122,RegCaseNo,0))="N","Evidence and Exhibits; ","")&amp;IF(INDEX(RegDoc5,MATCH($A122,RegCaseNo,0))="N","Resolution / Information; ","")&amp;IF(INDEX(RegDoc6,MATCH($A122,RegCaseNo,0))="N","Court Order / Docket; ","")&amp;IF(INDEX(RegDoc7,MATCH($A122,RegCaseNo,0))="N","Bail / Bond Records; ","")&amp;IF(INDEX(RegDoc8,MATCH($A122,RegCaseNo,0))="N","Judgment / Order; ","")))</f>
        <v/>
      </c>
      <c r="G122" s="32" t="n"/>
      <c r="H122" s="30" t="n"/>
      <c r="I122" s="31" t="n"/>
      <c r="J122" s="45">
        <f>IF($A122="","",IF(E122=1,"Complete",IF(AND(I122&lt;&gt;"",I122&lt;TODAY(),E122&lt;1),"Follow-up overdue",IF(E122&gt;=0.75,"Minor gaps","Action needed"))))</f>
        <v/>
      </c>
    </row>
    <row r="123" ht="26" customHeight="1">
      <c r="A123" s="30" t="n"/>
      <c r="B123" s="43">
        <f>IFERROR(IF($A123="","",INDEX(RegTitle,MATCH($A123,RegCaseNo,0))),"Case no. not found")</f>
        <v/>
      </c>
      <c r="C123" s="44">
        <f>IF($A123="","",SUMPRODUCT((RegCaseNo=$A123)*((RegDoc1="Y")+(RegDoc2="Y")+(RegDoc3="Y")+(RegDoc4="Y")+(RegDoc5="Y")+(RegDoc6="Y")+(RegDoc7="Y")+(RegDoc8="Y"))))</f>
        <v/>
      </c>
      <c r="D123" s="44">
        <f>IF($A123="","",SUMPRODUCT((RegCaseNo=$A123)*((RegDoc1="N")+(RegDoc2="N")+(RegDoc3="N")+(RegDoc4="N")+(RegDoc5="N")+(RegDoc6="N")+(RegDoc7="N")+(RegDoc8="N"))))</f>
        <v/>
      </c>
      <c r="E123" s="47">
        <f>IFERROR(IF($A123="","",C123/(C123+D123)),0)</f>
        <v/>
      </c>
      <c r="F123" s="43">
        <f>IF($A123="","",TRIM(IF(INDEX(RegDoc1,MATCH($A123,RegCaseNo,0))="N","Affidavit of Complaint; ","")&amp;IF(INDEX(RegDoc2,MATCH($A123,RegCaseNo,0))="N","Sworn Statements; ","")&amp;IF(INDEX(RegDoc3,MATCH($A123,RegCaseNo,0))="N","Police / Incident Report; ","")&amp;IF(INDEX(RegDoc4,MATCH($A123,RegCaseNo,0))="N","Evidence and Exhibits; ","")&amp;IF(INDEX(RegDoc5,MATCH($A123,RegCaseNo,0))="N","Resolution / Information; ","")&amp;IF(INDEX(RegDoc6,MATCH($A123,RegCaseNo,0))="N","Court Order / Docket; ","")&amp;IF(INDEX(RegDoc7,MATCH($A123,RegCaseNo,0))="N","Bail / Bond Records; ","")&amp;IF(INDEX(RegDoc8,MATCH($A123,RegCaseNo,0))="N","Judgment / Order; ","")))</f>
        <v/>
      </c>
      <c r="G123" s="32" t="n"/>
      <c r="H123" s="30" t="n"/>
      <c r="I123" s="31" t="n"/>
      <c r="J123" s="45">
        <f>IF($A123="","",IF(E123=1,"Complete",IF(AND(I123&lt;&gt;"",I123&lt;TODAY(),E123&lt;1),"Follow-up overdue",IF(E123&gt;=0.75,"Minor gaps","Action needed"))))</f>
        <v/>
      </c>
    </row>
    <row r="124" ht="26" customHeight="1">
      <c r="A124" s="30" t="n"/>
      <c r="B124" s="43">
        <f>IFERROR(IF($A124="","",INDEX(RegTitle,MATCH($A124,RegCaseNo,0))),"Case no. not found")</f>
        <v/>
      </c>
      <c r="C124" s="44">
        <f>IF($A124="","",SUMPRODUCT((RegCaseNo=$A124)*((RegDoc1="Y")+(RegDoc2="Y")+(RegDoc3="Y")+(RegDoc4="Y")+(RegDoc5="Y")+(RegDoc6="Y")+(RegDoc7="Y")+(RegDoc8="Y"))))</f>
        <v/>
      </c>
      <c r="D124" s="44">
        <f>IF($A124="","",SUMPRODUCT((RegCaseNo=$A124)*((RegDoc1="N")+(RegDoc2="N")+(RegDoc3="N")+(RegDoc4="N")+(RegDoc5="N")+(RegDoc6="N")+(RegDoc7="N")+(RegDoc8="N"))))</f>
        <v/>
      </c>
      <c r="E124" s="47">
        <f>IFERROR(IF($A124="","",C124/(C124+D124)),0)</f>
        <v/>
      </c>
      <c r="F124" s="43">
        <f>IF($A124="","",TRIM(IF(INDEX(RegDoc1,MATCH($A124,RegCaseNo,0))="N","Affidavit of Complaint; ","")&amp;IF(INDEX(RegDoc2,MATCH($A124,RegCaseNo,0))="N","Sworn Statements; ","")&amp;IF(INDEX(RegDoc3,MATCH($A124,RegCaseNo,0))="N","Police / Incident Report; ","")&amp;IF(INDEX(RegDoc4,MATCH($A124,RegCaseNo,0))="N","Evidence and Exhibits; ","")&amp;IF(INDEX(RegDoc5,MATCH($A124,RegCaseNo,0))="N","Resolution / Information; ","")&amp;IF(INDEX(RegDoc6,MATCH($A124,RegCaseNo,0))="N","Court Order / Docket; ","")&amp;IF(INDEX(RegDoc7,MATCH($A124,RegCaseNo,0))="N","Bail / Bond Records; ","")&amp;IF(INDEX(RegDoc8,MATCH($A124,RegCaseNo,0))="N","Judgment / Order; ","")))</f>
        <v/>
      </c>
      <c r="G124" s="32" t="n"/>
      <c r="H124" s="30" t="n"/>
      <c r="I124" s="31" t="n"/>
      <c r="J124" s="45">
        <f>IF($A124="","",IF(E124=1,"Complete",IF(AND(I124&lt;&gt;"",I124&lt;TODAY(),E124&lt;1),"Follow-up overdue",IF(E124&gt;=0.75,"Minor gaps","Action needed"))))</f>
        <v/>
      </c>
    </row>
    <row r="125" ht="26" customHeight="1">
      <c r="A125" s="30" t="n"/>
      <c r="B125" s="43">
        <f>IFERROR(IF($A125="","",INDEX(RegTitle,MATCH($A125,RegCaseNo,0))),"Case no. not found")</f>
        <v/>
      </c>
      <c r="C125" s="44">
        <f>IF($A125="","",SUMPRODUCT((RegCaseNo=$A125)*((RegDoc1="Y")+(RegDoc2="Y")+(RegDoc3="Y")+(RegDoc4="Y")+(RegDoc5="Y")+(RegDoc6="Y")+(RegDoc7="Y")+(RegDoc8="Y"))))</f>
        <v/>
      </c>
      <c r="D125" s="44">
        <f>IF($A125="","",SUMPRODUCT((RegCaseNo=$A125)*((RegDoc1="N")+(RegDoc2="N")+(RegDoc3="N")+(RegDoc4="N")+(RegDoc5="N")+(RegDoc6="N")+(RegDoc7="N")+(RegDoc8="N"))))</f>
        <v/>
      </c>
      <c r="E125" s="47">
        <f>IFERROR(IF($A125="","",C125/(C125+D125)),0)</f>
        <v/>
      </c>
      <c r="F125" s="43">
        <f>IF($A125="","",TRIM(IF(INDEX(RegDoc1,MATCH($A125,RegCaseNo,0))="N","Affidavit of Complaint; ","")&amp;IF(INDEX(RegDoc2,MATCH($A125,RegCaseNo,0))="N","Sworn Statements; ","")&amp;IF(INDEX(RegDoc3,MATCH($A125,RegCaseNo,0))="N","Police / Incident Report; ","")&amp;IF(INDEX(RegDoc4,MATCH($A125,RegCaseNo,0))="N","Evidence and Exhibits; ","")&amp;IF(INDEX(RegDoc5,MATCH($A125,RegCaseNo,0))="N","Resolution / Information; ","")&amp;IF(INDEX(RegDoc6,MATCH($A125,RegCaseNo,0))="N","Court Order / Docket; ","")&amp;IF(INDEX(RegDoc7,MATCH($A125,RegCaseNo,0))="N","Bail / Bond Records; ","")&amp;IF(INDEX(RegDoc8,MATCH($A125,RegCaseNo,0))="N","Judgment / Order; ","")))</f>
        <v/>
      </c>
      <c r="G125" s="32" t="n"/>
      <c r="H125" s="30" t="n"/>
      <c r="I125" s="31" t="n"/>
      <c r="J125" s="45">
        <f>IF($A125="","",IF(E125=1,"Complete",IF(AND(I125&lt;&gt;"",I125&lt;TODAY(),E125&lt;1),"Follow-up overdue",IF(E125&gt;=0.75,"Minor gaps","Action needed"))))</f>
        <v/>
      </c>
    </row>
    <row r="126" ht="26" customHeight="1">
      <c r="A126" s="30" t="n"/>
      <c r="B126" s="43">
        <f>IFERROR(IF($A126="","",INDEX(RegTitle,MATCH($A126,RegCaseNo,0))),"Case no. not found")</f>
        <v/>
      </c>
      <c r="C126" s="44">
        <f>IF($A126="","",SUMPRODUCT((RegCaseNo=$A126)*((RegDoc1="Y")+(RegDoc2="Y")+(RegDoc3="Y")+(RegDoc4="Y")+(RegDoc5="Y")+(RegDoc6="Y")+(RegDoc7="Y")+(RegDoc8="Y"))))</f>
        <v/>
      </c>
      <c r="D126" s="44">
        <f>IF($A126="","",SUMPRODUCT((RegCaseNo=$A126)*((RegDoc1="N")+(RegDoc2="N")+(RegDoc3="N")+(RegDoc4="N")+(RegDoc5="N")+(RegDoc6="N")+(RegDoc7="N")+(RegDoc8="N"))))</f>
        <v/>
      </c>
      <c r="E126" s="47">
        <f>IFERROR(IF($A126="","",C126/(C126+D126)),0)</f>
        <v/>
      </c>
      <c r="F126" s="43">
        <f>IF($A126="","",TRIM(IF(INDEX(RegDoc1,MATCH($A126,RegCaseNo,0))="N","Affidavit of Complaint; ","")&amp;IF(INDEX(RegDoc2,MATCH($A126,RegCaseNo,0))="N","Sworn Statements; ","")&amp;IF(INDEX(RegDoc3,MATCH($A126,RegCaseNo,0))="N","Police / Incident Report; ","")&amp;IF(INDEX(RegDoc4,MATCH($A126,RegCaseNo,0))="N","Evidence and Exhibits; ","")&amp;IF(INDEX(RegDoc5,MATCH($A126,RegCaseNo,0))="N","Resolution / Information; ","")&amp;IF(INDEX(RegDoc6,MATCH($A126,RegCaseNo,0))="N","Court Order / Docket; ","")&amp;IF(INDEX(RegDoc7,MATCH($A126,RegCaseNo,0))="N","Bail / Bond Records; ","")&amp;IF(INDEX(RegDoc8,MATCH($A126,RegCaseNo,0))="N","Judgment / Order; ","")))</f>
        <v/>
      </c>
      <c r="G126" s="32" t="n"/>
      <c r="H126" s="30" t="n"/>
      <c r="I126" s="31" t="n"/>
      <c r="J126" s="45">
        <f>IF($A126="","",IF(E126=1,"Complete",IF(AND(I126&lt;&gt;"",I126&lt;TODAY(),E126&lt;1),"Follow-up overdue",IF(E126&gt;=0.75,"Minor gaps","Action needed"))))</f>
        <v/>
      </c>
    </row>
    <row r="127" ht="26" customHeight="1">
      <c r="A127" s="30" t="n"/>
      <c r="B127" s="43">
        <f>IFERROR(IF($A127="","",INDEX(RegTitle,MATCH($A127,RegCaseNo,0))),"Case no. not found")</f>
        <v/>
      </c>
      <c r="C127" s="44">
        <f>IF($A127="","",SUMPRODUCT((RegCaseNo=$A127)*((RegDoc1="Y")+(RegDoc2="Y")+(RegDoc3="Y")+(RegDoc4="Y")+(RegDoc5="Y")+(RegDoc6="Y")+(RegDoc7="Y")+(RegDoc8="Y"))))</f>
        <v/>
      </c>
      <c r="D127" s="44">
        <f>IF($A127="","",SUMPRODUCT((RegCaseNo=$A127)*((RegDoc1="N")+(RegDoc2="N")+(RegDoc3="N")+(RegDoc4="N")+(RegDoc5="N")+(RegDoc6="N")+(RegDoc7="N")+(RegDoc8="N"))))</f>
        <v/>
      </c>
      <c r="E127" s="47">
        <f>IFERROR(IF($A127="","",C127/(C127+D127)),0)</f>
        <v/>
      </c>
      <c r="F127" s="43">
        <f>IF($A127="","",TRIM(IF(INDEX(RegDoc1,MATCH($A127,RegCaseNo,0))="N","Affidavit of Complaint; ","")&amp;IF(INDEX(RegDoc2,MATCH($A127,RegCaseNo,0))="N","Sworn Statements; ","")&amp;IF(INDEX(RegDoc3,MATCH($A127,RegCaseNo,0))="N","Police / Incident Report; ","")&amp;IF(INDEX(RegDoc4,MATCH($A127,RegCaseNo,0))="N","Evidence and Exhibits; ","")&amp;IF(INDEX(RegDoc5,MATCH($A127,RegCaseNo,0))="N","Resolution / Information; ","")&amp;IF(INDEX(RegDoc6,MATCH($A127,RegCaseNo,0))="N","Court Order / Docket; ","")&amp;IF(INDEX(RegDoc7,MATCH($A127,RegCaseNo,0))="N","Bail / Bond Records; ","")&amp;IF(INDEX(RegDoc8,MATCH($A127,RegCaseNo,0))="N","Judgment / Order; ","")))</f>
        <v/>
      </c>
      <c r="G127" s="32" t="n"/>
      <c r="H127" s="30" t="n"/>
      <c r="I127" s="31" t="n"/>
      <c r="J127" s="45">
        <f>IF($A127="","",IF(E127=1,"Complete",IF(AND(I127&lt;&gt;"",I127&lt;TODAY(),E127&lt;1),"Follow-up overdue",IF(E127&gt;=0.75,"Minor gaps","Action needed"))))</f>
        <v/>
      </c>
    </row>
    <row r="128" ht="26" customHeight="1">
      <c r="A128" s="30" t="n"/>
      <c r="B128" s="43">
        <f>IFERROR(IF($A128="","",INDEX(RegTitle,MATCH($A128,RegCaseNo,0))),"Case no. not found")</f>
        <v/>
      </c>
      <c r="C128" s="44">
        <f>IF($A128="","",SUMPRODUCT((RegCaseNo=$A128)*((RegDoc1="Y")+(RegDoc2="Y")+(RegDoc3="Y")+(RegDoc4="Y")+(RegDoc5="Y")+(RegDoc6="Y")+(RegDoc7="Y")+(RegDoc8="Y"))))</f>
        <v/>
      </c>
      <c r="D128" s="44">
        <f>IF($A128="","",SUMPRODUCT((RegCaseNo=$A128)*((RegDoc1="N")+(RegDoc2="N")+(RegDoc3="N")+(RegDoc4="N")+(RegDoc5="N")+(RegDoc6="N")+(RegDoc7="N")+(RegDoc8="N"))))</f>
        <v/>
      </c>
      <c r="E128" s="47">
        <f>IFERROR(IF($A128="","",C128/(C128+D128)),0)</f>
        <v/>
      </c>
      <c r="F128" s="43">
        <f>IF($A128="","",TRIM(IF(INDEX(RegDoc1,MATCH($A128,RegCaseNo,0))="N","Affidavit of Complaint; ","")&amp;IF(INDEX(RegDoc2,MATCH($A128,RegCaseNo,0))="N","Sworn Statements; ","")&amp;IF(INDEX(RegDoc3,MATCH($A128,RegCaseNo,0))="N","Police / Incident Report; ","")&amp;IF(INDEX(RegDoc4,MATCH($A128,RegCaseNo,0))="N","Evidence and Exhibits; ","")&amp;IF(INDEX(RegDoc5,MATCH($A128,RegCaseNo,0))="N","Resolution / Information; ","")&amp;IF(INDEX(RegDoc6,MATCH($A128,RegCaseNo,0))="N","Court Order / Docket; ","")&amp;IF(INDEX(RegDoc7,MATCH($A128,RegCaseNo,0))="N","Bail / Bond Records; ","")&amp;IF(INDEX(RegDoc8,MATCH($A128,RegCaseNo,0))="N","Judgment / Order; ","")))</f>
        <v/>
      </c>
      <c r="G128" s="32" t="n"/>
      <c r="H128" s="30" t="n"/>
      <c r="I128" s="31" t="n"/>
      <c r="J128" s="45">
        <f>IF($A128="","",IF(E128=1,"Complete",IF(AND(I128&lt;&gt;"",I128&lt;TODAY(),E128&lt;1),"Follow-up overdue",IF(E128&gt;=0.75,"Minor gaps","Action needed"))))</f>
        <v/>
      </c>
    </row>
    <row r="129" ht="26" customHeight="1">
      <c r="A129" s="30" t="n"/>
      <c r="B129" s="43">
        <f>IFERROR(IF($A129="","",INDEX(RegTitle,MATCH($A129,RegCaseNo,0))),"Case no. not found")</f>
        <v/>
      </c>
      <c r="C129" s="44">
        <f>IF($A129="","",SUMPRODUCT((RegCaseNo=$A129)*((RegDoc1="Y")+(RegDoc2="Y")+(RegDoc3="Y")+(RegDoc4="Y")+(RegDoc5="Y")+(RegDoc6="Y")+(RegDoc7="Y")+(RegDoc8="Y"))))</f>
        <v/>
      </c>
      <c r="D129" s="44">
        <f>IF($A129="","",SUMPRODUCT((RegCaseNo=$A129)*((RegDoc1="N")+(RegDoc2="N")+(RegDoc3="N")+(RegDoc4="N")+(RegDoc5="N")+(RegDoc6="N")+(RegDoc7="N")+(RegDoc8="N"))))</f>
        <v/>
      </c>
      <c r="E129" s="47">
        <f>IFERROR(IF($A129="","",C129/(C129+D129)),0)</f>
        <v/>
      </c>
      <c r="F129" s="43">
        <f>IF($A129="","",TRIM(IF(INDEX(RegDoc1,MATCH($A129,RegCaseNo,0))="N","Affidavit of Complaint; ","")&amp;IF(INDEX(RegDoc2,MATCH($A129,RegCaseNo,0))="N","Sworn Statements; ","")&amp;IF(INDEX(RegDoc3,MATCH($A129,RegCaseNo,0))="N","Police / Incident Report; ","")&amp;IF(INDEX(RegDoc4,MATCH($A129,RegCaseNo,0))="N","Evidence and Exhibits; ","")&amp;IF(INDEX(RegDoc5,MATCH($A129,RegCaseNo,0))="N","Resolution / Information; ","")&amp;IF(INDEX(RegDoc6,MATCH($A129,RegCaseNo,0))="N","Court Order / Docket; ","")&amp;IF(INDEX(RegDoc7,MATCH($A129,RegCaseNo,0))="N","Bail / Bond Records; ","")&amp;IF(INDEX(RegDoc8,MATCH($A129,RegCaseNo,0))="N","Judgment / Order; ","")))</f>
        <v/>
      </c>
      <c r="G129" s="32" t="n"/>
      <c r="H129" s="30" t="n"/>
      <c r="I129" s="31" t="n"/>
      <c r="J129" s="45">
        <f>IF($A129="","",IF(E129=1,"Complete",IF(AND(I129&lt;&gt;"",I129&lt;TODAY(),E129&lt;1),"Follow-up overdue",IF(E129&gt;=0.75,"Minor gaps","Action needed"))))</f>
        <v/>
      </c>
    </row>
    <row r="130" ht="26" customHeight="1">
      <c r="A130" s="30" t="n"/>
      <c r="B130" s="43">
        <f>IFERROR(IF($A130="","",INDEX(RegTitle,MATCH($A130,RegCaseNo,0))),"Case no. not found")</f>
        <v/>
      </c>
      <c r="C130" s="44">
        <f>IF($A130="","",SUMPRODUCT((RegCaseNo=$A130)*((RegDoc1="Y")+(RegDoc2="Y")+(RegDoc3="Y")+(RegDoc4="Y")+(RegDoc5="Y")+(RegDoc6="Y")+(RegDoc7="Y")+(RegDoc8="Y"))))</f>
        <v/>
      </c>
      <c r="D130" s="44">
        <f>IF($A130="","",SUMPRODUCT((RegCaseNo=$A130)*((RegDoc1="N")+(RegDoc2="N")+(RegDoc3="N")+(RegDoc4="N")+(RegDoc5="N")+(RegDoc6="N")+(RegDoc7="N")+(RegDoc8="N"))))</f>
        <v/>
      </c>
      <c r="E130" s="47">
        <f>IFERROR(IF($A130="","",C130/(C130+D130)),0)</f>
        <v/>
      </c>
      <c r="F130" s="43">
        <f>IF($A130="","",TRIM(IF(INDEX(RegDoc1,MATCH($A130,RegCaseNo,0))="N","Affidavit of Complaint; ","")&amp;IF(INDEX(RegDoc2,MATCH($A130,RegCaseNo,0))="N","Sworn Statements; ","")&amp;IF(INDEX(RegDoc3,MATCH($A130,RegCaseNo,0))="N","Police / Incident Report; ","")&amp;IF(INDEX(RegDoc4,MATCH($A130,RegCaseNo,0))="N","Evidence and Exhibits; ","")&amp;IF(INDEX(RegDoc5,MATCH($A130,RegCaseNo,0))="N","Resolution / Information; ","")&amp;IF(INDEX(RegDoc6,MATCH($A130,RegCaseNo,0))="N","Court Order / Docket; ","")&amp;IF(INDEX(RegDoc7,MATCH($A130,RegCaseNo,0))="N","Bail / Bond Records; ","")&amp;IF(INDEX(RegDoc8,MATCH($A130,RegCaseNo,0))="N","Judgment / Order; ","")))</f>
        <v/>
      </c>
      <c r="G130" s="32" t="n"/>
      <c r="H130" s="30" t="n"/>
      <c r="I130" s="31" t="n"/>
      <c r="J130" s="45">
        <f>IF($A130="","",IF(E130=1,"Complete",IF(AND(I130&lt;&gt;"",I130&lt;TODAY(),E130&lt;1),"Follow-up overdue",IF(E130&gt;=0.75,"Minor gaps","Action needed"))))</f>
        <v/>
      </c>
    </row>
    <row r="131" ht="26" customHeight="1">
      <c r="A131" s="30" t="n"/>
      <c r="B131" s="43">
        <f>IFERROR(IF($A131="","",INDEX(RegTitle,MATCH($A131,RegCaseNo,0))),"Case no. not found")</f>
        <v/>
      </c>
      <c r="C131" s="44">
        <f>IF($A131="","",SUMPRODUCT((RegCaseNo=$A131)*((RegDoc1="Y")+(RegDoc2="Y")+(RegDoc3="Y")+(RegDoc4="Y")+(RegDoc5="Y")+(RegDoc6="Y")+(RegDoc7="Y")+(RegDoc8="Y"))))</f>
        <v/>
      </c>
      <c r="D131" s="44">
        <f>IF($A131="","",SUMPRODUCT((RegCaseNo=$A131)*((RegDoc1="N")+(RegDoc2="N")+(RegDoc3="N")+(RegDoc4="N")+(RegDoc5="N")+(RegDoc6="N")+(RegDoc7="N")+(RegDoc8="N"))))</f>
        <v/>
      </c>
      <c r="E131" s="47">
        <f>IFERROR(IF($A131="","",C131/(C131+D131)),0)</f>
        <v/>
      </c>
      <c r="F131" s="43">
        <f>IF($A131="","",TRIM(IF(INDEX(RegDoc1,MATCH($A131,RegCaseNo,0))="N","Affidavit of Complaint; ","")&amp;IF(INDEX(RegDoc2,MATCH($A131,RegCaseNo,0))="N","Sworn Statements; ","")&amp;IF(INDEX(RegDoc3,MATCH($A131,RegCaseNo,0))="N","Police / Incident Report; ","")&amp;IF(INDEX(RegDoc4,MATCH($A131,RegCaseNo,0))="N","Evidence and Exhibits; ","")&amp;IF(INDEX(RegDoc5,MATCH($A131,RegCaseNo,0))="N","Resolution / Information; ","")&amp;IF(INDEX(RegDoc6,MATCH($A131,RegCaseNo,0))="N","Court Order / Docket; ","")&amp;IF(INDEX(RegDoc7,MATCH($A131,RegCaseNo,0))="N","Bail / Bond Records; ","")&amp;IF(INDEX(RegDoc8,MATCH($A131,RegCaseNo,0))="N","Judgment / Order; ","")))</f>
        <v/>
      </c>
      <c r="G131" s="32" t="n"/>
      <c r="H131" s="30" t="n"/>
      <c r="I131" s="31" t="n"/>
      <c r="J131" s="45">
        <f>IF($A131="","",IF(E131=1,"Complete",IF(AND(I131&lt;&gt;"",I131&lt;TODAY(),E131&lt;1),"Follow-up overdue",IF(E131&gt;=0.75,"Minor gaps","Action needed"))))</f>
        <v/>
      </c>
    </row>
    <row r="132" ht="26" customHeight="1">
      <c r="A132" s="30" t="n"/>
      <c r="B132" s="43">
        <f>IFERROR(IF($A132="","",INDEX(RegTitle,MATCH($A132,RegCaseNo,0))),"Case no. not found")</f>
        <v/>
      </c>
      <c r="C132" s="44">
        <f>IF($A132="","",SUMPRODUCT((RegCaseNo=$A132)*((RegDoc1="Y")+(RegDoc2="Y")+(RegDoc3="Y")+(RegDoc4="Y")+(RegDoc5="Y")+(RegDoc6="Y")+(RegDoc7="Y")+(RegDoc8="Y"))))</f>
        <v/>
      </c>
      <c r="D132" s="44">
        <f>IF($A132="","",SUMPRODUCT((RegCaseNo=$A132)*((RegDoc1="N")+(RegDoc2="N")+(RegDoc3="N")+(RegDoc4="N")+(RegDoc5="N")+(RegDoc6="N")+(RegDoc7="N")+(RegDoc8="N"))))</f>
        <v/>
      </c>
      <c r="E132" s="47">
        <f>IFERROR(IF($A132="","",C132/(C132+D132)),0)</f>
        <v/>
      </c>
      <c r="F132" s="43">
        <f>IF($A132="","",TRIM(IF(INDEX(RegDoc1,MATCH($A132,RegCaseNo,0))="N","Affidavit of Complaint; ","")&amp;IF(INDEX(RegDoc2,MATCH($A132,RegCaseNo,0))="N","Sworn Statements; ","")&amp;IF(INDEX(RegDoc3,MATCH($A132,RegCaseNo,0))="N","Police / Incident Report; ","")&amp;IF(INDEX(RegDoc4,MATCH($A132,RegCaseNo,0))="N","Evidence and Exhibits; ","")&amp;IF(INDEX(RegDoc5,MATCH($A132,RegCaseNo,0))="N","Resolution / Information; ","")&amp;IF(INDEX(RegDoc6,MATCH($A132,RegCaseNo,0))="N","Court Order / Docket; ","")&amp;IF(INDEX(RegDoc7,MATCH($A132,RegCaseNo,0))="N","Bail / Bond Records; ","")&amp;IF(INDEX(RegDoc8,MATCH($A132,RegCaseNo,0))="N","Judgment / Order; ","")))</f>
        <v/>
      </c>
      <c r="G132" s="32" t="n"/>
      <c r="H132" s="30" t="n"/>
      <c r="I132" s="31" t="n"/>
      <c r="J132" s="45">
        <f>IF($A132="","",IF(E132=1,"Complete",IF(AND(I132&lt;&gt;"",I132&lt;TODAY(),E132&lt;1),"Follow-up overdue",IF(E132&gt;=0.75,"Minor gaps","Action needed"))))</f>
        <v/>
      </c>
    </row>
    <row r="133" ht="26" customHeight="1">
      <c r="A133" s="30" t="n"/>
      <c r="B133" s="43">
        <f>IFERROR(IF($A133="","",INDEX(RegTitle,MATCH($A133,RegCaseNo,0))),"Case no. not found")</f>
        <v/>
      </c>
      <c r="C133" s="44">
        <f>IF($A133="","",SUMPRODUCT((RegCaseNo=$A133)*((RegDoc1="Y")+(RegDoc2="Y")+(RegDoc3="Y")+(RegDoc4="Y")+(RegDoc5="Y")+(RegDoc6="Y")+(RegDoc7="Y")+(RegDoc8="Y"))))</f>
        <v/>
      </c>
      <c r="D133" s="44">
        <f>IF($A133="","",SUMPRODUCT((RegCaseNo=$A133)*((RegDoc1="N")+(RegDoc2="N")+(RegDoc3="N")+(RegDoc4="N")+(RegDoc5="N")+(RegDoc6="N")+(RegDoc7="N")+(RegDoc8="N"))))</f>
        <v/>
      </c>
      <c r="E133" s="47">
        <f>IFERROR(IF($A133="","",C133/(C133+D133)),0)</f>
        <v/>
      </c>
      <c r="F133" s="43">
        <f>IF($A133="","",TRIM(IF(INDEX(RegDoc1,MATCH($A133,RegCaseNo,0))="N","Affidavit of Complaint; ","")&amp;IF(INDEX(RegDoc2,MATCH($A133,RegCaseNo,0))="N","Sworn Statements; ","")&amp;IF(INDEX(RegDoc3,MATCH($A133,RegCaseNo,0))="N","Police / Incident Report; ","")&amp;IF(INDEX(RegDoc4,MATCH($A133,RegCaseNo,0))="N","Evidence and Exhibits; ","")&amp;IF(INDEX(RegDoc5,MATCH($A133,RegCaseNo,0))="N","Resolution / Information; ","")&amp;IF(INDEX(RegDoc6,MATCH($A133,RegCaseNo,0))="N","Court Order / Docket; ","")&amp;IF(INDEX(RegDoc7,MATCH($A133,RegCaseNo,0))="N","Bail / Bond Records; ","")&amp;IF(INDEX(RegDoc8,MATCH($A133,RegCaseNo,0))="N","Judgment / Order; ","")))</f>
        <v/>
      </c>
      <c r="G133" s="32" t="n"/>
      <c r="H133" s="30" t="n"/>
      <c r="I133" s="31" t="n"/>
      <c r="J133" s="45">
        <f>IF($A133="","",IF(E133=1,"Complete",IF(AND(I133&lt;&gt;"",I133&lt;TODAY(),E133&lt;1),"Follow-up overdue",IF(E133&gt;=0.75,"Minor gaps","Action needed"))))</f>
        <v/>
      </c>
    </row>
    <row r="134" ht="26" customHeight="1">
      <c r="A134" s="30" t="n"/>
      <c r="B134" s="43">
        <f>IFERROR(IF($A134="","",INDEX(RegTitle,MATCH($A134,RegCaseNo,0))),"Case no. not found")</f>
        <v/>
      </c>
      <c r="C134" s="44">
        <f>IF($A134="","",SUMPRODUCT((RegCaseNo=$A134)*((RegDoc1="Y")+(RegDoc2="Y")+(RegDoc3="Y")+(RegDoc4="Y")+(RegDoc5="Y")+(RegDoc6="Y")+(RegDoc7="Y")+(RegDoc8="Y"))))</f>
        <v/>
      </c>
      <c r="D134" s="44">
        <f>IF($A134="","",SUMPRODUCT((RegCaseNo=$A134)*((RegDoc1="N")+(RegDoc2="N")+(RegDoc3="N")+(RegDoc4="N")+(RegDoc5="N")+(RegDoc6="N")+(RegDoc7="N")+(RegDoc8="N"))))</f>
        <v/>
      </c>
      <c r="E134" s="47">
        <f>IFERROR(IF($A134="","",C134/(C134+D134)),0)</f>
        <v/>
      </c>
      <c r="F134" s="43">
        <f>IF($A134="","",TRIM(IF(INDEX(RegDoc1,MATCH($A134,RegCaseNo,0))="N","Affidavit of Complaint; ","")&amp;IF(INDEX(RegDoc2,MATCH($A134,RegCaseNo,0))="N","Sworn Statements; ","")&amp;IF(INDEX(RegDoc3,MATCH($A134,RegCaseNo,0))="N","Police / Incident Report; ","")&amp;IF(INDEX(RegDoc4,MATCH($A134,RegCaseNo,0))="N","Evidence and Exhibits; ","")&amp;IF(INDEX(RegDoc5,MATCH($A134,RegCaseNo,0))="N","Resolution / Information; ","")&amp;IF(INDEX(RegDoc6,MATCH($A134,RegCaseNo,0))="N","Court Order / Docket; ","")&amp;IF(INDEX(RegDoc7,MATCH($A134,RegCaseNo,0))="N","Bail / Bond Records; ","")&amp;IF(INDEX(RegDoc8,MATCH($A134,RegCaseNo,0))="N","Judgment / Order; ","")))</f>
        <v/>
      </c>
      <c r="G134" s="32" t="n"/>
      <c r="H134" s="30" t="n"/>
      <c r="I134" s="31" t="n"/>
      <c r="J134" s="45">
        <f>IF($A134="","",IF(E134=1,"Complete",IF(AND(I134&lt;&gt;"",I134&lt;TODAY(),E134&lt;1),"Follow-up overdue",IF(E134&gt;=0.75,"Minor gaps","Action needed"))))</f>
        <v/>
      </c>
    </row>
    <row r="135" ht="26" customHeight="1">
      <c r="A135" s="30" t="n"/>
      <c r="B135" s="43">
        <f>IFERROR(IF($A135="","",INDEX(RegTitle,MATCH($A135,RegCaseNo,0))),"Case no. not found")</f>
        <v/>
      </c>
      <c r="C135" s="44">
        <f>IF($A135="","",SUMPRODUCT((RegCaseNo=$A135)*((RegDoc1="Y")+(RegDoc2="Y")+(RegDoc3="Y")+(RegDoc4="Y")+(RegDoc5="Y")+(RegDoc6="Y")+(RegDoc7="Y")+(RegDoc8="Y"))))</f>
        <v/>
      </c>
      <c r="D135" s="44">
        <f>IF($A135="","",SUMPRODUCT((RegCaseNo=$A135)*((RegDoc1="N")+(RegDoc2="N")+(RegDoc3="N")+(RegDoc4="N")+(RegDoc5="N")+(RegDoc6="N")+(RegDoc7="N")+(RegDoc8="N"))))</f>
        <v/>
      </c>
      <c r="E135" s="47">
        <f>IFERROR(IF($A135="","",C135/(C135+D135)),0)</f>
        <v/>
      </c>
      <c r="F135" s="43">
        <f>IF($A135="","",TRIM(IF(INDEX(RegDoc1,MATCH($A135,RegCaseNo,0))="N","Affidavit of Complaint; ","")&amp;IF(INDEX(RegDoc2,MATCH($A135,RegCaseNo,0))="N","Sworn Statements; ","")&amp;IF(INDEX(RegDoc3,MATCH($A135,RegCaseNo,0))="N","Police / Incident Report; ","")&amp;IF(INDEX(RegDoc4,MATCH($A135,RegCaseNo,0))="N","Evidence and Exhibits; ","")&amp;IF(INDEX(RegDoc5,MATCH($A135,RegCaseNo,0))="N","Resolution / Information; ","")&amp;IF(INDEX(RegDoc6,MATCH($A135,RegCaseNo,0))="N","Court Order / Docket; ","")&amp;IF(INDEX(RegDoc7,MATCH($A135,RegCaseNo,0))="N","Bail / Bond Records; ","")&amp;IF(INDEX(RegDoc8,MATCH($A135,RegCaseNo,0))="N","Judgment / Order; ","")))</f>
        <v/>
      </c>
      <c r="G135" s="32" t="n"/>
      <c r="H135" s="30" t="n"/>
      <c r="I135" s="31" t="n"/>
      <c r="J135" s="45">
        <f>IF($A135="","",IF(E135=1,"Complete",IF(AND(I135&lt;&gt;"",I135&lt;TODAY(),E135&lt;1),"Follow-up overdue",IF(E135&gt;=0.75,"Minor gaps","Action needed"))))</f>
        <v/>
      </c>
    </row>
    <row r="136" ht="26" customHeight="1">
      <c r="A136" s="30" t="n"/>
      <c r="B136" s="43">
        <f>IFERROR(IF($A136="","",INDEX(RegTitle,MATCH($A136,RegCaseNo,0))),"Case no. not found")</f>
        <v/>
      </c>
      <c r="C136" s="44">
        <f>IF($A136="","",SUMPRODUCT((RegCaseNo=$A136)*((RegDoc1="Y")+(RegDoc2="Y")+(RegDoc3="Y")+(RegDoc4="Y")+(RegDoc5="Y")+(RegDoc6="Y")+(RegDoc7="Y")+(RegDoc8="Y"))))</f>
        <v/>
      </c>
      <c r="D136" s="44">
        <f>IF($A136="","",SUMPRODUCT((RegCaseNo=$A136)*((RegDoc1="N")+(RegDoc2="N")+(RegDoc3="N")+(RegDoc4="N")+(RegDoc5="N")+(RegDoc6="N")+(RegDoc7="N")+(RegDoc8="N"))))</f>
        <v/>
      </c>
      <c r="E136" s="47">
        <f>IFERROR(IF($A136="","",C136/(C136+D136)),0)</f>
        <v/>
      </c>
      <c r="F136" s="43">
        <f>IF($A136="","",TRIM(IF(INDEX(RegDoc1,MATCH($A136,RegCaseNo,0))="N","Affidavit of Complaint; ","")&amp;IF(INDEX(RegDoc2,MATCH($A136,RegCaseNo,0))="N","Sworn Statements; ","")&amp;IF(INDEX(RegDoc3,MATCH($A136,RegCaseNo,0))="N","Police / Incident Report; ","")&amp;IF(INDEX(RegDoc4,MATCH($A136,RegCaseNo,0))="N","Evidence and Exhibits; ","")&amp;IF(INDEX(RegDoc5,MATCH($A136,RegCaseNo,0))="N","Resolution / Information; ","")&amp;IF(INDEX(RegDoc6,MATCH($A136,RegCaseNo,0))="N","Court Order / Docket; ","")&amp;IF(INDEX(RegDoc7,MATCH($A136,RegCaseNo,0))="N","Bail / Bond Records; ","")&amp;IF(INDEX(RegDoc8,MATCH($A136,RegCaseNo,0))="N","Judgment / Order; ","")))</f>
        <v/>
      </c>
      <c r="G136" s="32" t="n"/>
      <c r="H136" s="30" t="n"/>
      <c r="I136" s="31" t="n"/>
      <c r="J136" s="45">
        <f>IF($A136="","",IF(E136=1,"Complete",IF(AND(I136&lt;&gt;"",I136&lt;TODAY(),E136&lt;1),"Follow-up overdue",IF(E136&gt;=0.75,"Minor gaps","Action needed"))))</f>
        <v/>
      </c>
    </row>
    <row r="137" ht="26" customHeight="1">
      <c r="A137" s="30" t="n"/>
      <c r="B137" s="43">
        <f>IFERROR(IF($A137="","",INDEX(RegTitle,MATCH($A137,RegCaseNo,0))),"Case no. not found")</f>
        <v/>
      </c>
      <c r="C137" s="44">
        <f>IF($A137="","",SUMPRODUCT((RegCaseNo=$A137)*((RegDoc1="Y")+(RegDoc2="Y")+(RegDoc3="Y")+(RegDoc4="Y")+(RegDoc5="Y")+(RegDoc6="Y")+(RegDoc7="Y")+(RegDoc8="Y"))))</f>
        <v/>
      </c>
      <c r="D137" s="44">
        <f>IF($A137="","",SUMPRODUCT((RegCaseNo=$A137)*((RegDoc1="N")+(RegDoc2="N")+(RegDoc3="N")+(RegDoc4="N")+(RegDoc5="N")+(RegDoc6="N")+(RegDoc7="N")+(RegDoc8="N"))))</f>
        <v/>
      </c>
      <c r="E137" s="47">
        <f>IFERROR(IF($A137="","",C137/(C137+D137)),0)</f>
        <v/>
      </c>
      <c r="F137" s="43">
        <f>IF($A137="","",TRIM(IF(INDEX(RegDoc1,MATCH($A137,RegCaseNo,0))="N","Affidavit of Complaint; ","")&amp;IF(INDEX(RegDoc2,MATCH($A137,RegCaseNo,0))="N","Sworn Statements; ","")&amp;IF(INDEX(RegDoc3,MATCH($A137,RegCaseNo,0))="N","Police / Incident Report; ","")&amp;IF(INDEX(RegDoc4,MATCH($A137,RegCaseNo,0))="N","Evidence and Exhibits; ","")&amp;IF(INDEX(RegDoc5,MATCH($A137,RegCaseNo,0))="N","Resolution / Information; ","")&amp;IF(INDEX(RegDoc6,MATCH($A137,RegCaseNo,0))="N","Court Order / Docket; ","")&amp;IF(INDEX(RegDoc7,MATCH($A137,RegCaseNo,0))="N","Bail / Bond Records; ","")&amp;IF(INDEX(RegDoc8,MATCH($A137,RegCaseNo,0))="N","Judgment / Order; ","")))</f>
        <v/>
      </c>
      <c r="G137" s="32" t="n"/>
      <c r="H137" s="30" t="n"/>
      <c r="I137" s="31" t="n"/>
      <c r="J137" s="45">
        <f>IF($A137="","",IF(E137=1,"Complete",IF(AND(I137&lt;&gt;"",I137&lt;TODAY(),E137&lt;1),"Follow-up overdue",IF(E137&gt;=0.75,"Minor gaps","Action needed"))))</f>
        <v/>
      </c>
    </row>
    <row r="138" ht="26" customHeight="1">
      <c r="A138" s="30" t="n"/>
      <c r="B138" s="43">
        <f>IFERROR(IF($A138="","",INDEX(RegTitle,MATCH($A138,RegCaseNo,0))),"Case no. not found")</f>
        <v/>
      </c>
      <c r="C138" s="44">
        <f>IF($A138="","",SUMPRODUCT((RegCaseNo=$A138)*((RegDoc1="Y")+(RegDoc2="Y")+(RegDoc3="Y")+(RegDoc4="Y")+(RegDoc5="Y")+(RegDoc6="Y")+(RegDoc7="Y")+(RegDoc8="Y"))))</f>
        <v/>
      </c>
      <c r="D138" s="44">
        <f>IF($A138="","",SUMPRODUCT((RegCaseNo=$A138)*((RegDoc1="N")+(RegDoc2="N")+(RegDoc3="N")+(RegDoc4="N")+(RegDoc5="N")+(RegDoc6="N")+(RegDoc7="N")+(RegDoc8="N"))))</f>
        <v/>
      </c>
      <c r="E138" s="47">
        <f>IFERROR(IF($A138="","",C138/(C138+D138)),0)</f>
        <v/>
      </c>
      <c r="F138" s="43">
        <f>IF($A138="","",TRIM(IF(INDEX(RegDoc1,MATCH($A138,RegCaseNo,0))="N","Affidavit of Complaint; ","")&amp;IF(INDEX(RegDoc2,MATCH($A138,RegCaseNo,0))="N","Sworn Statements; ","")&amp;IF(INDEX(RegDoc3,MATCH($A138,RegCaseNo,0))="N","Police / Incident Report; ","")&amp;IF(INDEX(RegDoc4,MATCH($A138,RegCaseNo,0))="N","Evidence and Exhibits; ","")&amp;IF(INDEX(RegDoc5,MATCH($A138,RegCaseNo,0))="N","Resolution / Information; ","")&amp;IF(INDEX(RegDoc6,MATCH($A138,RegCaseNo,0))="N","Court Order / Docket; ","")&amp;IF(INDEX(RegDoc7,MATCH($A138,RegCaseNo,0))="N","Bail / Bond Records; ","")&amp;IF(INDEX(RegDoc8,MATCH($A138,RegCaseNo,0))="N","Judgment / Order; ","")))</f>
        <v/>
      </c>
      <c r="G138" s="32" t="n"/>
      <c r="H138" s="30" t="n"/>
      <c r="I138" s="31" t="n"/>
      <c r="J138" s="45">
        <f>IF($A138="","",IF(E138=1,"Complete",IF(AND(I138&lt;&gt;"",I138&lt;TODAY(),E138&lt;1),"Follow-up overdue",IF(E138&gt;=0.75,"Minor gaps","Action needed"))))</f>
        <v/>
      </c>
    </row>
    <row r="139" ht="26" customHeight="1">
      <c r="A139" s="30" t="n"/>
      <c r="B139" s="43">
        <f>IFERROR(IF($A139="","",INDEX(RegTitle,MATCH($A139,RegCaseNo,0))),"Case no. not found")</f>
        <v/>
      </c>
      <c r="C139" s="44">
        <f>IF($A139="","",SUMPRODUCT((RegCaseNo=$A139)*((RegDoc1="Y")+(RegDoc2="Y")+(RegDoc3="Y")+(RegDoc4="Y")+(RegDoc5="Y")+(RegDoc6="Y")+(RegDoc7="Y")+(RegDoc8="Y"))))</f>
        <v/>
      </c>
      <c r="D139" s="44">
        <f>IF($A139="","",SUMPRODUCT((RegCaseNo=$A139)*((RegDoc1="N")+(RegDoc2="N")+(RegDoc3="N")+(RegDoc4="N")+(RegDoc5="N")+(RegDoc6="N")+(RegDoc7="N")+(RegDoc8="N"))))</f>
        <v/>
      </c>
      <c r="E139" s="47">
        <f>IFERROR(IF($A139="","",C139/(C139+D139)),0)</f>
        <v/>
      </c>
      <c r="F139" s="43">
        <f>IF($A139="","",TRIM(IF(INDEX(RegDoc1,MATCH($A139,RegCaseNo,0))="N","Affidavit of Complaint; ","")&amp;IF(INDEX(RegDoc2,MATCH($A139,RegCaseNo,0))="N","Sworn Statements; ","")&amp;IF(INDEX(RegDoc3,MATCH($A139,RegCaseNo,0))="N","Police / Incident Report; ","")&amp;IF(INDEX(RegDoc4,MATCH($A139,RegCaseNo,0))="N","Evidence and Exhibits; ","")&amp;IF(INDEX(RegDoc5,MATCH($A139,RegCaseNo,0))="N","Resolution / Information; ","")&amp;IF(INDEX(RegDoc6,MATCH($A139,RegCaseNo,0))="N","Court Order / Docket; ","")&amp;IF(INDEX(RegDoc7,MATCH($A139,RegCaseNo,0))="N","Bail / Bond Records; ","")&amp;IF(INDEX(RegDoc8,MATCH($A139,RegCaseNo,0))="N","Judgment / Order; ","")))</f>
        <v/>
      </c>
      <c r="G139" s="32" t="n"/>
      <c r="H139" s="30" t="n"/>
      <c r="I139" s="31" t="n"/>
      <c r="J139" s="45">
        <f>IF($A139="","",IF(E139=1,"Complete",IF(AND(I139&lt;&gt;"",I139&lt;TODAY(),E139&lt;1),"Follow-up overdue",IF(E139&gt;=0.75,"Minor gaps","Action needed"))))</f>
        <v/>
      </c>
    </row>
    <row r="140" ht="26" customHeight="1">
      <c r="A140" s="30" t="n"/>
      <c r="B140" s="43">
        <f>IFERROR(IF($A140="","",INDEX(RegTitle,MATCH($A140,RegCaseNo,0))),"Case no. not found")</f>
        <v/>
      </c>
      <c r="C140" s="44">
        <f>IF($A140="","",SUMPRODUCT((RegCaseNo=$A140)*((RegDoc1="Y")+(RegDoc2="Y")+(RegDoc3="Y")+(RegDoc4="Y")+(RegDoc5="Y")+(RegDoc6="Y")+(RegDoc7="Y")+(RegDoc8="Y"))))</f>
        <v/>
      </c>
      <c r="D140" s="44">
        <f>IF($A140="","",SUMPRODUCT((RegCaseNo=$A140)*((RegDoc1="N")+(RegDoc2="N")+(RegDoc3="N")+(RegDoc4="N")+(RegDoc5="N")+(RegDoc6="N")+(RegDoc7="N")+(RegDoc8="N"))))</f>
        <v/>
      </c>
      <c r="E140" s="47">
        <f>IFERROR(IF($A140="","",C140/(C140+D140)),0)</f>
        <v/>
      </c>
      <c r="F140" s="43">
        <f>IF($A140="","",TRIM(IF(INDEX(RegDoc1,MATCH($A140,RegCaseNo,0))="N","Affidavit of Complaint; ","")&amp;IF(INDEX(RegDoc2,MATCH($A140,RegCaseNo,0))="N","Sworn Statements; ","")&amp;IF(INDEX(RegDoc3,MATCH($A140,RegCaseNo,0))="N","Police / Incident Report; ","")&amp;IF(INDEX(RegDoc4,MATCH($A140,RegCaseNo,0))="N","Evidence and Exhibits; ","")&amp;IF(INDEX(RegDoc5,MATCH($A140,RegCaseNo,0))="N","Resolution / Information; ","")&amp;IF(INDEX(RegDoc6,MATCH($A140,RegCaseNo,0))="N","Court Order / Docket; ","")&amp;IF(INDEX(RegDoc7,MATCH($A140,RegCaseNo,0))="N","Bail / Bond Records; ","")&amp;IF(INDEX(RegDoc8,MATCH($A140,RegCaseNo,0))="N","Judgment / Order; ","")))</f>
        <v/>
      </c>
      <c r="G140" s="32" t="n"/>
      <c r="H140" s="30" t="n"/>
      <c r="I140" s="31" t="n"/>
      <c r="J140" s="45">
        <f>IF($A140="","",IF(E140=1,"Complete",IF(AND(I140&lt;&gt;"",I140&lt;TODAY(),E140&lt;1),"Follow-up overdue",IF(E140&gt;=0.75,"Minor gaps","Action needed"))))</f>
        <v/>
      </c>
    </row>
    <row r="141" ht="26" customHeight="1">
      <c r="A141" s="30" t="n"/>
      <c r="B141" s="43">
        <f>IFERROR(IF($A141="","",INDEX(RegTitle,MATCH($A141,RegCaseNo,0))),"Case no. not found")</f>
        <v/>
      </c>
      <c r="C141" s="44">
        <f>IF($A141="","",SUMPRODUCT((RegCaseNo=$A141)*((RegDoc1="Y")+(RegDoc2="Y")+(RegDoc3="Y")+(RegDoc4="Y")+(RegDoc5="Y")+(RegDoc6="Y")+(RegDoc7="Y")+(RegDoc8="Y"))))</f>
        <v/>
      </c>
      <c r="D141" s="44">
        <f>IF($A141="","",SUMPRODUCT((RegCaseNo=$A141)*((RegDoc1="N")+(RegDoc2="N")+(RegDoc3="N")+(RegDoc4="N")+(RegDoc5="N")+(RegDoc6="N")+(RegDoc7="N")+(RegDoc8="N"))))</f>
        <v/>
      </c>
      <c r="E141" s="47">
        <f>IFERROR(IF($A141="","",C141/(C141+D141)),0)</f>
        <v/>
      </c>
      <c r="F141" s="43">
        <f>IF($A141="","",TRIM(IF(INDEX(RegDoc1,MATCH($A141,RegCaseNo,0))="N","Affidavit of Complaint; ","")&amp;IF(INDEX(RegDoc2,MATCH($A141,RegCaseNo,0))="N","Sworn Statements; ","")&amp;IF(INDEX(RegDoc3,MATCH($A141,RegCaseNo,0))="N","Police / Incident Report; ","")&amp;IF(INDEX(RegDoc4,MATCH($A141,RegCaseNo,0))="N","Evidence and Exhibits; ","")&amp;IF(INDEX(RegDoc5,MATCH($A141,RegCaseNo,0))="N","Resolution / Information; ","")&amp;IF(INDEX(RegDoc6,MATCH($A141,RegCaseNo,0))="N","Court Order / Docket; ","")&amp;IF(INDEX(RegDoc7,MATCH($A141,RegCaseNo,0))="N","Bail / Bond Records; ","")&amp;IF(INDEX(RegDoc8,MATCH($A141,RegCaseNo,0))="N","Judgment / Order; ","")))</f>
        <v/>
      </c>
      <c r="G141" s="32" t="n"/>
      <c r="H141" s="30" t="n"/>
      <c r="I141" s="31" t="n"/>
      <c r="J141" s="45">
        <f>IF($A141="","",IF(E141=1,"Complete",IF(AND(I141&lt;&gt;"",I141&lt;TODAY(),E141&lt;1),"Follow-up overdue",IF(E141&gt;=0.75,"Minor gaps","Action needed"))))</f>
        <v/>
      </c>
    </row>
    <row r="142" ht="26" customHeight="1">
      <c r="A142" s="30" t="n"/>
      <c r="B142" s="43">
        <f>IFERROR(IF($A142="","",INDEX(RegTitle,MATCH($A142,RegCaseNo,0))),"Case no. not found")</f>
        <v/>
      </c>
      <c r="C142" s="44">
        <f>IF($A142="","",SUMPRODUCT((RegCaseNo=$A142)*((RegDoc1="Y")+(RegDoc2="Y")+(RegDoc3="Y")+(RegDoc4="Y")+(RegDoc5="Y")+(RegDoc6="Y")+(RegDoc7="Y")+(RegDoc8="Y"))))</f>
        <v/>
      </c>
      <c r="D142" s="44">
        <f>IF($A142="","",SUMPRODUCT((RegCaseNo=$A142)*((RegDoc1="N")+(RegDoc2="N")+(RegDoc3="N")+(RegDoc4="N")+(RegDoc5="N")+(RegDoc6="N")+(RegDoc7="N")+(RegDoc8="N"))))</f>
        <v/>
      </c>
      <c r="E142" s="47">
        <f>IFERROR(IF($A142="","",C142/(C142+D142)),0)</f>
        <v/>
      </c>
      <c r="F142" s="43">
        <f>IF($A142="","",TRIM(IF(INDEX(RegDoc1,MATCH($A142,RegCaseNo,0))="N","Affidavit of Complaint; ","")&amp;IF(INDEX(RegDoc2,MATCH($A142,RegCaseNo,0))="N","Sworn Statements; ","")&amp;IF(INDEX(RegDoc3,MATCH($A142,RegCaseNo,0))="N","Police / Incident Report; ","")&amp;IF(INDEX(RegDoc4,MATCH($A142,RegCaseNo,0))="N","Evidence and Exhibits; ","")&amp;IF(INDEX(RegDoc5,MATCH($A142,RegCaseNo,0))="N","Resolution / Information; ","")&amp;IF(INDEX(RegDoc6,MATCH($A142,RegCaseNo,0))="N","Court Order / Docket; ","")&amp;IF(INDEX(RegDoc7,MATCH($A142,RegCaseNo,0))="N","Bail / Bond Records; ","")&amp;IF(INDEX(RegDoc8,MATCH($A142,RegCaseNo,0))="N","Judgment / Order; ","")))</f>
        <v/>
      </c>
      <c r="G142" s="32" t="n"/>
      <c r="H142" s="30" t="n"/>
      <c r="I142" s="31" t="n"/>
      <c r="J142" s="45">
        <f>IF($A142="","",IF(E142=1,"Complete",IF(AND(I142&lt;&gt;"",I142&lt;TODAY(),E142&lt;1),"Follow-up overdue",IF(E142&gt;=0.75,"Minor gaps","Action needed"))))</f>
        <v/>
      </c>
    </row>
    <row r="143" ht="26" customHeight="1">
      <c r="A143" s="30" t="n"/>
      <c r="B143" s="43">
        <f>IFERROR(IF($A143="","",INDEX(RegTitle,MATCH($A143,RegCaseNo,0))),"Case no. not found")</f>
        <v/>
      </c>
      <c r="C143" s="44">
        <f>IF($A143="","",SUMPRODUCT((RegCaseNo=$A143)*((RegDoc1="Y")+(RegDoc2="Y")+(RegDoc3="Y")+(RegDoc4="Y")+(RegDoc5="Y")+(RegDoc6="Y")+(RegDoc7="Y")+(RegDoc8="Y"))))</f>
        <v/>
      </c>
      <c r="D143" s="44">
        <f>IF($A143="","",SUMPRODUCT((RegCaseNo=$A143)*((RegDoc1="N")+(RegDoc2="N")+(RegDoc3="N")+(RegDoc4="N")+(RegDoc5="N")+(RegDoc6="N")+(RegDoc7="N")+(RegDoc8="N"))))</f>
        <v/>
      </c>
      <c r="E143" s="47">
        <f>IFERROR(IF($A143="","",C143/(C143+D143)),0)</f>
        <v/>
      </c>
      <c r="F143" s="43">
        <f>IF($A143="","",TRIM(IF(INDEX(RegDoc1,MATCH($A143,RegCaseNo,0))="N","Affidavit of Complaint; ","")&amp;IF(INDEX(RegDoc2,MATCH($A143,RegCaseNo,0))="N","Sworn Statements; ","")&amp;IF(INDEX(RegDoc3,MATCH($A143,RegCaseNo,0))="N","Police / Incident Report; ","")&amp;IF(INDEX(RegDoc4,MATCH($A143,RegCaseNo,0))="N","Evidence and Exhibits; ","")&amp;IF(INDEX(RegDoc5,MATCH($A143,RegCaseNo,0))="N","Resolution / Information; ","")&amp;IF(INDEX(RegDoc6,MATCH($A143,RegCaseNo,0))="N","Court Order / Docket; ","")&amp;IF(INDEX(RegDoc7,MATCH($A143,RegCaseNo,0))="N","Bail / Bond Records; ","")&amp;IF(INDEX(RegDoc8,MATCH($A143,RegCaseNo,0))="N","Judgment / Order; ","")))</f>
        <v/>
      </c>
      <c r="G143" s="32" t="n"/>
      <c r="H143" s="30" t="n"/>
      <c r="I143" s="31" t="n"/>
      <c r="J143" s="45">
        <f>IF($A143="","",IF(E143=1,"Complete",IF(AND(I143&lt;&gt;"",I143&lt;TODAY(),E143&lt;1),"Follow-up overdue",IF(E143&gt;=0.75,"Minor gaps","Action needed"))))</f>
        <v/>
      </c>
    </row>
    <row r="144" ht="26" customHeight="1">
      <c r="A144" s="30" t="n"/>
      <c r="B144" s="43">
        <f>IFERROR(IF($A144="","",INDEX(RegTitle,MATCH($A144,RegCaseNo,0))),"Case no. not found")</f>
        <v/>
      </c>
      <c r="C144" s="44">
        <f>IF($A144="","",SUMPRODUCT((RegCaseNo=$A144)*((RegDoc1="Y")+(RegDoc2="Y")+(RegDoc3="Y")+(RegDoc4="Y")+(RegDoc5="Y")+(RegDoc6="Y")+(RegDoc7="Y")+(RegDoc8="Y"))))</f>
        <v/>
      </c>
      <c r="D144" s="44">
        <f>IF($A144="","",SUMPRODUCT((RegCaseNo=$A144)*((RegDoc1="N")+(RegDoc2="N")+(RegDoc3="N")+(RegDoc4="N")+(RegDoc5="N")+(RegDoc6="N")+(RegDoc7="N")+(RegDoc8="N"))))</f>
        <v/>
      </c>
      <c r="E144" s="47">
        <f>IFERROR(IF($A144="","",C144/(C144+D144)),0)</f>
        <v/>
      </c>
      <c r="F144" s="43">
        <f>IF($A144="","",TRIM(IF(INDEX(RegDoc1,MATCH($A144,RegCaseNo,0))="N","Affidavit of Complaint; ","")&amp;IF(INDEX(RegDoc2,MATCH($A144,RegCaseNo,0))="N","Sworn Statements; ","")&amp;IF(INDEX(RegDoc3,MATCH($A144,RegCaseNo,0))="N","Police / Incident Report; ","")&amp;IF(INDEX(RegDoc4,MATCH($A144,RegCaseNo,0))="N","Evidence and Exhibits; ","")&amp;IF(INDEX(RegDoc5,MATCH($A144,RegCaseNo,0))="N","Resolution / Information; ","")&amp;IF(INDEX(RegDoc6,MATCH($A144,RegCaseNo,0))="N","Court Order / Docket; ","")&amp;IF(INDEX(RegDoc7,MATCH($A144,RegCaseNo,0))="N","Bail / Bond Records; ","")&amp;IF(INDEX(RegDoc8,MATCH($A144,RegCaseNo,0))="N","Judgment / Order; ","")))</f>
        <v/>
      </c>
      <c r="G144" s="32" t="n"/>
      <c r="H144" s="30" t="n"/>
      <c r="I144" s="31" t="n"/>
      <c r="J144" s="45">
        <f>IF($A144="","",IF(E144=1,"Complete",IF(AND(I144&lt;&gt;"",I144&lt;TODAY(),E144&lt;1),"Follow-up overdue",IF(E144&gt;=0.75,"Minor gaps","Action needed"))))</f>
        <v/>
      </c>
    </row>
    <row r="145" ht="26" customHeight="1">
      <c r="A145" s="30" t="n"/>
      <c r="B145" s="43">
        <f>IFERROR(IF($A145="","",INDEX(RegTitle,MATCH($A145,RegCaseNo,0))),"Case no. not found")</f>
        <v/>
      </c>
      <c r="C145" s="44">
        <f>IF($A145="","",SUMPRODUCT((RegCaseNo=$A145)*((RegDoc1="Y")+(RegDoc2="Y")+(RegDoc3="Y")+(RegDoc4="Y")+(RegDoc5="Y")+(RegDoc6="Y")+(RegDoc7="Y")+(RegDoc8="Y"))))</f>
        <v/>
      </c>
      <c r="D145" s="44">
        <f>IF($A145="","",SUMPRODUCT((RegCaseNo=$A145)*((RegDoc1="N")+(RegDoc2="N")+(RegDoc3="N")+(RegDoc4="N")+(RegDoc5="N")+(RegDoc6="N")+(RegDoc7="N")+(RegDoc8="N"))))</f>
        <v/>
      </c>
      <c r="E145" s="47">
        <f>IFERROR(IF($A145="","",C145/(C145+D145)),0)</f>
        <v/>
      </c>
      <c r="F145" s="43">
        <f>IF($A145="","",TRIM(IF(INDEX(RegDoc1,MATCH($A145,RegCaseNo,0))="N","Affidavit of Complaint; ","")&amp;IF(INDEX(RegDoc2,MATCH($A145,RegCaseNo,0))="N","Sworn Statements; ","")&amp;IF(INDEX(RegDoc3,MATCH($A145,RegCaseNo,0))="N","Police / Incident Report; ","")&amp;IF(INDEX(RegDoc4,MATCH($A145,RegCaseNo,0))="N","Evidence and Exhibits; ","")&amp;IF(INDEX(RegDoc5,MATCH($A145,RegCaseNo,0))="N","Resolution / Information; ","")&amp;IF(INDEX(RegDoc6,MATCH($A145,RegCaseNo,0))="N","Court Order / Docket; ","")&amp;IF(INDEX(RegDoc7,MATCH($A145,RegCaseNo,0))="N","Bail / Bond Records; ","")&amp;IF(INDEX(RegDoc8,MATCH($A145,RegCaseNo,0))="N","Judgment / Order; ","")))</f>
        <v/>
      </c>
      <c r="G145" s="32" t="n"/>
      <c r="H145" s="30" t="n"/>
      <c r="I145" s="31" t="n"/>
      <c r="J145" s="45">
        <f>IF($A145="","",IF(E145=1,"Complete",IF(AND(I145&lt;&gt;"",I145&lt;TODAY(),E145&lt;1),"Follow-up overdue",IF(E145&gt;=0.75,"Minor gaps","Action needed"))))</f>
        <v/>
      </c>
    </row>
    <row r="146" ht="26" customHeight="1">
      <c r="A146" s="30" t="n"/>
      <c r="B146" s="43">
        <f>IFERROR(IF($A146="","",INDEX(RegTitle,MATCH($A146,RegCaseNo,0))),"Case no. not found")</f>
        <v/>
      </c>
      <c r="C146" s="44">
        <f>IF($A146="","",SUMPRODUCT((RegCaseNo=$A146)*((RegDoc1="Y")+(RegDoc2="Y")+(RegDoc3="Y")+(RegDoc4="Y")+(RegDoc5="Y")+(RegDoc6="Y")+(RegDoc7="Y")+(RegDoc8="Y"))))</f>
        <v/>
      </c>
      <c r="D146" s="44">
        <f>IF($A146="","",SUMPRODUCT((RegCaseNo=$A146)*((RegDoc1="N")+(RegDoc2="N")+(RegDoc3="N")+(RegDoc4="N")+(RegDoc5="N")+(RegDoc6="N")+(RegDoc7="N")+(RegDoc8="N"))))</f>
        <v/>
      </c>
      <c r="E146" s="47">
        <f>IFERROR(IF($A146="","",C146/(C146+D146)),0)</f>
        <v/>
      </c>
      <c r="F146" s="43">
        <f>IF($A146="","",TRIM(IF(INDEX(RegDoc1,MATCH($A146,RegCaseNo,0))="N","Affidavit of Complaint; ","")&amp;IF(INDEX(RegDoc2,MATCH($A146,RegCaseNo,0))="N","Sworn Statements; ","")&amp;IF(INDEX(RegDoc3,MATCH($A146,RegCaseNo,0))="N","Police / Incident Report; ","")&amp;IF(INDEX(RegDoc4,MATCH($A146,RegCaseNo,0))="N","Evidence and Exhibits; ","")&amp;IF(INDEX(RegDoc5,MATCH($A146,RegCaseNo,0))="N","Resolution / Information; ","")&amp;IF(INDEX(RegDoc6,MATCH($A146,RegCaseNo,0))="N","Court Order / Docket; ","")&amp;IF(INDEX(RegDoc7,MATCH($A146,RegCaseNo,0))="N","Bail / Bond Records; ","")&amp;IF(INDEX(RegDoc8,MATCH($A146,RegCaseNo,0))="N","Judgment / Order; ","")))</f>
        <v/>
      </c>
      <c r="G146" s="32" t="n"/>
      <c r="H146" s="30" t="n"/>
      <c r="I146" s="31" t="n"/>
      <c r="J146" s="45">
        <f>IF($A146="","",IF(E146=1,"Complete",IF(AND(I146&lt;&gt;"",I146&lt;TODAY(),E146&lt;1),"Follow-up overdue",IF(E146&gt;=0.75,"Minor gaps","Action needed"))))</f>
        <v/>
      </c>
    </row>
    <row r="147" ht="26" customHeight="1">
      <c r="A147" s="30" t="n"/>
      <c r="B147" s="43">
        <f>IFERROR(IF($A147="","",INDEX(RegTitle,MATCH($A147,RegCaseNo,0))),"Case no. not found")</f>
        <v/>
      </c>
      <c r="C147" s="44">
        <f>IF($A147="","",SUMPRODUCT((RegCaseNo=$A147)*((RegDoc1="Y")+(RegDoc2="Y")+(RegDoc3="Y")+(RegDoc4="Y")+(RegDoc5="Y")+(RegDoc6="Y")+(RegDoc7="Y")+(RegDoc8="Y"))))</f>
        <v/>
      </c>
      <c r="D147" s="44">
        <f>IF($A147="","",SUMPRODUCT((RegCaseNo=$A147)*((RegDoc1="N")+(RegDoc2="N")+(RegDoc3="N")+(RegDoc4="N")+(RegDoc5="N")+(RegDoc6="N")+(RegDoc7="N")+(RegDoc8="N"))))</f>
        <v/>
      </c>
      <c r="E147" s="47">
        <f>IFERROR(IF($A147="","",C147/(C147+D147)),0)</f>
        <v/>
      </c>
      <c r="F147" s="43">
        <f>IF($A147="","",TRIM(IF(INDEX(RegDoc1,MATCH($A147,RegCaseNo,0))="N","Affidavit of Complaint; ","")&amp;IF(INDEX(RegDoc2,MATCH($A147,RegCaseNo,0))="N","Sworn Statements; ","")&amp;IF(INDEX(RegDoc3,MATCH($A147,RegCaseNo,0))="N","Police / Incident Report; ","")&amp;IF(INDEX(RegDoc4,MATCH($A147,RegCaseNo,0))="N","Evidence and Exhibits; ","")&amp;IF(INDEX(RegDoc5,MATCH($A147,RegCaseNo,0))="N","Resolution / Information; ","")&amp;IF(INDEX(RegDoc6,MATCH($A147,RegCaseNo,0))="N","Court Order / Docket; ","")&amp;IF(INDEX(RegDoc7,MATCH($A147,RegCaseNo,0))="N","Bail / Bond Records; ","")&amp;IF(INDEX(RegDoc8,MATCH($A147,RegCaseNo,0))="N","Judgment / Order; ","")))</f>
        <v/>
      </c>
      <c r="G147" s="32" t="n"/>
      <c r="H147" s="30" t="n"/>
      <c r="I147" s="31" t="n"/>
      <c r="J147" s="45">
        <f>IF($A147="","",IF(E147=1,"Complete",IF(AND(I147&lt;&gt;"",I147&lt;TODAY(),E147&lt;1),"Follow-up overdue",IF(E147&gt;=0.75,"Minor gaps","Action needed"))))</f>
        <v/>
      </c>
    </row>
    <row r="148" ht="26" customHeight="1">
      <c r="A148" s="30" t="n"/>
      <c r="B148" s="43">
        <f>IFERROR(IF($A148="","",INDEX(RegTitle,MATCH($A148,RegCaseNo,0))),"Case no. not found")</f>
        <v/>
      </c>
      <c r="C148" s="44">
        <f>IF($A148="","",SUMPRODUCT((RegCaseNo=$A148)*((RegDoc1="Y")+(RegDoc2="Y")+(RegDoc3="Y")+(RegDoc4="Y")+(RegDoc5="Y")+(RegDoc6="Y")+(RegDoc7="Y")+(RegDoc8="Y"))))</f>
        <v/>
      </c>
      <c r="D148" s="44">
        <f>IF($A148="","",SUMPRODUCT((RegCaseNo=$A148)*((RegDoc1="N")+(RegDoc2="N")+(RegDoc3="N")+(RegDoc4="N")+(RegDoc5="N")+(RegDoc6="N")+(RegDoc7="N")+(RegDoc8="N"))))</f>
        <v/>
      </c>
      <c r="E148" s="47">
        <f>IFERROR(IF($A148="","",C148/(C148+D148)),0)</f>
        <v/>
      </c>
      <c r="F148" s="43">
        <f>IF($A148="","",TRIM(IF(INDEX(RegDoc1,MATCH($A148,RegCaseNo,0))="N","Affidavit of Complaint; ","")&amp;IF(INDEX(RegDoc2,MATCH($A148,RegCaseNo,0))="N","Sworn Statements; ","")&amp;IF(INDEX(RegDoc3,MATCH($A148,RegCaseNo,0))="N","Police / Incident Report; ","")&amp;IF(INDEX(RegDoc4,MATCH($A148,RegCaseNo,0))="N","Evidence and Exhibits; ","")&amp;IF(INDEX(RegDoc5,MATCH($A148,RegCaseNo,0))="N","Resolution / Information; ","")&amp;IF(INDEX(RegDoc6,MATCH($A148,RegCaseNo,0))="N","Court Order / Docket; ","")&amp;IF(INDEX(RegDoc7,MATCH($A148,RegCaseNo,0))="N","Bail / Bond Records; ","")&amp;IF(INDEX(RegDoc8,MATCH($A148,RegCaseNo,0))="N","Judgment / Order; ","")))</f>
        <v/>
      </c>
      <c r="G148" s="32" t="n"/>
      <c r="H148" s="30" t="n"/>
      <c r="I148" s="31" t="n"/>
      <c r="J148" s="45">
        <f>IF($A148="","",IF(E148=1,"Complete",IF(AND(I148&lt;&gt;"",I148&lt;TODAY(),E148&lt;1),"Follow-up overdue",IF(E148&gt;=0.75,"Minor gaps","Action needed"))))</f>
        <v/>
      </c>
    </row>
    <row r="149" ht="26" customHeight="1">
      <c r="A149" s="30" t="n"/>
      <c r="B149" s="43">
        <f>IFERROR(IF($A149="","",INDEX(RegTitle,MATCH($A149,RegCaseNo,0))),"Case no. not found")</f>
        <v/>
      </c>
      <c r="C149" s="44">
        <f>IF($A149="","",SUMPRODUCT((RegCaseNo=$A149)*((RegDoc1="Y")+(RegDoc2="Y")+(RegDoc3="Y")+(RegDoc4="Y")+(RegDoc5="Y")+(RegDoc6="Y")+(RegDoc7="Y")+(RegDoc8="Y"))))</f>
        <v/>
      </c>
      <c r="D149" s="44">
        <f>IF($A149="","",SUMPRODUCT((RegCaseNo=$A149)*((RegDoc1="N")+(RegDoc2="N")+(RegDoc3="N")+(RegDoc4="N")+(RegDoc5="N")+(RegDoc6="N")+(RegDoc7="N")+(RegDoc8="N"))))</f>
        <v/>
      </c>
      <c r="E149" s="47">
        <f>IFERROR(IF($A149="","",C149/(C149+D149)),0)</f>
        <v/>
      </c>
      <c r="F149" s="43">
        <f>IF($A149="","",TRIM(IF(INDEX(RegDoc1,MATCH($A149,RegCaseNo,0))="N","Affidavit of Complaint; ","")&amp;IF(INDEX(RegDoc2,MATCH($A149,RegCaseNo,0))="N","Sworn Statements; ","")&amp;IF(INDEX(RegDoc3,MATCH($A149,RegCaseNo,0))="N","Police / Incident Report; ","")&amp;IF(INDEX(RegDoc4,MATCH($A149,RegCaseNo,0))="N","Evidence and Exhibits; ","")&amp;IF(INDEX(RegDoc5,MATCH($A149,RegCaseNo,0))="N","Resolution / Information; ","")&amp;IF(INDEX(RegDoc6,MATCH($A149,RegCaseNo,0))="N","Court Order / Docket; ","")&amp;IF(INDEX(RegDoc7,MATCH($A149,RegCaseNo,0))="N","Bail / Bond Records; ","")&amp;IF(INDEX(RegDoc8,MATCH($A149,RegCaseNo,0))="N","Judgment / Order; ","")))</f>
        <v/>
      </c>
      <c r="G149" s="32" t="n"/>
      <c r="H149" s="30" t="n"/>
      <c r="I149" s="31" t="n"/>
      <c r="J149" s="45">
        <f>IF($A149="","",IF(E149=1,"Complete",IF(AND(I149&lt;&gt;"",I149&lt;TODAY(),E149&lt;1),"Follow-up overdue",IF(E149&gt;=0.75,"Minor gaps","Action needed"))))</f>
        <v/>
      </c>
    </row>
    <row r="150" ht="26" customHeight="1">
      <c r="A150" s="30" t="n"/>
      <c r="B150" s="43">
        <f>IFERROR(IF($A150="","",INDEX(RegTitle,MATCH($A150,RegCaseNo,0))),"Case no. not found")</f>
        <v/>
      </c>
      <c r="C150" s="44">
        <f>IF($A150="","",SUMPRODUCT((RegCaseNo=$A150)*((RegDoc1="Y")+(RegDoc2="Y")+(RegDoc3="Y")+(RegDoc4="Y")+(RegDoc5="Y")+(RegDoc6="Y")+(RegDoc7="Y")+(RegDoc8="Y"))))</f>
        <v/>
      </c>
      <c r="D150" s="44">
        <f>IF($A150="","",SUMPRODUCT((RegCaseNo=$A150)*((RegDoc1="N")+(RegDoc2="N")+(RegDoc3="N")+(RegDoc4="N")+(RegDoc5="N")+(RegDoc6="N")+(RegDoc7="N")+(RegDoc8="N"))))</f>
        <v/>
      </c>
      <c r="E150" s="47">
        <f>IFERROR(IF($A150="","",C150/(C150+D150)),0)</f>
        <v/>
      </c>
      <c r="F150" s="43">
        <f>IF($A150="","",TRIM(IF(INDEX(RegDoc1,MATCH($A150,RegCaseNo,0))="N","Affidavit of Complaint; ","")&amp;IF(INDEX(RegDoc2,MATCH($A150,RegCaseNo,0))="N","Sworn Statements; ","")&amp;IF(INDEX(RegDoc3,MATCH($A150,RegCaseNo,0))="N","Police / Incident Report; ","")&amp;IF(INDEX(RegDoc4,MATCH($A150,RegCaseNo,0))="N","Evidence and Exhibits; ","")&amp;IF(INDEX(RegDoc5,MATCH($A150,RegCaseNo,0))="N","Resolution / Information; ","")&amp;IF(INDEX(RegDoc6,MATCH($A150,RegCaseNo,0))="N","Court Order / Docket; ","")&amp;IF(INDEX(RegDoc7,MATCH($A150,RegCaseNo,0))="N","Bail / Bond Records; ","")&amp;IF(INDEX(RegDoc8,MATCH($A150,RegCaseNo,0))="N","Judgment / Order; ","")))</f>
        <v/>
      </c>
      <c r="G150" s="32" t="n"/>
      <c r="H150" s="30" t="n"/>
      <c r="I150" s="31" t="n"/>
      <c r="J150" s="45">
        <f>IF($A150="","",IF(E150=1,"Complete",IF(AND(I150&lt;&gt;"",I150&lt;TODAY(),E150&lt;1),"Follow-up overdue",IF(E150&gt;=0.75,"Minor gaps","Action needed"))))</f>
        <v/>
      </c>
    </row>
    <row r="151" ht="26" customHeight="1">
      <c r="A151" s="30" t="n"/>
      <c r="B151" s="43">
        <f>IFERROR(IF($A151="","",INDEX(RegTitle,MATCH($A151,RegCaseNo,0))),"Case no. not found")</f>
        <v/>
      </c>
      <c r="C151" s="44">
        <f>IF($A151="","",SUMPRODUCT((RegCaseNo=$A151)*((RegDoc1="Y")+(RegDoc2="Y")+(RegDoc3="Y")+(RegDoc4="Y")+(RegDoc5="Y")+(RegDoc6="Y")+(RegDoc7="Y")+(RegDoc8="Y"))))</f>
        <v/>
      </c>
      <c r="D151" s="44">
        <f>IF($A151="","",SUMPRODUCT((RegCaseNo=$A151)*((RegDoc1="N")+(RegDoc2="N")+(RegDoc3="N")+(RegDoc4="N")+(RegDoc5="N")+(RegDoc6="N")+(RegDoc7="N")+(RegDoc8="N"))))</f>
        <v/>
      </c>
      <c r="E151" s="47">
        <f>IFERROR(IF($A151="","",C151/(C151+D151)),0)</f>
        <v/>
      </c>
      <c r="F151" s="43">
        <f>IF($A151="","",TRIM(IF(INDEX(RegDoc1,MATCH($A151,RegCaseNo,0))="N","Affidavit of Complaint; ","")&amp;IF(INDEX(RegDoc2,MATCH($A151,RegCaseNo,0))="N","Sworn Statements; ","")&amp;IF(INDEX(RegDoc3,MATCH($A151,RegCaseNo,0))="N","Police / Incident Report; ","")&amp;IF(INDEX(RegDoc4,MATCH($A151,RegCaseNo,0))="N","Evidence and Exhibits; ","")&amp;IF(INDEX(RegDoc5,MATCH($A151,RegCaseNo,0))="N","Resolution / Information; ","")&amp;IF(INDEX(RegDoc6,MATCH($A151,RegCaseNo,0))="N","Court Order / Docket; ","")&amp;IF(INDEX(RegDoc7,MATCH($A151,RegCaseNo,0))="N","Bail / Bond Records; ","")&amp;IF(INDEX(RegDoc8,MATCH($A151,RegCaseNo,0))="N","Judgment / Order; ","")))</f>
        <v/>
      </c>
      <c r="G151" s="32" t="n"/>
      <c r="H151" s="30" t="n"/>
      <c r="I151" s="31" t="n"/>
      <c r="J151" s="45">
        <f>IF($A151="","",IF(E151=1,"Complete",IF(AND(I151&lt;&gt;"",I151&lt;TODAY(),E151&lt;1),"Follow-up overdue",IF(E151&gt;=0.75,"Minor gaps","Action needed"))))</f>
        <v/>
      </c>
    </row>
    <row r="152" ht="26" customHeight="1">
      <c r="A152" s="30" t="n"/>
      <c r="B152" s="43">
        <f>IFERROR(IF($A152="","",INDEX(RegTitle,MATCH($A152,RegCaseNo,0))),"Case no. not found")</f>
        <v/>
      </c>
      <c r="C152" s="44">
        <f>IF($A152="","",SUMPRODUCT((RegCaseNo=$A152)*((RegDoc1="Y")+(RegDoc2="Y")+(RegDoc3="Y")+(RegDoc4="Y")+(RegDoc5="Y")+(RegDoc6="Y")+(RegDoc7="Y")+(RegDoc8="Y"))))</f>
        <v/>
      </c>
      <c r="D152" s="44">
        <f>IF($A152="","",SUMPRODUCT((RegCaseNo=$A152)*((RegDoc1="N")+(RegDoc2="N")+(RegDoc3="N")+(RegDoc4="N")+(RegDoc5="N")+(RegDoc6="N")+(RegDoc7="N")+(RegDoc8="N"))))</f>
        <v/>
      </c>
      <c r="E152" s="47">
        <f>IFERROR(IF($A152="","",C152/(C152+D152)),0)</f>
        <v/>
      </c>
      <c r="F152" s="43">
        <f>IF($A152="","",TRIM(IF(INDEX(RegDoc1,MATCH($A152,RegCaseNo,0))="N","Affidavit of Complaint; ","")&amp;IF(INDEX(RegDoc2,MATCH($A152,RegCaseNo,0))="N","Sworn Statements; ","")&amp;IF(INDEX(RegDoc3,MATCH($A152,RegCaseNo,0))="N","Police / Incident Report; ","")&amp;IF(INDEX(RegDoc4,MATCH($A152,RegCaseNo,0))="N","Evidence and Exhibits; ","")&amp;IF(INDEX(RegDoc5,MATCH($A152,RegCaseNo,0))="N","Resolution / Information; ","")&amp;IF(INDEX(RegDoc6,MATCH($A152,RegCaseNo,0))="N","Court Order / Docket; ","")&amp;IF(INDEX(RegDoc7,MATCH($A152,RegCaseNo,0))="N","Bail / Bond Records; ","")&amp;IF(INDEX(RegDoc8,MATCH($A152,RegCaseNo,0))="N","Judgment / Order; ","")))</f>
        <v/>
      </c>
      <c r="G152" s="32" t="n"/>
      <c r="H152" s="30" t="n"/>
      <c r="I152" s="31" t="n"/>
      <c r="J152" s="45">
        <f>IF($A152="","",IF(E152=1,"Complete",IF(AND(I152&lt;&gt;"",I152&lt;TODAY(),E152&lt;1),"Follow-up overdue",IF(E152&gt;=0.75,"Minor gaps","Action needed"))))</f>
        <v/>
      </c>
    </row>
    <row r="153" ht="26" customHeight="1">
      <c r="A153" s="30" t="n"/>
      <c r="B153" s="43">
        <f>IFERROR(IF($A153="","",INDEX(RegTitle,MATCH($A153,RegCaseNo,0))),"Case no. not found")</f>
        <v/>
      </c>
      <c r="C153" s="44">
        <f>IF($A153="","",SUMPRODUCT((RegCaseNo=$A153)*((RegDoc1="Y")+(RegDoc2="Y")+(RegDoc3="Y")+(RegDoc4="Y")+(RegDoc5="Y")+(RegDoc6="Y")+(RegDoc7="Y")+(RegDoc8="Y"))))</f>
        <v/>
      </c>
      <c r="D153" s="44">
        <f>IF($A153="","",SUMPRODUCT((RegCaseNo=$A153)*((RegDoc1="N")+(RegDoc2="N")+(RegDoc3="N")+(RegDoc4="N")+(RegDoc5="N")+(RegDoc6="N")+(RegDoc7="N")+(RegDoc8="N"))))</f>
        <v/>
      </c>
      <c r="E153" s="47">
        <f>IFERROR(IF($A153="","",C153/(C153+D153)),0)</f>
        <v/>
      </c>
      <c r="F153" s="43">
        <f>IF($A153="","",TRIM(IF(INDEX(RegDoc1,MATCH($A153,RegCaseNo,0))="N","Affidavit of Complaint; ","")&amp;IF(INDEX(RegDoc2,MATCH($A153,RegCaseNo,0))="N","Sworn Statements; ","")&amp;IF(INDEX(RegDoc3,MATCH($A153,RegCaseNo,0))="N","Police / Incident Report; ","")&amp;IF(INDEX(RegDoc4,MATCH($A153,RegCaseNo,0))="N","Evidence and Exhibits; ","")&amp;IF(INDEX(RegDoc5,MATCH($A153,RegCaseNo,0))="N","Resolution / Information; ","")&amp;IF(INDEX(RegDoc6,MATCH($A153,RegCaseNo,0))="N","Court Order / Docket; ","")&amp;IF(INDEX(RegDoc7,MATCH($A153,RegCaseNo,0))="N","Bail / Bond Records; ","")&amp;IF(INDEX(RegDoc8,MATCH($A153,RegCaseNo,0))="N","Judgment / Order; ","")))</f>
        <v/>
      </c>
      <c r="G153" s="32" t="n"/>
      <c r="H153" s="30" t="n"/>
      <c r="I153" s="31" t="n"/>
      <c r="J153" s="45">
        <f>IF($A153="","",IF(E153=1,"Complete",IF(AND(I153&lt;&gt;"",I153&lt;TODAY(),E153&lt;1),"Follow-up overdue",IF(E153&gt;=0.75,"Minor gaps","Action needed"))))</f>
        <v/>
      </c>
    </row>
    <row r="154" ht="26" customHeight="1">
      <c r="A154" s="30" t="n"/>
      <c r="B154" s="43">
        <f>IFERROR(IF($A154="","",INDEX(RegTitle,MATCH($A154,RegCaseNo,0))),"Case no. not found")</f>
        <v/>
      </c>
      <c r="C154" s="44">
        <f>IF($A154="","",SUMPRODUCT((RegCaseNo=$A154)*((RegDoc1="Y")+(RegDoc2="Y")+(RegDoc3="Y")+(RegDoc4="Y")+(RegDoc5="Y")+(RegDoc6="Y")+(RegDoc7="Y")+(RegDoc8="Y"))))</f>
        <v/>
      </c>
      <c r="D154" s="44">
        <f>IF($A154="","",SUMPRODUCT((RegCaseNo=$A154)*((RegDoc1="N")+(RegDoc2="N")+(RegDoc3="N")+(RegDoc4="N")+(RegDoc5="N")+(RegDoc6="N")+(RegDoc7="N")+(RegDoc8="N"))))</f>
        <v/>
      </c>
      <c r="E154" s="47">
        <f>IFERROR(IF($A154="","",C154/(C154+D154)),0)</f>
        <v/>
      </c>
      <c r="F154" s="43">
        <f>IF($A154="","",TRIM(IF(INDEX(RegDoc1,MATCH($A154,RegCaseNo,0))="N","Affidavit of Complaint; ","")&amp;IF(INDEX(RegDoc2,MATCH($A154,RegCaseNo,0))="N","Sworn Statements; ","")&amp;IF(INDEX(RegDoc3,MATCH($A154,RegCaseNo,0))="N","Police / Incident Report; ","")&amp;IF(INDEX(RegDoc4,MATCH($A154,RegCaseNo,0))="N","Evidence and Exhibits; ","")&amp;IF(INDEX(RegDoc5,MATCH($A154,RegCaseNo,0))="N","Resolution / Information; ","")&amp;IF(INDEX(RegDoc6,MATCH($A154,RegCaseNo,0))="N","Court Order / Docket; ","")&amp;IF(INDEX(RegDoc7,MATCH($A154,RegCaseNo,0))="N","Bail / Bond Records; ","")&amp;IF(INDEX(RegDoc8,MATCH($A154,RegCaseNo,0))="N","Judgment / Order; ","")))</f>
        <v/>
      </c>
      <c r="G154" s="32" t="n"/>
      <c r="H154" s="30" t="n"/>
      <c r="I154" s="31" t="n"/>
      <c r="J154" s="45">
        <f>IF($A154="","",IF(E154=1,"Complete",IF(AND(I154&lt;&gt;"",I154&lt;TODAY(),E154&lt;1),"Follow-up overdue",IF(E154&gt;=0.75,"Minor gaps","Action needed"))))</f>
        <v/>
      </c>
    </row>
    <row r="155" ht="26" customHeight="1">
      <c r="A155" s="30" t="n"/>
      <c r="B155" s="43">
        <f>IFERROR(IF($A155="","",INDEX(RegTitle,MATCH($A155,RegCaseNo,0))),"Case no. not found")</f>
        <v/>
      </c>
      <c r="C155" s="44">
        <f>IF($A155="","",SUMPRODUCT((RegCaseNo=$A155)*((RegDoc1="Y")+(RegDoc2="Y")+(RegDoc3="Y")+(RegDoc4="Y")+(RegDoc5="Y")+(RegDoc6="Y")+(RegDoc7="Y")+(RegDoc8="Y"))))</f>
        <v/>
      </c>
      <c r="D155" s="44">
        <f>IF($A155="","",SUMPRODUCT((RegCaseNo=$A155)*((RegDoc1="N")+(RegDoc2="N")+(RegDoc3="N")+(RegDoc4="N")+(RegDoc5="N")+(RegDoc6="N")+(RegDoc7="N")+(RegDoc8="N"))))</f>
        <v/>
      </c>
      <c r="E155" s="47">
        <f>IFERROR(IF($A155="","",C155/(C155+D155)),0)</f>
        <v/>
      </c>
      <c r="F155" s="43">
        <f>IF($A155="","",TRIM(IF(INDEX(RegDoc1,MATCH($A155,RegCaseNo,0))="N","Affidavit of Complaint; ","")&amp;IF(INDEX(RegDoc2,MATCH($A155,RegCaseNo,0))="N","Sworn Statements; ","")&amp;IF(INDEX(RegDoc3,MATCH($A155,RegCaseNo,0))="N","Police / Incident Report; ","")&amp;IF(INDEX(RegDoc4,MATCH($A155,RegCaseNo,0))="N","Evidence and Exhibits; ","")&amp;IF(INDEX(RegDoc5,MATCH($A155,RegCaseNo,0))="N","Resolution / Information; ","")&amp;IF(INDEX(RegDoc6,MATCH($A155,RegCaseNo,0))="N","Court Order / Docket; ","")&amp;IF(INDEX(RegDoc7,MATCH($A155,RegCaseNo,0))="N","Bail / Bond Records; ","")&amp;IF(INDEX(RegDoc8,MATCH($A155,RegCaseNo,0))="N","Judgment / Order; ","")))</f>
        <v/>
      </c>
      <c r="G155" s="32" t="n"/>
      <c r="H155" s="30" t="n"/>
      <c r="I155" s="31" t="n"/>
      <c r="J155" s="45">
        <f>IF($A155="","",IF(E155=1,"Complete",IF(AND(I155&lt;&gt;"",I155&lt;TODAY(),E155&lt;1),"Follow-up overdue",IF(E155&gt;=0.75,"Minor gaps","Action needed"))))</f>
        <v/>
      </c>
    </row>
    <row r="156" ht="26" customHeight="1">
      <c r="A156" s="30" t="n"/>
      <c r="B156" s="43">
        <f>IFERROR(IF($A156="","",INDEX(RegTitle,MATCH($A156,RegCaseNo,0))),"Case no. not found")</f>
        <v/>
      </c>
      <c r="C156" s="44">
        <f>IF($A156="","",SUMPRODUCT((RegCaseNo=$A156)*((RegDoc1="Y")+(RegDoc2="Y")+(RegDoc3="Y")+(RegDoc4="Y")+(RegDoc5="Y")+(RegDoc6="Y")+(RegDoc7="Y")+(RegDoc8="Y"))))</f>
        <v/>
      </c>
      <c r="D156" s="44">
        <f>IF($A156="","",SUMPRODUCT((RegCaseNo=$A156)*((RegDoc1="N")+(RegDoc2="N")+(RegDoc3="N")+(RegDoc4="N")+(RegDoc5="N")+(RegDoc6="N")+(RegDoc7="N")+(RegDoc8="N"))))</f>
        <v/>
      </c>
      <c r="E156" s="47">
        <f>IFERROR(IF($A156="","",C156/(C156+D156)),0)</f>
        <v/>
      </c>
      <c r="F156" s="43">
        <f>IF($A156="","",TRIM(IF(INDEX(RegDoc1,MATCH($A156,RegCaseNo,0))="N","Affidavit of Complaint; ","")&amp;IF(INDEX(RegDoc2,MATCH($A156,RegCaseNo,0))="N","Sworn Statements; ","")&amp;IF(INDEX(RegDoc3,MATCH($A156,RegCaseNo,0))="N","Police / Incident Report; ","")&amp;IF(INDEX(RegDoc4,MATCH($A156,RegCaseNo,0))="N","Evidence and Exhibits; ","")&amp;IF(INDEX(RegDoc5,MATCH($A156,RegCaseNo,0))="N","Resolution / Information; ","")&amp;IF(INDEX(RegDoc6,MATCH($A156,RegCaseNo,0))="N","Court Order / Docket; ","")&amp;IF(INDEX(RegDoc7,MATCH($A156,RegCaseNo,0))="N","Bail / Bond Records; ","")&amp;IF(INDEX(RegDoc8,MATCH($A156,RegCaseNo,0))="N","Judgment / Order; ","")))</f>
        <v/>
      </c>
      <c r="G156" s="32" t="n"/>
      <c r="H156" s="30" t="n"/>
      <c r="I156" s="31" t="n"/>
      <c r="J156" s="45">
        <f>IF($A156="","",IF(E156=1,"Complete",IF(AND(I156&lt;&gt;"",I156&lt;TODAY(),E156&lt;1),"Follow-up overdue",IF(E156&gt;=0.75,"Minor gaps","Action needed"))))</f>
        <v/>
      </c>
    </row>
    <row r="157" ht="26" customHeight="1">
      <c r="A157" s="30" t="n"/>
      <c r="B157" s="43">
        <f>IFERROR(IF($A157="","",INDEX(RegTitle,MATCH($A157,RegCaseNo,0))),"Case no. not found")</f>
        <v/>
      </c>
      <c r="C157" s="44">
        <f>IF($A157="","",SUMPRODUCT((RegCaseNo=$A157)*((RegDoc1="Y")+(RegDoc2="Y")+(RegDoc3="Y")+(RegDoc4="Y")+(RegDoc5="Y")+(RegDoc6="Y")+(RegDoc7="Y")+(RegDoc8="Y"))))</f>
        <v/>
      </c>
      <c r="D157" s="44">
        <f>IF($A157="","",SUMPRODUCT((RegCaseNo=$A157)*((RegDoc1="N")+(RegDoc2="N")+(RegDoc3="N")+(RegDoc4="N")+(RegDoc5="N")+(RegDoc6="N")+(RegDoc7="N")+(RegDoc8="N"))))</f>
        <v/>
      </c>
      <c r="E157" s="47">
        <f>IFERROR(IF($A157="","",C157/(C157+D157)),0)</f>
        <v/>
      </c>
      <c r="F157" s="43">
        <f>IF($A157="","",TRIM(IF(INDEX(RegDoc1,MATCH($A157,RegCaseNo,0))="N","Affidavit of Complaint; ","")&amp;IF(INDEX(RegDoc2,MATCH($A157,RegCaseNo,0))="N","Sworn Statements; ","")&amp;IF(INDEX(RegDoc3,MATCH($A157,RegCaseNo,0))="N","Police / Incident Report; ","")&amp;IF(INDEX(RegDoc4,MATCH($A157,RegCaseNo,0))="N","Evidence and Exhibits; ","")&amp;IF(INDEX(RegDoc5,MATCH($A157,RegCaseNo,0))="N","Resolution / Information; ","")&amp;IF(INDEX(RegDoc6,MATCH($A157,RegCaseNo,0))="N","Court Order / Docket; ","")&amp;IF(INDEX(RegDoc7,MATCH($A157,RegCaseNo,0))="N","Bail / Bond Records; ","")&amp;IF(INDEX(RegDoc8,MATCH($A157,RegCaseNo,0))="N","Judgment / Order; ","")))</f>
        <v/>
      </c>
      <c r="G157" s="32" t="n"/>
      <c r="H157" s="30" t="n"/>
      <c r="I157" s="31" t="n"/>
      <c r="J157" s="45">
        <f>IF($A157="","",IF(E157=1,"Complete",IF(AND(I157&lt;&gt;"",I157&lt;TODAY(),E157&lt;1),"Follow-up overdue",IF(E157&gt;=0.75,"Minor gaps","Action needed"))))</f>
        <v/>
      </c>
    </row>
    <row r="158" ht="26" customHeight="1">
      <c r="A158" s="30" t="n"/>
      <c r="B158" s="43">
        <f>IFERROR(IF($A158="","",INDEX(RegTitle,MATCH($A158,RegCaseNo,0))),"Case no. not found")</f>
        <v/>
      </c>
      <c r="C158" s="44">
        <f>IF($A158="","",SUMPRODUCT((RegCaseNo=$A158)*((RegDoc1="Y")+(RegDoc2="Y")+(RegDoc3="Y")+(RegDoc4="Y")+(RegDoc5="Y")+(RegDoc6="Y")+(RegDoc7="Y")+(RegDoc8="Y"))))</f>
        <v/>
      </c>
      <c r="D158" s="44">
        <f>IF($A158="","",SUMPRODUCT((RegCaseNo=$A158)*((RegDoc1="N")+(RegDoc2="N")+(RegDoc3="N")+(RegDoc4="N")+(RegDoc5="N")+(RegDoc6="N")+(RegDoc7="N")+(RegDoc8="N"))))</f>
        <v/>
      </c>
      <c r="E158" s="47">
        <f>IFERROR(IF($A158="","",C158/(C158+D158)),0)</f>
        <v/>
      </c>
      <c r="F158" s="43">
        <f>IF($A158="","",TRIM(IF(INDEX(RegDoc1,MATCH($A158,RegCaseNo,0))="N","Affidavit of Complaint; ","")&amp;IF(INDEX(RegDoc2,MATCH($A158,RegCaseNo,0))="N","Sworn Statements; ","")&amp;IF(INDEX(RegDoc3,MATCH($A158,RegCaseNo,0))="N","Police / Incident Report; ","")&amp;IF(INDEX(RegDoc4,MATCH($A158,RegCaseNo,0))="N","Evidence and Exhibits; ","")&amp;IF(INDEX(RegDoc5,MATCH($A158,RegCaseNo,0))="N","Resolution / Information; ","")&amp;IF(INDEX(RegDoc6,MATCH($A158,RegCaseNo,0))="N","Court Order / Docket; ","")&amp;IF(INDEX(RegDoc7,MATCH($A158,RegCaseNo,0))="N","Bail / Bond Records; ","")&amp;IF(INDEX(RegDoc8,MATCH($A158,RegCaseNo,0))="N","Judgment / Order; ","")))</f>
        <v/>
      </c>
      <c r="G158" s="32" t="n"/>
      <c r="H158" s="30" t="n"/>
      <c r="I158" s="31" t="n"/>
      <c r="J158" s="45">
        <f>IF($A158="","",IF(E158=1,"Complete",IF(AND(I158&lt;&gt;"",I158&lt;TODAY(),E158&lt;1),"Follow-up overdue",IF(E158&gt;=0.75,"Minor gaps","Action needed"))))</f>
        <v/>
      </c>
    </row>
    <row r="159" ht="26" customHeight="1">
      <c r="A159" s="30" t="n"/>
      <c r="B159" s="43">
        <f>IFERROR(IF($A159="","",INDEX(RegTitle,MATCH($A159,RegCaseNo,0))),"Case no. not found")</f>
        <v/>
      </c>
      <c r="C159" s="44">
        <f>IF($A159="","",SUMPRODUCT((RegCaseNo=$A159)*((RegDoc1="Y")+(RegDoc2="Y")+(RegDoc3="Y")+(RegDoc4="Y")+(RegDoc5="Y")+(RegDoc6="Y")+(RegDoc7="Y")+(RegDoc8="Y"))))</f>
        <v/>
      </c>
      <c r="D159" s="44">
        <f>IF($A159="","",SUMPRODUCT((RegCaseNo=$A159)*((RegDoc1="N")+(RegDoc2="N")+(RegDoc3="N")+(RegDoc4="N")+(RegDoc5="N")+(RegDoc6="N")+(RegDoc7="N")+(RegDoc8="N"))))</f>
        <v/>
      </c>
      <c r="E159" s="47">
        <f>IFERROR(IF($A159="","",C159/(C159+D159)),0)</f>
        <v/>
      </c>
      <c r="F159" s="43">
        <f>IF($A159="","",TRIM(IF(INDEX(RegDoc1,MATCH($A159,RegCaseNo,0))="N","Affidavit of Complaint; ","")&amp;IF(INDEX(RegDoc2,MATCH($A159,RegCaseNo,0))="N","Sworn Statements; ","")&amp;IF(INDEX(RegDoc3,MATCH($A159,RegCaseNo,0))="N","Police / Incident Report; ","")&amp;IF(INDEX(RegDoc4,MATCH($A159,RegCaseNo,0))="N","Evidence and Exhibits; ","")&amp;IF(INDEX(RegDoc5,MATCH($A159,RegCaseNo,0))="N","Resolution / Information; ","")&amp;IF(INDEX(RegDoc6,MATCH($A159,RegCaseNo,0))="N","Court Order / Docket; ","")&amp;IF(INDEX(RegDoc7,MATCH($A159,RegCaseNo,0))="N","Bail / Bond Records; ","")&amp;IF(INDEX(RegDoc8,MATCH($A159,RegCaseNo,0))="N","Judgment / Order; ","")))</f>
        <v/>
      </c>
      <c r="G159" s="32" t="n"/>
      <c r="H159" s="30" t="n"/>
      <c r="I159" s="31" t="n"/>
      <c r="J159" s="45">
        <f>IF($A159="","",IF(E159=1,"Complete",IF(AND(I159&lt;&gt;"",I159&lt;TODAY(),E159&lt;1),"Follow-up overdue",IF(E159&gt;=0.75,"Minor gaps","Action needed"))))</f>
        <v/>
      </c>
    </row>
    <row r="160" ht="26" customHeight="1">
      <c r="A160" s="30" t="n"/>
      <c r="B160" s="43">
        <f>IFERROR(IF($A160="","",INDEX(RegTitle,MATCH($A160,RegCaseNo,0))),"Case no. not found")</f>
        <v/>
      </c>
      <c r="C160" s="44">
        <f>IF($A160="","",SUMPRODUCT((RegCaseNo=$A160)*((RegDoc1="Y")+(RegDoc2="Y")+(RegDoc3="Y")+(RegDoc4="Y")+(RegDoc5="Y")+(RegDoc6="Y")+(RegDoc7="Y")+(RegDoc8="Y"))))</f>
        <v/>
      </c>
      <c r="D160" s="44">
        <f>IF($A160="","",SUMPRODUCT((RegCaseNo=$A160)*((RegDoc1="N")+(RegDoc2="N")+(RegDoc3="N")+(RegDoc4="N")+(RegDoc5="N")+(RegDoc6="N")+(RegDoc7="N")+(RegDoc8="N"))))</f>
        <v/>
      </c>
      <c r="E160" s="47">
        <f>IFERROR(IF($A160="","",C160/(C160+D160)),0)</f>
        <v/>
      </c>
      <c r="F160" s="43">
        <f>IF($A160="","",TRIM(IF(INDEX(RegDoc1,MATCH($A160,RegCaseNo,0))="N","Affidavit of Complaint; ","")&amp;IF(INDEX(RegDoc2,MATCH($A160,RegCaseNo,0))="N","Sworn Statements; ","")&amp;IF(INDEX(RegDoc3,MATCH($A160,RegCaseNo,0))="N","Police / Incident Report; ","")&amp;IF(INDEX(RegDoc4,MATCH($A160,RegCaseNo,0))="N","Evidence and Exhibits; ","")&amp;IF(INDEX(RegDoc5,MATCH($A160,RegCaseNo,0))="N","Resolution / Information; ","")&amp;IF(INDEX(RegDoc6,MATCH($A160,RegCaseNo,0))="N","Court Order / Docket; ","")&amp;IF(INDEX(RegDoc7,MATCH($A160,RegCaseNo,0))="N","Bail / Bond Records; ","")&amp;IF(INDEX(RegDoc8,MATCH($A160,RegCaseNo,0))="N","Judgment / Order; ","")))</f>
        <v/>
      </c>
      <c r="G160" s="32" t="n"/>
      <c r="H160" s="30" t="n"/>
      <c r="I160" s="31" t="n"/>
      <c r="J160" s="45">
        <f>IF($A160="","",IF(E160=1,"Complete",IF(AND(I160&lt;&gt;"",I160&lt;TODAY(),E160&lt;1),"Follow-up overdue",IF(E160&gt;=0.75,"Minor gaps","Action needed"))))</f>
        <v/>
      </c>
    </row>
    <row r="161" ht="26" customHeight="1">
      <c r="A161" s="30" t="n"/>
      <c r="B161" s="43">
        <f>IFERROR(IF($A161="","",INDEX(RegTitle,MATCH($A161,RegCaseNo,0))),"Case no. not found")</f>
        <v/>
      </c>
      <c r="C161" s="44">
        <f>IF($A161="","",SUMPRODUCT((RegCaseNo=$A161)*((RegDoc1="Y")+(RegDoc2="Y")+(RegDoc3="Y")+(RegDoc4="Y")+(RegDoc5="Y")+(RegDoc6="Y")+(RegDoc7="Y")+(RegDoc8="Y"))))</f>
        <v/>
      </c>
      <c r="D161" s="44">
        <f>IF($A161="","",SUMPRODUCT((RegCaseNo=$A161)*((RegDoc1="N")+(RegDoc2="N")+(RegDoc3="N")+(RegDoc4="N")+(RegDoc5="N")+(RegDoc6="N")+(RegDoc7="N")+(RegDoc8="N"))))</f>
        <v/>
      </c>
      <c r="E161" s="47">
        <f>IFERROR(IF($A161="","",C161/(C161+D161)),0)</f>
        <v/>
      </c>
      <c r="F161" s="43">
        <f>IF($A161="","",TRIM(IF(INDEX(RegDoc1,MATCH($A161,RegCaseNo,0))="N","Affidavit of Complaint; ","")&amp;IF(INDEX(RegDoc2,MATCH($A161,RegCaseNo,0))="N","Sworn Statements; ","")&amp;IF(INDEX(RegDoc3,MATCH($A161,RegCaseNo,0))="N","Police / Incident Report; ","")&amp;IF(INDEX(RegDoc4,MATCH($A161,RegCaseNo,0))="N","Evidence and Exhibits; ","")&amp;IF(INDEX(RegDoc5,MATCH($A161,RegCaseNo,0))="N","Resolution / Information; ","")&amp;IF(INDEX(RegDoc6,MATCH($A161,RegCaseNo,0))="N","Court Order / Docket; ","")&amp;IF(INDEX(RegDoc7,MATCH($A161,RegCaseNo,0))="N","Bail / Bond Records; ","")&amp;IF(INDEX(RegDoc8,MATCH($A161,RegCaseNo,0))="N","Judgment / Order; ","")))</f>
        <v/>
      </c>
      <c r="G161" s="32" t="n"/>
      <c r="H161" s="30" t="n"/>
      <c r="I161" s="31" t="n"/>
      <c r="J161" s="45">
        <f>IF($A161="","",IF(E161=1,"Complete",IF(AND(I161&lt;&gt;"",I161&lt;TODAY(),E161&lt;1),"Follow-up overdue",IF(E161&gt;=0.75,"Minor gaps","Action needed"))))</f>
        <v/>
      </c>
    </row>
    <row r="162" ht="26" customHeight="1">
      <c r="A162" s="30" t="n"/>
      <c r="B162" s="43">
        <f>IFERROR(IF($A162="","",INDEX(RegTitle,MATCH($A162,RegCaseNo,0))),"Case no. not found")</f>
        <v/>
      </c>
      <c r="C162" s="44">
        <f>IF($A162="","",SUMPRODUCT((RegCaseNo=$A162)*((RegDoc1="Y")+(RegDoc2="Y")+(RegDoc3="Y")+(RegDoc4="Y")+(RegDoc5="Y")+(RegDoc6="Y")+(RegDoc7="Y")+(RegDoc8="Y"))))</f>
        <v/>
      </c>
      <c r="D162" s="44">
        <f>IF($A162="","",SUMPRODUCT((RegCaseNo=$A162)*((RegDoc1="N")+(RegDoc2="N")+(RegDoc3="N")+(RegDoc4="N")+(RegDoc5="N")+(RegDoc6="N")+(RegDoc7="N")+(RegDoc8="N"))))</f>
        <v/>
      </c>
      <c r="E162" s="47">
        <f>IFERROR(IF($A162="","",C162/(C162+D162)),0)</f>
        <v/>
      </c>
      <c r="F162" s="43">
        <f>IF($A162="","",TRIM(IF(INDEX(RegDoc1,MATCH($A162,RegCaseNo,0))="N","Affidavit of Complaint; ","")&amp;IF(INDEX(RegDoc2,MATCH($A162,RegCaseNo,0))="N","Sworn Statements; ","")&amp;IF(INDEX(RegDoc3,MATCH($A162,RegCaseNo,0))="N","Police / Incident Report; ","")&amp;IF(INDEX(RegDoc4,MATCH($A162,RegCaseNo,0))="N","Evidence and Exhibits; ","")&amp;IF(INDEX(RegDoc5,MATCH($A162,RegCaseNo,0))="N","Resolution / Information; ","")&amp;IF(INDEX(RegDoc6,MATCH($A162,RegCaseNo,0))="N","Court Order / Docket; ","")&amp;IF(INDEX(RegDoc7,MATCH($A162,RegCaseNo,0))="N","Bail / Bond Records; ","")&amp;IF(INDEX(RegDoc8,MATCH($A162,RegCaseNo,0))="N","Judgment / Order; ","")))</f>
        <v/>
      </c>
      <c r="G162" s="32" t="n"/>
      <c r="H162" s="30" t="n"/>
      <c r="I162" s="31" t="n"/>
      <c r="J162" s="45">
        <f>IF($A162="","",IF(E162=1,"Complete",IF(AND(I162&lt;&gt;"",I162&lt;TODAY(),E162&lt;1),"Follow-up overdue",IF(E162&gt;=0.75,"Minor gaps","Action needed"))))</f>
        <v/>
      </c>
    </row>
    <row r="163" ht="26" customHeight="1">
      <c r="A163" s="30" t="n"/>
      <c r="B163" s="43">
        <f>IFERROR(IF($A163="","",INDEX(RegTitle,MATCH($A163,RegCaseNo,0))),"Case no. not found")</f>
        <v/>
      </c>
      <c r="C163" s="44">
        <f>IF($A163="","",SUMPRODUCT((RegCaseNo=$A163)*((RegDoc1="Y")+(RegDoc2="Y")+(RegDoc3="Y")+(RegDoc4="Y")+(RegDoc5="Y")+(RegDoc6="Y")+(RegDoc7="Y")+(RegDoc8="Y"))))</f>
        <v/>
      </c>
      <c r="D163" s="44">
        <f>IF($A163="","",SUMPRODUCT((RegCaseNo=$A163)*((RegDoc1="N")+(RegDoc2="N")+(RegDoc3="N")+(RegDoc4="N")+(RegDoc5="N")+(RegDoc6="N")+(RegDoc7="N")+(RegDoc8="N"))))</f>
        <v/>
      </c>
      <c r="E163" s="47">
        <f>IFERROR(IF($A163="","",C163/(C163+D163)),0)</f>
        <v/>
      </c>
      <c r="F163" s="43">
        <f>IF($A163="","",TRIM(IF(INDEX(RegDoc1,MATCH($A163,RegCaseNo,0))="N","Affidavit of Complaint; ","")&amp;IF(INDEX(RegDoc2,MATCH($A163,RegCaseNo,0))="N","Sworn Statements; ","")&amp;IF(INDEX(RegDoc3,MATCH($A163,RegCaseNo,0))="N","Police / Incident Report; ","")&amp;IF(INDEX(RegDoc4,MATCH($A163,RegCaseNo,0))="N","Evidence and Exhibits; ","")&amp;IF(INDEX(RegDoc5,MATCH($A163,RegCaseNo,0))="N","Resolution / Information; ","")&amp;IF(INDEX(RegDoc6,MATCH($A163,RegCaseNo,0))="N","Court Order / Docket; ","")&amp;IF(INDEX(RegDoc7,MATCH($A163,RegCaseNo,0))="N","Bail / Bond Records; ","")&amp;IF(INDEX(RegDoc8,MATCH($A163,RegCaseNo,0))="N","Judgment / Order; ","")))</f>
        <v/>
      </c>
      <c r="G163" s="32" t="n"/>
      <c r="H163" s="30" t="n"/>
      <c r="I163" s="31" t="n"/>
      <c r="J163" s="45">
        <f>IF($A163="","",IF(E163=1,"Complete",IF(AND(I163&lt;&gt;"",I163&lt;TODAY(),E163&lt;1),"Follow-up overdue",IF(E163&gt;=0.75,"Minor gaps","Action needed"))))</f>
        <v/>
      </c>
    </row>
    <row r="164" ht="26" customHeight="1">
      <c r="A164" s="30" t="n"/>
      <c r="B164" s="43">
        <f>IFERROR(IF($A164="","",INDEX(RegTitle,MATCH($A164,RegCaseNo,0))),"Case no. not found")</f>
        <v/>
      </c>
      <c r="C164" s="44">
        <f>IF($A164="","",SUMPRODUCT((RegCaseNo=$A164)*((RegDoc1="Y")+(RegDoc2="Y")+(RegDoc3="Y")+(RegDoc4="Y")+(RegDoc5="Y")+(RegDoc6="Y")+(RegDoc7="Y")+(RegDoc8="Y"))))</f>
        <v/>
      </c>
      <c r="D164" s="44">
        <f>IF($A164="","",SUMPRODUCT((RegCaseNo=$A164)*((RegDoc1="N")+(RegDoc2="N")+(RegDoc3="N")+(RegDoc4="N")+(RegDoc5="N")+(RegDoc6="N")+(RegDoc7="N")+(RegDoc8="N"))))</f>
        <v/>
      </c>
      <c r="E164" s="47">
        <f>IFERROR(IF($A164="","",C164/(C164+D164)),0)</f>
        <v/>
      </c>
      <c r="F164" s="43">
        <f>IF($A164="","",TRIM(IF(INDEX(RegDoc1,MATCH($A164,RegCaseNo,0))="N","Affidavit of Complaint; ","")&amp;IF(INDEX(RegDoc2,MATCH($A164,RegCaseNo,0))="N","Sworn Statements; ","")&amp;IF(INDEX(RegDoc3,MATCH($A164,RegCaseNo,0))="N","Police / Incident Report; ","")&amp;IF(INDEX(RegDoc4,MATCH($A164,RegCaseNo,0))="N","Evidence and Exhibits; ","")&amp;IF(INDEX(RegDoc5,MATCH($A164,RegCaseNo,0))="N","Resolution / Information; ","")&amp;IF(INDEX(RegDoc6,MATCH($A164,RegCaseNo,0))="N","Court Order / Docket; ","")&amp;IF(INDEX(RegDoc7,MATCH($A164,RegCaseNo,0))="N","Bail / Bond Records; ","")&amp;IF(INDEX(RegDoc8,MATCH($A164,RegCaseNo,0))="N","Judgment / Order; ","")))</f>
        <v/>
      </c>
      <c r="G164" s="32" t="n"/>
      <c r="H164" s="30" t="n"/>
      <c r="I164" s="31" t="n"/>
      <c r="J164" s="45">
        <f>IF($A164="","",IF(E164=1,"Complete",IF(AND(I164&lt;&gt;"",I164&lt;TODAY(),E164&lt;1),"Follow-up overdue",IF(E164&gt;=0.75,"Minor gaps","Action needed"))))</f>
        <v/>
      </c>
    </row>
    <row r="165" ht="26" customHeight="1">
      <c r="A165" s="30" t="n"/>
      <c r="B165" s="43">
        <f>IFERROR(IF($A165="","",INDEX(RegTitle,MATCH($A165,RegCaseNo,0))),"Case no. not found")</f>
        <v/>
      </c>
      <c r="C165" s="44">
        <f>IF($A165="","",SUMPRODUCT((RegCaseNo=$A165)*((RegDoc1="Y")+(RegDoc2="Y")+(RegDoc3="Y")+(RegDoc4="Y")+(RegDoc5="Y")+(RegDoc6="Y")+(RegDoc7="Y")+(RegDoc8="Y"))))</f>
        <v/>
      </c>
      <c r="D165" s="44">
        <f>IF($A165="","",SUMPRODUCT((RegCaseNo=$A165)*((RegDoc1="N")+(RegDoc2="N")+(RegDoc3="N")+(RegDoc4="N")+(RegDoc5="N")+(RegDoc6="N")+(RegDoc7="N")+(RegDoc8="N"))))</f>
        <v/>
      </c>
      <c r="E165" s="47">
        <f>IFERROR(IF($A165="","",C165/(C165+D165)),0)</f>
        <v/>
      </c>
      <c r="F165" s="43">
        <f>IF($A165="","",TRIM(IF(INDEX(RegDoc1,MATCH($A165,RegCaseNo,0))="N","Affidavit of Complaint; ","")&amp;IF(INDEX(RegDoc2,MATCH($A165,RegCaseNo,0))="N","Sworn Statements; ","")&amp;IF(INDEX(RegDoc3,MATCH($A165,RegCaseNo,0))="N","Police / Incident Report; ","")&amp;IF(INDEX(RegDoc4,MATCH($A165,RegCaseNo,0))="N","Evidence and Exhibits; ","")&amp;IF(INDEX(RegDoc5,MATCH($A165,RegCaseNo,0))="N","Resolution / Information; ","")&amp;IF(INDEX(RegDoc6,MATCH($A165,RegCaseNo,0))="N","Court Order / Docket; ","")&amp;IF(INDEX(RegDoc7,MATCH($A165,RegCaseNo,0))="N","Bail / Bond Records; ","")&amp;IF(INDEX(RegDoc8,MATCH($A165,RegCaseNo,0))="N","Judgment / Order; ","")))</f>
        <v/>
      </c>
      <c r="G165" s="32" t="n"/>
      <c r="H165" s="30" t="n"/>
      <c r="I165" s="31" t="n"/>
      <c r="J165" s="45">
        <f>IF($A165="","",IF(E165=1,"Complete",IF(AND(I165&lt;&gt;"",I165&lt;TODAY(),E165&lt;1),"Follow-up overdue",IF(E165&gt;=0.75,"Minor gaps","Action needed"))))</f>
        <v/>
      </c>
    </row>
    <row r="166" ht="26" customHeight="1">
      <c r="A166" s="30" t="n"/>
      <c r="B166" s="43">
        <f>IFERROR(IF($A166="","",INDEX(RegTitle,MATCH($A166,RegCaseNo,0))),"Case no. not found")</f>
        <v/>
      </c>
      <c r="C166" s="44">
        <f>IF($A166="","",SUMPRODUCT((RegCaseNo=$A166)*((RegDoc1="Y")+(RegDoc2="Y")+(RegDoc3="Y")+(RegDoc4="Y")+(RegDoc5="Y")+(RegDoc6="Y")+(RegDoc7="Y")+(RegDoc8="Y"))))</f>
        <v/>
      </c>
      <c r="D166" s="44">
        <f>IF($A166="","",SUMPRODUCT((RegCaseNo=$A166)*((RegDoc1="N")+(RegDoc2="N")+(RegDoc3="N")+(RegDoc4="N")+(RegDoc5="N")+(RegDoc6="N")+(RegDoc7="N")+(RegDoc8="N"))))</f>
        <v/>
      </c>
      <c r="E166" s="47">
        <f>IFERROR(IF($A166="","",C166/(C166+D166)),0)</f>
        <v/>
      </c>
      <c r="F166" s="43">
        <f>IF($A166="","",TRIM(IF(INDEX(RegDoc1,MATCH($A166,RegCaseNo,0))="N","Affidavit of Complaint; ","")&amp;IF(INDEX(RegDoc2,MATCH($A166,RegCaseNo,0))="N","Sworn Statements; ","")&amp;IF(INDEX(RegDoc3,MATCH($A166,RegCaseNo,0))="N","Police / Incident Report; ","")&amp;IF(INDEX(RegDoc4,MATCH($A166,RegCaseNo,0))="N","Evidence and Exhibits; ","")&amp;IF(INDEX(RegDoc5,MATCH($A166,RegCaseNo,0))="N","Resolution / Information; ","")&amp;IF(INDEX(RegDoc6,MATCH($A166,RegCaseNo,0))="N","Court Order / Docket; ","")&amp;IF(INDEX(RegDoc7,MATCH($A166,RegCaseNo,0))="N","Bail / Bond Records; ","")&amp;IF(INDEX(RegDoc8,MATCH($A166,RegCaseNo,0))="N","Judgment / Order; ","")))</f>
        <v/>
      </c>
      <c r="G166" s="32" t="n"/>
      <c r="H166" s="30" t="n"/>
      <c r="I166" s="31" t="n"/>
      <c r="J166" s="45">
        <f>IF($A166="","",IF(E166=1,"Complete",IF(AND(I166&lt;&gt;"",I166&lt;TODAY(),E166&lt;1),"Follow-up overdue",IF(E166&gt;=0.75,"Minor gaps","Action needed"))))</f>
        <v/>
      </c>
    </row>
    <row r="167" ht="26" customHeight="1">
      <c r="A167" s="30" t="n"/>
      <c r="B167" s="43">
        <f>IFERROR(IF($A167="","",INDEX(RegTitle,MATCH($A167,RegCaseNo,0))),"Case no. not found")</f>
        <v/>
      </c>
      <c r="C167" s="44">
        <f>IF($A167="","",SUMPRODUCT((RegCaseNo=$A167)*((RegDoc1="Y")+(RegDoc2="Y")+(RegDoc3="Y")+(RegDoc4="Y")+(RegDoc5="Y")+(RegDoc6="Y")+(RegDoc7="Y")+(RegDoc8="Y"))))</f>
        <v/>
      </c>
      <c r="D167" s="44">
        <f>IF($A167="","",SUMPRODUCT((RegCaseNo=$A167)*((RegDoc1="N")+(RegDoc2="N")+(RegDoc3="N")+(RegDoc4="N")+(RegDoc5="N")+(RegDoc6="N")+(RegDoc7="N")+(RegDoc8="N"))))</f>
        <v/>
      </c>
      <c r="E167" s="47">
        <f>IFERROR(IF($A167="","",C167/(C167+D167)),0)</f>
        <v/>
      </c>
      <c r="F167" s="43">
        <f>IF($A167="","",TRIM(IF(INDEX(RegDoc1,MATCH($A167,RegCaseNo,0))="N","Affidavit of Complaint; ","")&amp;IF(INDEX(RegDoc2,MATCH($A167,RegCaseNo,0))="N","Sworn Statements; ","")&amp;IF(INDEX(RegDoc3,MATCH($A167,RegCaseNo,0))="N","Police / Incident Report; ","")&amp;IF(INDEX(RegDoc4,MATCH($A167,RegCaseNo,0))="N","Evidence and Exhibits; ","")&amp;IF(INDEX(RegDoc5,MATCH($A167,RegCaseNo,0))="N","Resolution / Information; ","")&amp;IF(INDEX(RegDoc6,MATCH($A167,RegCaseNo,0))="N","Court Order / Docket; ","")&amp;IF(INDEX(RegDoc7,MATCH($A167,RegCaseNo,0))="N","Bail / Bond Records; ","")&amp;IF(INDEX(RegDoc8,MATCH($A167,RegCaseNo,0))="N","Judgment / Order; ","")))</f>
        <v/>
      </c>
      <c r="G167" s="32" t="n"/>
      <c r="H167" s="30" t="n"/>
      <c r="I167" s="31" t="n"/>
      <c r="J167" s="45">
        <f>IF($A167="","",IF(E167=1,"Complete",IF(AND(I167&lt;&gt;"",I167&lt;TODAY(),E167&lt;1),"Follow-up overdue",IF(E167&gt;=0.75,"Minor gaps","Action needed"))))</f>
        <v/>
      </c>
    </row>
    <row r="168" ht="26" customHeight="1">
      <c r="A168" s="30" t="n"/>
      <c r="B168" s="43">
        <f>IFERROR(IF($A168="","",INDEX(RegTitle,MATCH($A168,RegCaseNo,0))),"Case no. not found")</f>
        <v/>
      </c>
      <c r="C168" s="44">
        <f>IF($A168="","",SUMPRODUCT((RegCaseNo=$A168)*((RegDoc1="Y")+(RegDoc2="Y")+(RegDoc3="Y")+(RegDoc4="Y")+(RegDoc5="Y")+(RegDoc6="Y")+(RegDoc7="Y")+(RegDoc8="Y"))))</f>
        <v/>
      </c>
      <c r="D168" s="44">
        <f>IF($A168="","",SUMPRODUCT((RegCaseNo=$A168)*((RegDoc1="N")+(RegDoc2="N")+(RegDoc3="N")+(RegDoc4="N")+(RegDoc5="N")+(RegDoc6="N")+(RegDoc7="N")+(RegDoc8="N"))))</f>
        <v/>
      </c>
      <c r="E168" s="47">
        <f>IFERROR(IF($A168="","",C168/(C168+D168)),0)</f>
        <v/>
      </c>
      <c r="F168" s="43">
        <f>IF($A168="","",TRIM(IF(INDEX(RegDoc1,MATCH($A168,RegCaseNo,0))="N","Affidavit of Complaint; ","")&amp;IF(INDEX(RegDoc2,MATCH($A168,RegCaseNo,0))="N","Sworn Statements; ","")&amp;IF(INDEX(RegDoc3,MATCH($A168,RegCaseNo,0))="N","Police / Incident Report; ","")&amp;IF(INDEX(RegDoc4,MATCH($A168,RegCaseNo,0))="N","Evidence and Exhibits; ","")&amp;IF(INDEX(RegDoc5,MATCH($A168,RegCaseNo,0))="N","Resolution / Information; ","")&amp;IF(INDEX(RegDoc6,MATCH($A168,RegCaseNo,0))="N","Court Order / Docket; ","")&amp;IF(INDEX(RegDoc7,MATCH($A168,RegCaseNo,0))="N","Bail / Bond Records; ","")&amp;IF(INDEX(RegDoc8,MATCH($A168,RegCaseNo,0))="N","Judgment / Order; ","")))</f>
        <v/>
      </c>
      <c r="G168" s="32" t="n"/>
      <c r="H168" s="30" t="n"/>
      <c r="I168" s="31" t="n"/>
      <c r="J168" s="45">
        <f>IF($A168="","",IF(E168=1,"Complete",IF(AND(I168&lt;&gt;"",I168&lt;TODAY(),E168&lt;1),"Follow-up overdue",IF(E168&gt;=0.75,"Minor gaps","Action needed"))))</f>
        <v/>
      </c>
    </row>
    <row r="169" ht="26" customHeight="1">
      <c r="A169" s="30" t="n"/>
      <c r="B169" s="43">
        <f>IFERROR(IF($A169="","",INDEX(RegTitle,MATCH($A169,RegCaseNo,0))),"Case no. not found")</f>
        <v/>
      </c>
      <c r="C169" s="44">
        <f>IF($A169="","",SUMPRODUCT((RegCaseNo=$A169)*((RegDoc1="Y")+(RegDoc2="Y")+(RegDoc3="Y")+(RegDoc4="Y")+(RegDoc5="Y")+(RegDoc6="Y")+(RegDoc7="Y")+(RegDoc8="Y"))))</f>
        <v/>
      </c>
      <c r="D169" s="44">
        <f>IF($A169="","",SUMPRODUCT((RegCaseNo=$A169)*((RegDoc1="N")+(RegDoc2="N")+(RegDoc3="N")+(RegDoc4="N")+(RegDoc5="N")+(RegDoc6="N")+(RegDoc7="N")+(RegDoc8="N"))))</f>
        <v/>
      </c>
      <c r="E169" s="47">
        <f>IFERROR(IF($A169="","",C169/(C169+D169)),0)</f>
        <v/>
      </c>
      <c r="F169" s="43">
        <f>IF($A169="","",TRIM(IF(INDEX(RegDoc1,MATCH($A169,RegCaseNo,0))="N","Affidavit of Complaint; ","")&amp;IF(INDEX(RegDoc2,MATCH($A169,RegCaseNo,0))="N","Sworn Statements; ","")&amp;IF(INDEX(RegDoc3,MATCH($A169,RegCaseNo,0))="N","Police / Incident Report; ","")&amp;IF(INDEX(RegDoc4,MATCH($A169,RegCaseNo,0))="N","Evidence and Exhibits; ","")&amp;IF(INDEX(RegDoc5,MATCH($A169,RegCaseNo,0))="N","Resolution / Information; ","")&amp;IF(INDEX(RegDoc6,MATCH($A169,RegCaseNo,0))="N","Court Order / Docket; ","")&amp;IF(INDEX(RegDoc7,MATCH($A169,RegCaseNo,0))="N","Bail / Bond Records; ","")&amp;IF(INDEX(RegDoc8,MATCH($A169,RegCaseNo,0))="N","Judgment / Order; ","")))</f>
        <v/>
      </c>
      <c r="G169" s="32" t="n"/>
      <c r="H169" s="30" t="n"/>
      <c r="I169" s="31" t="n"/>
      <c r="J169" s="45">
        <f>IF($A169="","",IF(E169=1,"Complete",IF(AND(I169&lt;&gt;"",I169&lt;TODAY(),E169&lt;1),"Follow-up overdue",IF(E169&gt;=0.75,"Minor gaps","Action needed"))))</f>
        <v/>
      </c>
    </row>
    <row r="170" ht="26" customHeight="1">
      <c r="A170" s="30" t="n"/>
      <c r="B170" s="43">
        <f>IFERROR(IF($A170="","",INDEX(RegTitle,MATCH($A170,RegCaseNo,0))),"Case no. not found")</f>
        <v/>
      </c>
      <c r="C170" s="44">
        <f>IF($A170="","",SUMPRODUCT((RegCaseNo=$A170)*((RegDoc1="Y")+(RegDoc2="Y")+(RegDoc3="Y")+(RegDoc4="Y")+(RegDoc5="Y")+(RegDoc6="Y")+(RegDoc7="Y")+(RegDoc8="Y"))))</f>
        <v/>
      </c>
      <c r="D170" s="44">
        <f>IF($A170="","",SUMPRODUCT((RegCaseNo=$A170)*((RegDoc1="N")+(RegDoc2="N")+(RegDoc3="N")+(RegDoc4="N")+(RegDoc5="N")+(RegDoc6="N")+(RegDoc7="N")+(RegDoc8="N"))))</f>
        <v/>
      </c>
      <c r="E170" s="47">
        <f>IFERROR(IF($A170="","",C170/(C170+D170)),0)</f>
        <v/>
      </c>
      <c r="F170" s="43">
        <f>IF($A170="","",TRIM(IF(INDEX(RegDoc1,MATCH($A170,RegCaseNo,0))="N","Affidavit of Complaint; ","")&amp;IF(INDEX(RegDoc2,MATCH($A170,RegCaseNo,0))="N","Sworn Statements; ","")&amp;IF(INDEX(RegDoc3,MATCH($A170,RegCaseNo,0))="N","Police / Incident Report; ","")&amp;IF(INDEX(RegDoc4,MATCH($A170,RegCaseNo,0))="N","Evidence and Exhibits; ","")&amp;IF(INDEX(RegDoc5,MATCH($A170,RegCaseNo,0))="N","Resolution / Information; ","")&amp;IF(INDEX(RegDoc6,MATCH($A170,RegCaseNo,0))="N","Court Order / Docket; ","")&amp;IF(INDEX(RegDoc7,MATCH($A170,RegCaseNo,0))="N","Bail / Bond Records; ","")&amp;IF(INDEX(RegDoc8,MATCH($A170,RegCaseNo,0))="N","Judgment / Order; ","")))</f>
        <v/>
      </c>
      <c r="G170" s="32" t="n"/>
      <c r="H170" s="30" t="n"/>
      <c r="I170" s="31" t="n"/>
      <c r="J170" s="45">
        <f>IF($A170="","",IF(E170=1,"Complete",IF(AND(I170&lt;&gt;"",I170&lt;TODAY(),E170&lt;1),"Follow-up overdue",IF(E170&gt;=0.75,"Minor gaps","Action needed"))))</f>
        <v/>
      </c>
    </row>
    <row r="171" ht="26" customHeight="1">
      <c r="A171" s="30" t="n"/>
      <c r="B171" s="43">
        <f>IFERROR(IF($A171="","",INDEX(RegTitle,MATCH($A171,RegCaseNo,0))),"Case no. not found")</f>
        <v/>
      </c>
      <c r="C171" s="44">
        <f>IF($A171="","",SUMPRODUCT((RegCaseNo=$A171)*((RegDoc1="Y")+(RegDoc2="Y")+(RegDoc3="Y")+(RegDoc4="Y")+(RegDoc5="Y")+(RegDoc6="Y")+(RegDoc7="Y")+(RegDoc8="Y"))))</f>
        <v/>
      </c>
      <c r="D171" s="44">
        <f>IF($A171="","",SUMPRODUCT((RegCaseNo=$A171)*((RegDoc1="N")+(RegDoc2="N")+(RegDoc3="N")+(RegDoc4="N")+(RegDoc5="N")+(RegDoc6="N")+(RegDoc7="N")+(RegDoc8="N"))))</f>
        <v/>
      </c>
      <c r="E171" s="47">
        <f>IFERROR(IF($A171="","",C171/(C171+D171)),0)</f>
        <v/>
      </c>
      <c r="F171" s="43">
        <f>IF($A171="","",TRIM(IF(INDEX(RegDoc1,MATCH($A171,RegCaseNo,0))="N","Affidavit of Complaint; ","")&amp;IF(INDEX(RegDoc2,MATCH($A171,RegCaseNo,0))="N","Sworn Statements; ","")&amp;IF(INDEX(RegDoc3,MATCH($A171,RegCaseNo,0))="N","Police / Incident Report; ","")&amp;IF(INDEX(RegDoc4,MATCH($A171,RegCaseNo,0))="N","Evidence and Exhibits; ","")&amp;IF(INDEX(RegDoc5,MATCH($A171,RegCaseNo,0))="N","Resolution / Information; ","")&amp;IF(INDEX(RegDoc6,MATCH($A171,RegCaseNo,0))="N","Court Order / Docket; ","")&amp;IF(INDEX(RegDoc7,MATCH($A171,RegCaseNo,0))="N","Bail / Bond Records; ","")&amp;IF(INDEX(RegDoc8,MATCH($A171,RegCaseNo,0))="N","Judgment / Order; ","")))</f>
        <v/>
      </c>
      <c r="G171" s="32" t="n"/>
      <c r="H171" s="30" t="n"/>
      <c r="I171" s="31" t="n"/>
      <c r="J171" s="45">
        <f>IF($A171="","",IF(E171=1,"Complete",IF(AND(I171&lt;&gt;"",I171&lt;TODAY(),E171&lt;1),"Follow-up overdue",IF(E171&gt;=0.75,"Minor gaps","Action needed"))))</f>
        <v/>
      </c>
    </row>
    <row r="172" ht="26" customHeight="1">
      <c r="A172" s="30" t="n"/>
      <c r="B172" s="43">
        <f>IFERROR(IF($A172="","",INDEX(RegTitle,MATCH($A172,RegCaseNo,0))),"Case no. not found")</f>
        <v/>
      </c>
      <c r="C172" s="44">
        <f>IF($A172="","",SUMPRODUCT((RegCaseNo=$A172)*((RegDoc1="Y")+(RegDoc2="Y")+(RegDoc3="Y")+(RegDoc4="Y")+(RegDoc5="Y")+(RegDoc6="Y")+(RegDoc7="Y")+(RegDoc8="Y"))))</f>
        <v/>
      </c>
      <c r="D172" s="44">
        <f>IF($A172="","",SUMPRODUCT((RegCaseNo=$A172)*((RegDoc1="N")+(RegDoc2="N")+(RegDoc3="N")+(RegDoc4="N")+(RegDoc5="N")+(RegDoc6="N")+(RegDoc7="N")+(RegDoc8="N"))))</f>
        <v/>
      </c>
      <c r="E172" s="47">
        <f>IFERROR(IF($A172="","",C172/(C172+D172)),0)</f>
        <v/>
      </c>
      <c r="F172" s="43">
        <f>IF($A172="","",TRIM(IF(INDEX(RegDoc1,MATCH($A172,RegCaseNo,0))="N","Affidavit of Complaint; ","")&amp;IF(INDEX(RegDoc2,MATCH($A172,RegCaseNo,0))="N","Sworn Statements; ","")&amp;IF(INDEX(RegDoc3,MATCH($A172,RegCaseNo,0))="N","Police / Incident Report; ","")&amp;IF(INDEX(RegDoc4,MATCH($A172,RegCaseNo,0))="N","Evidence and Exhibits; ","")&amp;IF(INDEX(RegDoc5,MATCH($A172,RegCaseNo,0))="N","Resolution / Information; ","")&amp;IF(INDEX(RegDoc6,MATCH($A172,RegCaseNo,0))="N","Court Order / Docket; ","")&amp;IF(INDEX(RegDoc7,MATCH($A172,RegCaseNo,0))="N","Bail / Bond Records; ","")&amp;IF(INDEX(RegDoc8,MATCH($A172,RegCaseNo,0))="N","Judgment / Order; ","")))</f>
        <v/>
      </c>
      <c r="G172" s="32" t="n"/>
      <c r="H172" s="30" t="n"/>
      <c r="I172" s="31" t="n"/>
      <c r="J172" s="45">
        <f>IF($A172="","",IF(E172=1,"Complete",IF(AND(I172&lt;&gt;"",I172&lt;TODAY(),E172&lt;1),"Follow-up overdue",IF(E172&gt;=0.75,"Minor gaps","Action needed"))))</f>
        <v/>
      </c>
    </row>
    <row r="173" ht="26" customHeight="1">
      <c r="A173" s="30" t="n"/>
      <c r="B173" s="43">
        <f>IFERROR(IF($A173="","",INDEX(RegTitle,MATCH($A173,RegCaseNo,0))),"Case no. not found")</f>
        <v/>
      </c>
      <c r="C173" s="44">
        <f>IF($A173="","",SUMPRODUCT((RegCaseNo=$A173)*((RegDoc1="Y")+(RegDoc2="Y")+(RegDoc3="Y")+(RegDoc4="Y")+(RegDoc5="Y")+(RegDoc6="Y")+(RegDoc7="Y")+(RegDoc8="Y"))))</f>
        <v/>
      </c>
      <c r="D173" s="44">
        <f>IF($A173="","",SUMPRODUCT((RegCaseNo=$A173)*((RegDoc1="N")+(RegDoc2="N")+(RegDoc3="N")+(RegDoc4="N")+(RegDoc5="N")+(RegDoc6="N")+(RegDoc7="N")+(RegDoc8="N"))))</f>
        <v/>
      </c>
      <c r="E173" s="47">
        <f>IFERROR(IF($A173="","",C173/(C173+D173)),0)</f>
        <v/>
      </c>
      <c r="F173" s="43">
        <f>IF($A173="","",TRIM(IF(INDEX(RegDoc1,MATCH($A173,RegCaseNo,0))="N","Affidavit of Complaint; ","")&amp;IF(INDEX(RegDoc2,MATCH($A173,RegCaseNo,0))="N","Sworn Statements; ","")&amp;IF(INDEX(RegDoc3,MATCH($A173,RegCaseNo,0))="N","Police / Incident Report; ","")&amp;IF(INDEX(RegDoc4,MATCH($A173,RegCaseNo,0))="N","Evidence and Exhibits; ","")&amp;IF(INDEX(RegDoc5,MATCH($A173,RegCaseNo,0))="N","Resolution / Information; ","")&amp;IF(INDEX(RegDoc6,MATCH($A173,RegCaseNo,0))="N","Court Order / Docket; ","")&amp;IF(INDEX(RegDoc7,MATCH($A173,RegCaseNo,0))="N","Bail / Bond Records; ","")&amp;IF(INDEX(RegDoc8,MATCH($A173,RegCaseNo,0))="N","Judgment / Order; ","")))</f>
        <v/>
      </c>
      <c r="G173" s="32" t="n"/>
      <c r="H173" s="30" t="n"/>
      <c r="I173" s="31" t="n"/>
      <c r="J173" s="45">
        <f>IF($A173="","",IF(E173=1,"Complete",IF(AND(I173&lt;&gt;"",I173&lt;TODAY(),E173&lt;1),"Follow-up overdue",IF(E173&gt;=0.75,"Minor gaps","Action needed"))))</f>
        <v/>
      </c>
    </row>
    <row r="174" ht="26" customHeight="1">
      <c r="A174" s="30" t="n"/>
      <c r="B174" s="43">
        <f>IFERROR(IF($A174="","",INDEX(RegTitle,MATCH($A174,RegCaseNo,0))),"Case no. not found")</f>
        <v/>
      </c>
      <c r="C174" s="44">
        <f>IF($A174="","",SUMPRODUCT((RegCaseNo=$A174)*((RegDoc1="Y")+(RegDoc2="Y")+(RegDoc3="Y")+(RegDoc4="Y")+(RegDoc5="Y")+(RegDoc6="Y")+(RegDoc7="Y")+(RegDoc8="Y"))))</f>
        <v/>
      </c>
      <c r="D174" s="44">
        <f>IF($A174="","",SUMPRODUCT((RegCaseNo=$A174)*((RegDoc1="N")+(RegDoc2="N")+(RegDoc3="N")+(RegDoc4="N")+(RegDoc5="N")+(RegDoc6="N")+(RegDoc7="N")+(RegDoc8="N"))))</f>
        <v/>
      </c>
      <c r="E174" s="47">
        <f>IFERROR(IF($A174="","",C174/(C174+D174)),0)</f>
        <v/>
      </c>
      <c r="F174" s="43">
        <f>IF($A174="","",TRIM(IF(INDEX(RegDoc1,MATCH($A174,RegCaseNo,0))="N","Affidavit of Complaint; ","")&amp;IF(INDEX(RegDoc2,MATCH($A174,RegCaseNo,0))="N","Sworn Statements; ","")&amp;IF(INDEX(RegDoc3,MATCH($A174,RegCaseNo,0))="N","Police / Incident Report; ","")&amp;IF(INDEX(RegDoc4,MATCH($A174,RegCaseNo,0))="N","Evidence and Exhibits; ","")&amp;IF(INDEX(RegDoc5,MATCH($A174,RegCaseNo,0))="N","Resolution / Information; ","")&amp;IF(INDEX(RegDoc6,MATCH($A174,RegCaseNo,0))="N","Court Order / Docket; ","")&amp;IF(INDEX(RegDoc7,MATCH($A174,RegCaseNo,0))="N","Bail / Bond Records; ","")&amp;IF(INDEX(RegDoc8,MATCH($A174,RegCaseNo,0))="N","Judgment / Order; ","")))</f>
        <v/>
      </c>
      <c r="G174" s="32" t="n"/>
      <c r="H174" s="30" t="n"/>
      <c r="I174" s="31" t="n"/>
      <c r="J174" s="45">
        <f>IF($A174="","",IF(E174=1,"Complete",IF(AND(I174&lt;&gt;"",I174&lt;TODAY(),E174&lt;1),"Follow-up overdue",IF(E174&gt;=0.75,"Minor gaps","Action needed"))))</f>
        <v/>
      </c>
    </row>
    <row r="175" ht="26" customHeight="1">
      <c r="A175" s="30" t="n"/>
      <c r="B175" s="43">
        <f>IFERROR(IF($A175="","",INDEX(RegTitle,MATCH($A175,RegCaseNo,0))),"Case no. not found")</f>
        <v/>
      </c>
      <c r="C175" s="44">
        <f>IF($A175="","",SUMPRODUCT((RegCaseNo=$A175)*((RegDoc1="Y")+(RegDoc2="Y")+(RegDoc3="Y")+(RegDoc4="Y")+(RegDoc5="Y")+(RegDoc6="Y")+(RegDoc7="Y")+(RegDoc8="Y"))))</f>
        <v/>
      </c>
      <c r="D175" s="44">
        <f>IF($A175="","",SUMPRODUCT((RegCaseNo=$A175)*((RegDoc1="N")+(RegDoc2="N")+(RegDoc3="N")+(RegDoc4="N")+(RegDoc5="N")+(RegDoc6="N")+(RegDoc7="N")+(RegDoc8="N"))))</f>
        <v/>
      </c>
      <c r="E175" s="47">
        <f>IFERROR(IF($A175="","",C175/(C175+D175)),0)</f>
        <v/>
      </c>
      <c r="F175" s="43">
        <f>IF($A175="","",TRIM(IF(INDEX(RegDoc1,MATCH($A175,RegCaseNo,0))="N","Affidavit of Complaint; ","")&amp;IF(INDEX(RegDoc2,MATCH($A175,RegCaseNo,0))="N","Sworn Statements; ","")&amp;IF(INDEX(RegDoc3,MATCH($A175,RegCaseNo,0))="N","Police / Incident Report; ","")&amp;IF(INDEX(RegDoc4,MATCH($A175,RegCaseNo,0))="N","Evidence and Exhibits; ","")&amp;IF(INDEX(RegDoc5,MATCH($A175,RegCaseNo,0))="N","Resolution / Information; ","")&amp;IF(INDEX(RegDoc6,MATCH($A175,RegCaseNo,0))="N","Court Order / Docket; ","")&amp;IF(INDEX(RegDoc7,MATCH($A175,RegCaseNo,0))="N","Bail / Bond Records; ","")&amp;IF(INDEX(RegDoc8,MATCH($A175,RegCaseNo,0))="N","Judgment / Order; ","")))</f>
        <v/>
      </c>
      <c r="G175" s="32" t="n"/>
      <c r="H175" s="30" t="n"/>
      <c r="I175" s="31" t="n"/>
      <c r="J175" s="45">
        <f>IF($A175="","",IF(E175=1,"Complete",IF(AND(I175&lt;&gt;"",I175&lt;TODAY(),E175&lt;1),"Follow-up overdue",IF(E175&gt;=0.75,"Minor gaps","Action needed"))))</f>
        <v/>
      </c>
    </row>
    <row r="176" ht="26" customHeight="1">
      <c r="A176" s="30" t="n"/>
      <c r="B176" s="43">
        <f>IFERROR(IF($A176="","",INDEX(RegTitle,MATCH($A176,RegCaseNo,0))),"Case no. not found")</f>
        <v/>
      </c>
      <c r="C176" s="44">
        <f>IF($A176="","",SUMPRODUCT((RegCaseNo=$A176)*((RegDoc1="Y")+(RegDoc2="Y")+(RegDoc3="Y")+(RegDoc4="Y")+(RegDoc5="Y")+(RegDoc6="Y")+(RegDoc7="Y")+(RegDoc8="Y"))))</f>
        <v/>
      </c>
      <c r="D176" s="44">
        <f>IF($A176="","",SUMPRODUCT((RegCaseNo=$A176)*((RegDoc1="N")+(RegDoc2="N")+(RegDoc3="N")+(RegDoc4="N")+(RegDoc5="N")+(RegDoc6="N")+(RegDoc7="N")+(RegDoc8="N"))))</f>
        <v/>
      </c>
      <c r="E176" s="47">
        <f>IFERROR(IF($A176="","",C176/(C176+D176)),0)</f>
        <v/>
      </c>
      <c r="F176" s="43">
        <f>IF($A176="","",TRIM(IF(INDEX(RegDoc1,MATCH($A176,RegCaseNo,0))="N","Affidavit of Complaint; ","")&amp;IF(INDEX(RegDoc2,MATCH($A176,RegCaseNo,0))="N","Sworn Statements; ","")&amp;IF(INDEX(RegDoc3,MATCH($A176,RegCaseNo,0))="N","Police / Incident Report; ","")&amp;IF(INDEX(RegDoc4,MATCH($A176,RegCaseNo,0))="N","Evidence and Exhibits; ","")&amp;IF(INDEX(RegDoc5,MATCH($A176,RegCaseNo,0))="N","Resolution / Information; ","")&amp;IF(INDEX(RegDoc6,MATCH($A176,RegCaseNo,0))="N","Court Order / Docket; ","")&amp;IF(INDEX(RegDoc7,MATCH($A176,RegCaseNo,0))="N","Bail / Bond Records; ","")&amp;IF(INDEX(RegDoc8,MATCH($A176,RegCaseNo,0))="N","Judgment / Order; ","")))</f>
        <v/>
      </c>
      <c r="G176" s="32" t="n"/>
      <c r="H176" s="30" t="n"/>
      <c r="I176" s="31" t="n"/>
      <c r="J176" s="45">
        <f>IF($A176="","",IF(E176=1,"Complete",IF(AND(I176&lt;&gt;"",I176&lt;TODAY(),E176&lt;1),"Follow-up overdue",IF(E176&gt;=0.75,"Minor gaps","Action needed"))))</f>
        <v/>
      </c>
    </row>
    <row r="177" ht="26" customHeight="1">
      <c r="A177" s="30" t="n"/>
      <c r="B177" s="43">
        <f>IFERROR(IF($A177="","",INDEX(RegTitle,MATCH($A177,RegCaseNo,0))),"Case no. not found")</f>
        <v/>
      </c>
      <c r="C177" s="44">
        <f>IF($A177="","",SUMPRODUCT((RegCaseNo=$A177)*((RegDoc1="Y")+(RegDoc2="Y")+(RegDoc3="Y")+(RegDoc4="Y")+(RegDoc5="Y")+(RegDoc6="Y")+(RegDoc7="Y")+(RegDoc8="Y"))))</f>
        <v/>
      </c>
      <c r="D177" s="44">
        <f>IF($A177="","",SUMPRODUCT((RegCaseNo=$A177)*((RegDoc1="N")+(RegDoc2="N")+(RegDoc3="N")+(RegDoc4="N")+(RegDoc5="N")+(RegDoc6="N")+(RegDoc7="N")+(RegDoc8="N"))))</f>
        <v/>
      </c>
      <c r="E177" s="47">
        <f>IFERROR(IF($A177="","",C177/(C177+D177)),0)</f>
        <v/>
      </c>
      <c r="F177" s="43">
        <f>IF($A177="","",TRIM(IF(INDEX(RegDoc1,MATCH($A177,RegCaseNo,0))="N","Affidavit of Complaint; ","")&amp;IF(INDEX(RegDoc2,MATCH($A177,RegCaseNo,0))="N","Sworn Statements; ","")&amp;IF(INDEX(RegDoc3,MATCH($A177,RegCaseNo,0))="N","Police / Incident Report; ","")&amp;IF(INDEX(RegDoc4,MATCH($A177,RegCaseNo,0))="N","Evidence and Exhibits; ","")&amp;IF(INDEX(RegDoc5,MATCH($A177,RegCaseNo,0))="N","Resolution / Information; ","")&amp;IF(INDEX(RegDoc6,MATCH($A177,RegCaseNo,0))="N","Court Order / Docket; ","")&amp;IF(INDEX(RegDoc7,MATCH($A177,RegCaseNo,0))="N","Bail / Bond Records; ","")&amp;IF(INDEX(RegDoc8,MATCH($A177,RegCaseNo,0))="N","Judgment / Order; ","")))</f>
        <v/>
      </c>
      <c r="G177" s="32" t="n"/>
      <c r="H177" s="30" t="n"/>
      <c r="I177" s="31" t="n"/>
      <c r="J177" s="45">
        <f>IF($A177="","",IF(E177=1,"Complete",IF(AND(I177&lt;&gt;"",I177&lt;TODAY(),E177&lt;1),"Follow-up overdue",IF(E177&gt;=0.75,"Minor gaps","Action needed"))))</f>
        <v/>
      </c>
    </row>
    <row r="178" ht="26" customHeight="1">
      <c r="A178" s="30" t="n"/>
      <c r="B178" s="43">
        <f>IFERROR(IF($A178="","",INDEX(RegTitle,MATCH($A178,RegCaseNo,0))),"Case no. not found")</f>
        <v/>
      </c>
      <c r="C178" s="44">
        <f>IF($A178="","",SUMPRODUCT((RegCaseNo=$A178)*((RegDoc1="Y")+(RegDoc2="Y")+(RegDoc3="Y")+(RegDoc4="Y")+(RegDoc5="Y")+(RegDoc6="Y")+(RegDoc7="Y")+(RegDoc8="Y"))))</f>
        <v/>
      </c>
      <c r="D178" s="44">
        <f>IF($A178="","",SUMPRODUCT((RegCaseNo=$A178)*((RegDoc1="N")+(RegDoc2="N")+(RegDoc3="N")+(RegDoc4="N")+(RegDoc5="N")+(RegDoc6="N")+(RegDoc7="N")+(RegDoc8="N"))))</f>
        <v/>
      </c>
      <c r="E178" s="47">
        <f>IFERROR(IF($A178="","",C178/(C178+D178)),0)</f>
        <v/>
      </c>
      <c r="F178" s="43">
        <f>IF($A178="","",TRIM(IF(INDEX(RegDoc1,MATCH($A178,RegCaseNo,0))="N","Affidavit of Complaint; ","")&amp;IF(INDEX(RegDoc2,MATCH($A178,RegCaseNo,0))="N","Sworn Statements; ","")&amp;IF(INDEX(RegDoc3,MATCH($A178,RegCaseNo,0))="N","Police / Incident Report; ","")&amp;IF(INDEX(RegDoc4,MATCH($A178,RegCaseNo,0))="N","Evidence and Exhibits; ","")&amp;IF(INDEX(RegDoc5,MATCH($A178,RegCaseNo,0))="N","Resolution / Information; ","")&amp;IF(INDEX(RegDoc6,MATCH($A178,RegCaseNo,0))="N","Court Order / Docket; ","")&amp;IF(INDEX(RegDoc7,MATCH($A178,RegCaseNo,0))="N","Bail / Bond Records; ","")&amp;IF(INDEX(RegDoc8,MATCH($A178,RegCaseNo,0))="N","Judgment / Order; ","")))</f>
        <v/>
      </c>
      <c r="G178" s="32" t="n"/>
      <c r="H178" s="30" t="n"/>
      <c r="I178" s="31" t="n"/>
      <c r="J178" s="45">
        <f>IF($A178="","",IF(E178=1,"Complete",IF(AND(I178&lt;&gt;"",I178&lt;TODAY(),E178&lt;1),"Follow-up overdue",IF(E178&gt;=0.75,"Minor gaps","Action needed"))))</f>
        <v/>
      </c>
    </row>
    <row r="179" ht="26" customHeight="1">
      <c r="A179" s="30" t="n"/>
      <c r="B179" s="43">
        <f>IFERROR(IF($A179="","",INDEX(RegTitle,MATCH($A179,RegCaseNo,0))),"Case no. not found")</f>
        <v/>
      </c>
      <c r="C179" s="44">
        <f>IF($A179="","",SUMPRODUCT((RegCaseNo=$A179)*((RegDoc1="Y")+(RegDoc2="Y")+(RegDoc3="Y")+(RegDoc4="Y")+(RegDoc5="Y")+(RegDoc6="Y")+(RegDoc7="Y")+(RegDoc8="Y"))))</f>
        <v/>
      </c>
      <c r="D179" s="44">
        <f>IF($A179="","",SUMPRODUCT((RegCaseNo=$A179)*((RegDoc1="N")+(RegDoc2="N")+(RegDoc3="N")+(RegDoc4="N")+(RegDoc5="N")+(RegDoc6="N")+(RegDoc7="N")+(RegDoc8="N"))))</f>
        <v/>
      </c>
      <c r="E179" s="47">
        <f>IFERROR(IF($A179="","",C179/(C179+D179)),0)</f>
        <v/>
      </c>
      <c r="F179" s="43">
        <f>IF($A179="","",TRIM(IF(INDEX(RegDoc1,MATCH($A179,RegCaseNo,0))="N","Affidavit of Complaint; ","")&amp;IF(INDEX(RegDoc2,MATCH($A179,RegCaseNo,0))="N","Sworn Statements; ","")&amp;IF(INDEX(RegDoc3,MATCH($A179,RegCaseNo,0))="N","Police / Incident Report; ","")&amp;IF(INDEX(RegDoc4,MATCH($A179,RegCaseNo,0))="N","Evidence and Exhibits; ","")&amp;IF(INDEX(RegDoc5,MATCH($A179,RegCaseNo,0))="N","Resolution / Information; ","")&amp;IF(INDEX(RegDoc6,MATCH($A179,RegCaseNo,0))="N","Court Order / Docket; ","")&amp;IF(INDEX(RegDoc7,MATCH($A179,RegCaseNo,0))="N","Bail / Bond Records; ","")&amp;IF(INDEX(RegDoc8,MATCH($A179,RegCaseNo,0))="N","Judgment / Order; ","")))</f>
        <v/>
      </c>
      <c r="G179" s="32" t="n"/>
      <c r="H179" s="30" t="n"/>
      <c r="I179" s="31" t="n"/>
      <c r="J179" s="45">
        <f>IF($A179="","",IF(E179=1,"Complete",IF(AND(I179&lt;&gt;"",I179&lt;TODAY(),E179&lt;1),"Follow-up overdue",IF(E179&gt;=0.75,"Minor gaps","Action needed"))))</f>
        <v/>
      </c>
    </row>
    <row r="180" ht="26" customHeight="1">
      <c r="A180" s="30" t="n"/>
      <c r="B180" s="43">
        <f>IFERROR(IF($A180="","",INDEX(RegTitle,MATCH($A180,RegCaseNo,0))),"Case no. not found")</f>
        <v/>
      </c>
      <c r="C180" s="44">
        <f>IF($A180="","",SUMPRODUCT((RegCaseNo=$A180)*((RegDoc1="Y")+(RegDoc2="Y")+(RegDoc3="Y")+(RegDoc4="Y")+(RegDoc5="Y")+(RegDoc6="Y")+(RegDoc7="Y")+(RegDoc8="Y"))))</f>
        <v/>
      </c>
      <c r="D180" s="44">
        <f>IF($A180="","",SUMPRODUCT((RegCaseNo=$A180)*((RegDoc1="N")+(RegDoc2="N")+(RegDoc3="N")+(RegDoc4="N")+(RegDoc5="N")+(RegDoc6="N")+(RegDoc7="N")+(RegDoc8="N"))))</f>
        <v/>
      </c>
      <c r="E180" s="47">
        <f>IFERROR(IF($A180="","",C180/(C180+D180)),0)</f>
        <v/>
      </c>
      <c r="F180" s="43">
        <f>IF($A180="","",TRIM(IF(INDEX(RegDoc1,MATCH($A180,RegCaseNo,0))="N","Affidavit of Complaint; ","")&amp;IF(INDEX(RegDoc2,MATCH($A180,RegCaseNo,0))="N","Sworn Statements; ","")&amp;IF(INDEX(RegDoc3,MATCH($A180,RegCaseNo,0))="N","Police / Incident Report; ","")&amp;IF(INDEX(RegDoc4,MATCH($A180,RegCaseNo,0))="N","Evidence and Exhibits; ","")&amp;IF(INDEX(RegDoc5,MATCH($A180,RegCaseNo,0))="N","Resolution / Information; ","")&amp;IF(INDEX(RegDoc6,MATCH($A180,RegCaseNo,0))="N","Court Order / Docket; ","")&amp;IF(INDEX(RegDoc7,MATCH($A180,RegCaseNo,0))="N","Bail / Bond Records; ","")&amp;IF(INDEX(RegDoc8,MATCH($A180,RegCaseNo,0))="N","Judgment / Order; ","")))</f>
        <v/>
      </c>
      <c r="G180" s="32" t="n"/>
      <c r="H180" s="30" t="n"/>
      <c r="I180" s="31" t="n"/>
      <c r="J180" s="45">
        <f>IF($A180="","",IF(E180=1,"Complete",IF(AND(I180&lt;&gt;"",I180&lt;TODAY(),E180&lt;1),"Follow-up overdue",IF(E180&gt;=0.75,"Minor gaps","Action needed"))))</f>
        <v/>
      </c>
    </row>
    <row r="181" ht="26" customHeight="1">
      <c r="A181" s="30" t="n"/>
      <c r="B181" s="43">
        <f>IFERROR(IF($A181="","",INDEX(RegTitle,MATCH($A181,RegCaseNo,0))),"Case no. not found")</f>
        <v/>
      </c>
      <c r="C181" s="44">
        <f>IF($A181="","",SUMPRODUCT((RegCaseNo=$A181)*((RegDoc1="Y")+(RegDoc2="Y")+(RegDoc3="Y")+(RegDoc4="Y")+(RegDoc5="Y")+(RegDoc6="Y")+(RegDoc7="Y")+(RegDoc8="Y"))))</f>
        <v/>
      </c>
      <c r="D181" s="44">
        <f>IF($A181="","",SUMPRODUCT((RegCaseNo=$A181)*((RegDoc1="N")+(RegDoc2="N")+(RegDoc3="N")+(RegDoc4="N")+(RegDoc5="N")+(RegDoc6="N")+(RegDoc7="N")+(RegDoc8="N"))))</f>
        <v/>
      </c>
      <c r="E181" s="47">
        <f>IFERROR(IF($A181="","",C181/(C181+D181)),0)</f>
        <v/>
      </c>
      <c r="F181" s="43">
        <f>IF($A181="","",TRIM(IF(INDEX(RegDoc1,MATCH($A181,RegCaseNo,0))="N","Affidavit of Complaint; ","")&amp;IF(INDEX(RegDoc2,MATCH($A181,RegCaseNo,0))="N","Sworn Statements; ","")&amp;IF(INDEX(RegDoc3,MATCH($A181,RegCaseNo,0))="N","Police / Incident Report; ","")&amp;IF(INDEX(RegDoc4,MATCH($A181,RegCaseNo,0))="N","Evidence and Exhibits; ","")&amp;IF(INDEX(RegDoc5,MATCH($A181,RegCaseNo,0))="N","Resolution / Information; ","")&amp;IF(INDEX(RegDoc6,MATCH($A181,RegCaseNo,0))="N","Court Order / Docket; ","")&amp;IF(INDEX(RegDoc7,MATCH($A181,RegCaseNo,0))="N","Bail / Bond Records; ","")&amp;IF(INDEX(RegDoc8,MATCH($A181,RegCaseNo,0))="N","Judgment / Order; ","")))</f>
        <v/>
      </c>
      <c r="G181" s="32" t="n"/>
      <c r="H181" s="30" t="n"/>
      <c r="I181" s="31" t="n"/>
      <c r="J181" s="45">
        <f>IF($A181="","",IF(E181=1,"Complete",IF(AND(I181&lt;&gt;"",I181&lt;TODAY(),E181&lt;1),"Follow-up overdue",IF(E181&gt;=0.75,"Minor gaps","Action needed"))))</f>
        <v/>
      </c>
    </row>
    <row r="182" ht="26" customHeight="1">
      <c r="A182" s="30" t="n"/>
      <c r="B182" s="43">
        <f>IFERROR(IF($A182="","",INDEX(RegTitle,MATCH($A182,RegCaseNo,0))),"Case no. not found")</f>
        <v/>
      </c>
      <c r="C182" s="44">
        <f>IF($A182="","",SUMPRODUCT((RegCaseNo=$A182)*((RegDoc1="Y")+(RegDoc2="Y")+(RegDoc3="Y")+(RegDoc4="Y")+(RegDoc5="Y")+(RegDoc6="Y")+(RegDoc7="Y")+(RegDoc8="Y"))))</f>
        <v/>
      </c>
      <c r="D182" s="44">
        <f>IF($A182="","",SUMPRODUCT((RegCaseNo=$A182)*((RegDoc1="N")+(RegDoc2="N")+(RegDoc3="N")+(RegDoc4="N")+(RegDoc5="N")+(RegDoc6="N")+(RegDoc7="N")+(RegDoc8="N"))))</f>
        <v/>
      </c>
      <c r="E182" s="47">
        <f>IFERROR(IF($A182="","",C182/(C182+D182)),0)</f>
        <v/>
      </c>
      <c r="F182" s="43">
        <f>IF($A182="","",TRIM(IF(INDEX(RegDoc1,MATCH($A182,RegCaseNo,0))="N","Affidavit of Complaint; ","")&amp;IF(INDEX(RegDoc2,MATCH($A182,RegCaseNo,0))="N","Sworn Statements; ","")&amp;IF(INDEX(RegDoc3,MATCH($A182,RegCaseNo,0))="N","Police / Incident Report; ","")&amp;IF(INDEX(RegDoc4,MATCH($A182,RegCaseNo,0))="N","Evidence and Exhibits; ","")&amp;IF(INDEX(RegDoc5,MATCH($A182,RegCaseNo,0))="N","Resolution / Information; ","")&amp;IF(INDEX(RegDoc6,MATCH($A182,RegCaseNo,0))="N","Court Order / Docket; ","")&amp;IF(INDEX(RegDoc7,MATCH($A182,RegCaseNo,0))="N","Bail / Bond Records; ","")&amp;IF(INDEX(RegDoc8,MATCH($A182,RegCaseNo,0))="N","Judgment / Order; ","")))</f>
        <v/>
      </c>
      <c r="G182" s="32" t="n"/>
      <c r="H182" s="30" t="n"/>
      <c r="I182" s="31" t="n"/>
      <c r="J182" s="45">
        <f>IF($A182="","",IF(E182=1,"Complete",IF(AND(I182&lt;&gt;"",I182&lt;TODAY(),E182&lt;1),"Follow-up overdue",IF(E182&gt;=0.75,"Minor gaps","Action needed"))))</f>
        <v/>
      </c>
    </row>
    <row r="183" ht="26" customHeight="1">
      <c r="A183" s="30" t="n"/>
      <c r="B183" s="43">
        <f>IFERROR(IF($A183="","",INDEX(RegTitle,MATCH($A183,RegCaseNo,0))),"Case no. not found")</f>
        <v/>
      </c>
      <c r="C183" s="44">
        <f>IF($A183="","",SUMPRODUCT((RegCaseNo=$A183)*((RegDoc1="Y")+(RegDoc2="Y")+(RegDoc3="Y")+(RegDoc4="Y")+(RegDoc5="Y")+(RegDoc6="Y")+(RegDoc7="Y")+(RegDoc8="Y"))))</f>
        <v/>
      </c>
      <c r="D183" s="44">
        <f>IF($A183="","",SUMPRODUCT((RegCaseNo=$A183)*((RegDoc1="N")+(RegDoc2="N")+(RegDoc3="N")+(RegDoc4="N")+(RegDoc5="N")+(RegDoc6="N")+(RegDoc7="N")+(RegDoc8="N"))))</f>
        <v/>
      </c>
      <c r="E183" s="47">
        <f>IFERROR(IF($A183="","",C183/(C183+D183)),0)</f>
        <v/>
      </c>
      <c r="F183" s="43">
        <f>IF($A183="","",TRIM(IF(INDEX(RegDoc1,MATCH($A183,RegCaseNo,0))="N","Affidavit of Complaint; ","")&amp;IF(INDEX(RegDoc2,MATCH($A183,RegCaseNo,0))="N","Sworn Statements; ","")&amp;IF(INDEX(RegDoc3,MATCH($A183,RegCaseNo,0))="N","Police / Incident Report; ","")&amp;IF(INDEX(RegDoc4,MATCH($A183,RegCaseNo,0))="N","Evidence and Exhibits; ","")&amp;IF(INDEX(RegDoc5,MATCH($A183,RegCaseNo,0))="N","Resolution / Information; ","")&amp;IF(INDEX(RegDoc6,MATCH($A183,RegCaseNo,0))="N","Court Order / Docket; ","")&amp;IF(INDEX(RegDoc7,MATCH($A183,RegCaseNo,0))="N","Bail / Bond Records; ","")&amp;IF(INDEX(RegDoc8,MATCH($A183,RegCaseNo,0))="N","Judgment / Order; ","")))</f>
        <v/>
      </c>
      <c r="G183" s="32" t="n"/>
      <c r="H183" s="30" t="n"/>
      <c r="I183" s="31" t="n"/>
      <c r="J183" s="45">
        <f>IF($A183="","",IF(E183=1,"Complete",IF(AND(I183&lt;&gt;"",I183&lt;TODAY(),E183&lt;1),"Follow-up overdue",IF(E183&gt;=0.75,"Minor gaps","Action needed"))))</f>
        <v/>
      </c>
    </row>
    <row r="184" ht="26" customHeight="1">
      <c r="A184" s="30" t="n"/>
      <c r="B184" s="43">
        <f>IFERROR(IF($A184="","",INDEX(RegTitle,MATCH($A184,RegCaseNo,0))),"Case no. not found")</f>
        <v/>
      </c>
      <c r="C184" s="44">
        <f>IF($A184="","",SUMPRODUCT((RegCaseNo=$A184)*((RegDoc1="Y")+(RegDoc2="Y")+(RegDoc3="Y")+(RegDoc4="Y")+(RegDoc5="Y")+(RegDoc6="Y")+(RegDoc7="Y")+(RegDoc8="Y"))))</f>
        <v/>
      </c>
      <c r="D184" s="44">
        <f>IF($A184="","",SUMPRODUCT((RegCaseNo=$A184)*((RegDoc1="N")+(RegDoc2="N")+(RegDoc3="N")+(RegDoc4="N")+(RegDoc5="N")+(RegDoc6="N")+(RegDoc7="N")+(RegDoc8="N"))))</f>
        <v/>
      </c>
      <c r="E184" s="47">
        <f>IFERROR(IF($A184="","",C184/(C184+D184)),0)</f>
        <v/>
      </c>
      <c r="F184" s="43">
        <f>IF($A184="","",TRIM(IF(INDEX(RegDoc1,MATCH($A184,RegCaseNo,0))="N","Affidavit of Complaint; ","")&amp;IF(INDEX(RegDoc2,MATCH($A184,RegCaseNo,0))="N","Sworn Statements; ","")&amp;IF(INDEX(RegDoc3,MATCH($A184,RegCaseNo,0))="N","Police / Incident Report; ","")&amp;IF(INDEX(RegDoc4,MATCH($A184,RegCaseNo,0))="N","Evidence and Exhibits; ","")&amp;IF(INDEX(RegDoc5,MATCH($A184,RegCaseNo,0))="N","Resolution / Information; ","")&amp;IF(INDEX(RegDoc6,MATCH($A184,RegCaseNo,0))="N","Court Order / Docket; ","")&amp;IF(INDEX(RegDoc7,MATCH($A184,RegCaseNo,0))="N","Bail / Bond Records; ","")&amp;IF(INDEX(RegDoc8,MATCH($A184,RegCaseNo,0))="N","Judgment / Order; ","")))</f>
        <v/>
      </c>
      <c r="G184" s="32" t="n"/>
      <c r="H184" s="30" t="n"/>
      <c r="I184" s="31" t="n"/>
      <c r="J184" s="45">
        <f>IF($A184="","",IF(E184=1,"Complete",IF(AND(I184&lt;&gt;"",I184&lt;TODAY(),E184&lt;1),"Follow-up overdue",IF(E184&gt;=0.75,"Minor gaps","Action needed"))))</f>
        <v/>
      </c>
    </row>
    <row r="185" ht="26" customHeight="1">
      <c r="A185" s="30" t="n"/>
      <c r="B185" s="43">
        <f>IFERROR(IF($A185="","",INDEX(RegTitle,MATCH($A185,RegCaseNo,0))),"Case no. not found")</f>
        <v/>
      </c>
      <c r="C185" s="44">
        <f>IF($A185="","",SUMPRODUCT((RegCaseNo=$A185)*((RegDoc1="Y")+(RegDoc2="Y")+(RegDoc3="Y")+(RegDoc4="Y")+(RegDoc5="Y")+(RegDoc6="Y")+(RegDoc7="Y")+(RegDoc8="Y"))))</f>
        <v/>
      </c>
      <c r="D185" s="44">
        <f>IF($A185="","",SUMPRODUCT((RegCaseNo=$A185)*((RegDoc1="N")+(RegDoc2="N")+(RegDoc3="N")+(RegDoc4="N")+(RegDoc5="N")+(RegDoc6="N")+(RegDoc7="N")+(RegDoc8="N"))))</f>
        <v/>
      </c>
      <c r="E185" s="47">
        <f>IFERROR(IF($A185="","",C185/(C185+D185)),0)</f>
        <v/>
      </c>
      <c r="F185" s="43">
        <f>IF($A185="","",TRIM(IF(INDEX(RegDoc1,MATCH($A185,RegCaseNo,0))="N","Affidavit of Complaint; ","")&amp;IF(INDEX(RegDoc2,MATCH($A185,RegCaseNo,0))="N","Sworn Statements; ","")&amp;IF(INDEX(RegDoc3,MATCH($A185,RegCaseNo,0))="N","Police / Incident Report; ","")&amp;IF(INDEX(RegDoc4,MATCH($A185,RegCaseNo,0))="N","Evidence and Exhibits; ","")&amp;IF(INDEX(RegDoc5,MATCH($A185,RegCaseNo,0))="N","Resolution / Information; ","")&amp;IF(INDEX(RegDoc6,MATCH($A185,RegCaseNo,0))="N","Court Order / Docket; ","")&amp;IF(INDEX(RegDoc7,MATCH($A185,RegCaseNo,0))="N","Bail / Bond Records; ","")&amp;IF(INDEX(RegDoc8,MATCH($A185,RegCaseNo,0))="N","Judgment / Order; ","")))</f>
        <v/>
      </c>
      <c r="G185" s="32" t="n"/>
      <c r="H185" s="30" t="n"/>
      <c r="I185" s="31" t="n"/>
      <c r="J185" s="45">
        <f>IF($A185="","",IF(E185=1,"Complete",IF(AND(I185&lt;&gt;"",I185&lt;TODAY(),E185&lt;1),"Follow-up overdue",IF(E185&gt;=0.75,"Minor gaps","Action needed"))))</f>
        <v/>
      </c>
    </row>
    <row r="186" ht="26" customHeight="1">
      <c r="A186" s="30" t="n"/>
      <c r="B186" s="43">
        <f>IFERROR(IF($A186="","",INDEX(RegTitle,MATCH($A186,RegCaseNo,0))),"Case no. not found")</f>
        <v/>
      </c>
      <c r="C186" s="44">
        <f>IF($A186="","",SUMPRODUCT((RegCaseNo=$A186)*((RegDoc1="Y")+(RegDoc2="Y")+(RegDoc3="Y")+(RegDoc4="Y")+(RegDoc5="Y")+(RegDoc6="Y")+(RegDoc7="Y")+(RegDoc8="Y"))))</f>
        <v/>
      </c>
      <c r="D186" s="44">
        <f>IF($A186="","",SUMPRODUCT((RegCaseNo=$A186)*((RegDoc1="N")+(RegDoc2="N")+(RegDoc3="N")+(RegDoc4="N")+(RegDoc5="N")+(RegDoc6="N")+(RegDoc7="N")+(RegDoc8="N"))))</f>
        <v/>
      </c>
      <c r="E186" s="47">
        <f>IFERROR(IF($A186="","",C186/(C186+D186)),0)</f>
        <v/>
      </c>
      <c r="F186" s="43">
        <f>IF($A186="","",TRIM(IF(INDEX(RegDoc1,MATCH($A186,RegCaseNo,0))="N","Affidavit of Complaint; ","")&amp;IF(INDEX(RegDoc2,MATCH($A186,RegCaseNo,0))="N","Sworn Statements; ","")&amp;IF(INDEX(RegDoc3,MATCH($A186,RegCaseNo,0))="N","Police / Incident Report; ","")&amp;IF(INDEX(RegDoc4,MATCH($A186,RegCaseNo,0))="N","Evidence and Exhibits; ","")&amp;IF(INDEX(RegDoc5,MATCH($A186,RegCaseNo,0))="N","Resolution / Information; ","")&amp;IF(INDEX(RegDoc6,MATCH($A186,RegCaseNo,0))="N","Court Order / Docket; ","")&amp;IF(INDEX(RegDoc7,MATCH($A186,RegCaseNo,0))="N","Bail / Bond Records; ","")&amp;IF(INDEX(RegDoc8,MATCH($A186,RegCaseNo,0))="N","Judgment / Order; ","")))</f>
        <v/>
      </c>
      <c r="G186" s="32" t="n"/>
      <c r="H186" s="30" t="n"/>
      <c r="I186" s="31" t="n"/>
      <c r="J186" s="45">
        <f>IF($A186="","",IF(E186=1,"Complete",IF(AND(I186&lt;&gt;"",I186&lt;TODAY(),E186&lt;1),"Follow-up overdue",IF(E186&gt;=0.75,"Minor gaps","Action needed"))))</f>
        <v/>
      </c>
    </row>
    <row r="187" ht="26" customHeight="1">
      <c r="A187" s="30" t="n"/>
      <c r="B187" s="43">
        <f>IFERROR(IF($A187="","",INDEX(RegTitle,MATCH($A187,RegCaseNo,0))),"Case no. not found")</f>
        <v/>
      </c>
      <c r="C187" s="44">
        <f>IF($A187="","",SUMPRODUCT((RegCaseNo=$A187)*((RegDoc1="Y")+(RegDoc2="Y")+(RegDoc3="Y")+(RegDoc4="Y")+(RegDoc5="Y")+(RegDoc6="Y")+(RegDoc7="Y")+(RegDoc8="Y"))))</f>
        <v/>
      </c>
      <c r="D187" s="44">
        <f>IF($A187="","",SUMPRODUCT((RegCaseNo=$A187)*((RegDoc1="N")+(RegDoc2="N")+(RegDoc3="N")+(RegDoc4="N")+(RegDoc5="N")+(RegDoc6="N")+(RegDoc7="N")+(RegDoc8="N"))))</f>
        <v/>
      </c>
      <c r="E187" s="47">
        <f>IFERROR(IF($A187="","",C187/(C187+D187)),0)</f>
        <v/>
      </c>
      <c r="F187" s="43">
        <f>IF($A187="","",TRIM(IF(INDEX(RegDoc1,MATCH($A187,RegCaseNo,0))="N","Affidavit of Complaint; ","")&amp;IF(INDEX(RegDoc2,MATCH($A187,RegCaseNo,0))="N","Sworn Statements; ","")&amp;IF(INDEX(RegDoc3,MATCH($A187,RegCaseNo,0))="N","Police / Incident Report; ","")&amp;IF(INDEX(RegDoc4,MATCH($A187,RegCaseNo,0))="N","Evidence and Exhibits; ","")&amp;IF(INDEX(RegDoc5,MATCH($A187,RegCaseNo,0))="N","Resolution / Information; ","")&amp;IF(INDEX(RegDoc6,MATCH($A187,RegCaseNo,0))="N","Court Order / Docket; ","")&amp;IF(INDEX(RegDoc7,MATCH($A187,RegCaseNo,0))="N","Bail / Bond Records; ","")&amp;IF(INDEX(RegDoc8,MATCH($A187,RegCaseNo,0))="N","Judgment / Order; ","")))</f>
        <v/>
      </c>
      <c r="G187" s="32" t="n"/>
      <c r="H187" s="30" t="n"/>
      <c r="I187" s="31" t="n"/>
      <c r="J187" s="45">
        <f>IF($A187="","",IF(E187=1,"Complete",IF(AND(I187&lt;&gt;"",I187&lt;TODAY(),E187&lt;1),"Follow-up overdue",IF(E187&gt;=0.75,"Minor gaps","Action needed"))))</f>
        <v/>
      </c>
    </row>
    <row r="188" ht="26" customHeight="1">
      <c r="A188" s="30" t="n"/>
      <c r="B188" s="43">
        <f>IFERROR(IF($A188="","",INDEX(RegTitle,MATCH($A188,RegCaseNo,0))),"Case no. not found")</f>
        <v/>
      </c>
      <c r="C188" s="44">
        <f>IF($A188="","",SUMPRODUCT((RegCaseNo=$A188)*((RegDoc1="Y")+(RegDoc2="Y")+(RegDoc3="Y")+(RegDoc4="Y")+(RegDoc5="Y")+(RegDoc6="Y")+(RegDoc7="Y")+(RegDoc8="Y"))))</f>
        <v/>
      </c>
      <c r="D188" s="44">
        <f>IF($A188="","",SUMPRODUCT((RegCaseNo=$A188)*((RegDoc1="N")+(RegDoc2="N")+(RegDoc3="N")+(RegDoc4="N")+(RegDoc5="N")+(RegDoc6="N")+(RegDoc7="N")+(RegDoc8="N"))))</f>
        <v/>
      </c>
      <c r="E188" s="47">
        <f>IFERROR(IF($A188="","",C188/(C188+D188)),0)</f>
        <v/>
      </c>
      <c r="F188" s="43">
        <f>IF($A188="","",TRIM(IF(INDEX(RegDoc1,MATCH($A188,RegCaseNo,0))="N","Affidavit of Complaint; ","")&amp;IF(INDEX(RegDoc2,MATCH($A188,RegCaseNo,0))="N","Sworn Statements; ","")&amp;IF(INDEX(RegDoc3,MATCH($A188,RegCaseNo,0))="N","Police / Incident Report; ","")&amp;IF(INDEX(RegDoc4,MATCH($A188,RegCaseNo,0))="N","Evidence and Exhibits; ","")&amp;IF(INDEX(RegDoc5,MATCH($A188,RegCaseNo,0))="N","Resolution / Information; ","")&amp;IF(INDEX(RegDoc6,MATCH($A188,RegCaseNo,0))="N","Court Order / Docket; ","")&amp;IF(INDEX(RegDoc7,MATCH($A188,RegCaseNo,0))="N","Bail / Bond Records; ","")&amp;IF(INDEX(RegDoc8,MATCH($A188,RegCaseNo,0))="N","Judgment / Order; ","")))</f>
        <v/>
      </c>
      <c r="G188" s="32" t="n"/>
      <c r="H188" s="30" t="n"/>
      <c r="I188" s="31" t="n"/>
      <c r="J188" s="45">
        <f>IF($A188="","",IF(E188=1,"Complete",IF(AND(I188&lt;&gt;"",I188&lt;TODAY(),E188&lt;1),"Follow-up overdue",IF(E188&gt;=0.75,"Minor gaps","Action needed"))))</f>
        <v/>
      </c>
    </row>
    <row r="189" ht="26" customHeight="1">
      <c r="A189" s="30" t="n"/>
      <c r="B189" s="43">
        <f>IFERROR(IF($A189="","",INDEX(RegTitle,MATCH($A189,RegCaseNo,0))),"Case no. not found")</f>
        <v/>
      </c>
      <c r="C189" s="44">
        <f>IF($A189="","",SUMPRODUCT((RegCaseNo=$A189)*((RegDoc1="Y")+(RegDoc2="Y")+(RegDoc3="Y")+(RegDoc4="Y")+(RegDoc5="Y")+(RegDoc6="Y")+(RegDoc7="Y")+(RegDoc8="Y"))))</f>
        <v/>
      </c>
      <c r="D189" s="44">
        <f>IF($A189="","",SUMPRODUCT((RegCaseNo=$A189)*((RegDoc1="N")+(RegDoc2="N")+(RegDoc3="N")+(RegDoc4="N")+(RegDoc5="N")+(RegDoc6="N")+(RegDoc7="N")+(RegDoc8="N"))))</f>
        <v/>
      </c>
      <c r="E189" s="47">
        <f>IFERROR(IF($A189="","",C189/(C189+D189)),0)</f>
        <v/>
      </c>
      <c r="F189" s="43">
        <f>IF($A189="","",TRIM(IF(INDEX(RegDoc1,MATCH($A189,RegCaseNo,0))="N","Affidavit of Complaint; ","")&amp;IF(INDEX(RegDoc2,MATCH($A189,RegCaseNo,0))="N","Sworn Statements; ","")&amp;IF(INDEX(RegDoc3,MATCH($A189,RegCaseNo,0))="N","Police / Incident Report; ","")&amp;IF(INDEX(RegDoc4,MATCH($A189,RegCaseNo,0))="N","Evidence and Exhibits; ","")&amp;IF(INDEX(RegDoc5,MATCH($A189,RegCaseNo,0))="N","Resolution / Information; ","")&amp;IF(INDEX(RegDoc6,MATCH($A189,RegCaseNo,0))="N","Court Order / Docket; ","")&amp;IF(INDEX(RegDoc7,MATCH($A189,RegCaseNo,0))="N","Bail / Bond Records; ","")&amp;IF(INDEX(RegDoc8,MATCH($A189,RegCaseNo,0))="N","Judgment / Order; ","")))</f>
        <v/>
      </c>
      <c r="G189" s="32" t="n"/>
      <c r="H189" s="30" t="n"/>
      <c r="I189" s="31" t="n"/>
      <c r="J189" s="45">
        <f>IF($A189="","",IF(E189=1,"Complete",IF(AND(I189&lt;&gt;"",I189&lt;TODAY(),E189&lt;1),"Follow-up overdue",IF(E189&gt;=0.75,"Minor gaps","Action needed"))))</f>
        <v/>
      </c>
    </row>
    <row r="190" ht="26" customHeight="1">
      <c r="A190" s="30" t="n"/>
      <c r="B190" s="43">
        <f>IFERROR(IF($A190="","",INDEX(RegTitle,MATCH($A190,RegCaseNo,0))),"Case no. not found")</f>
        <v/>
      </c>
      <c r="C190" s="44">
        <f>IF($A190="","",SUMPRODUCT((RegCaseNo=$A190)*((RegDoc1="Y")+(RegDoc2="Y")+(RegDoc3="Y")+(RegDoc4="Y")+(RegDoc5="Y")+(RegDoc6="Y")+(RegDoc7="Y")+(RegDoc8="Y"))))</f>
        <v/>
      </c>
      <c r="D190" s="44">
        <f>IF($A190="","",SUMPRODUCT((RegCaseNo=$A190)*((RegDoc1="N")+(RegDoc2="N")+(RegDoc3="N")+(RegDoc4="N")+(RegDoc5="N")+(RegDoc6="N")+(RegDoc7="N")+(RegDoc8="N"))))</f>
        <v/>
      </c>
      <c r="E190" s="47">
        <f>IFERROR(IF($A190="","",C190/(C190+D190)),0)</f>
        <v/>
      </c>
      <c r="F190" s="43">
        <f>IF($A190="","",TRIM(IF(INDEX(RegDoc1,MATCH($A190,RegCaseNo,0))="N","Affidavit of Complaint; ","")&amp;IF(INDEX(RegDoc2,MATCH($A190,RegCaseNo,0))="N","Sworn Statements; ","")&amp;IF(INDEX(RegDoc3,MATCH($A190,RegCaseNo,0))="N","Police / Incident Report; ","")&amp;IF(INDEX(RegDoc4,MATCH($A190,RegCaseNo,0))="N","Evidence and Exhibits; ","")&amp;IF(INDEX(RegDoc5,MATCH($A190,RegCaseNo,0))="N","Resolution / Information; ","")&amp;IF(INDEX(RegDoc6,MATCH($A190,RegCaseNo,0))="N","Court Order / Docket; ","")&amp;IF(INDEX(RegDoc7,MATCH($A190,RegCaseNo,0))="N","Bail / Bond Records; ","")&amp;IF(INDEX(RegDoc8,MATCH($A190,RegCaseNo,0))="N","Judgment / Order; ","")))</f>
        <v/>
      </c>
      <c r="G190" s="32" t="n"/>
      <c r="H190" s="30" t="n"/>
      <c r="I190" s="31" t="n"/>
      <c r="J190" s="45">
        <f>IF($A190="","",IF(E190=1,"Complete",IF(AND(I190&lt;&gt;"",I190&lt;TODAY(),E190&lt;1),"Follow-up overdue",IF(E190&gt;=0.75,"Minor gaps","Action needed"))))</f>
        <v/>
      </c>
    </row>
    <row r="191" ht="26" customHeight="1">
      <c r="A191" s="30" t="n"/>
      <c r="B191" s="43">
        <f>IFERROR(IF($A191="","",INDEX(RegTitle,MATCH($A191,RegCaseNo,0))),"Case no. not found")</f>
        <v/>
      </c>
      <c r="C191" s="44">
        <f>IF($A191="","",SUMPRODUCT((RegCaseNo=$A191)*((RegDoc1="Y")+(RegDoc2="Y")+(RegDoc3="Y")+(RegDoc4="Y")+(RegDoc5="Y")+(RegDoc6="Y")+(RegDoc7="Y")+(RegDoc8="Y"))))</f>
        <v/>
      </c>
      <c r="D191" s="44">
        <f>IF($A191="","",SUMPRODUCT((RegCaseNo=$A191)*((RegDoc1="N")+(RegDoc2="N")+(RegDoc3="N")+(RegDoc4="N")+(RegDoc5="N")+(RegDoc6="N")+(RegDoc7="N")+(RegDoc8="N"))))</f>
        <v/>
      </c>
      <c r="E191" s="47">
        <f>IFERROR(IF($A191="","",C191/(C191+D191)),0)</f>
        <v/>
      </c>
      <c r="F191" s="43">
        <f>IF($A191="","",TRIM(IF(INDEX(RegDoc1,MATCH($A191,RegCaseNo,0))="N","Affidavit of Complaint; ","")&amp;IF(INDEX(RegDoc2,MATCH($A191,RegCaseNo,0))="N","Sworn Statements; ","")&amp;IF(INDEX(RegDoc3,MATCH($A191,RegCaseNo,0))="N","Police / Incident Report; ","")&amp;IF(INDEX(RegDoc4,MATCH($A191,RegCaseNo,0))="N","Evidence and Exhibits; ","")&amp;IF(INDEX(RegDoc5,MATCH($A191,RegCaseNo,0))="N","Resolution / Information; ","")&amp;IF(INDEX(RegDoc6,MATCH($A191,RegCaseNo,0))="N","Court Order / Docket; ","")&amp;IF(INDEX(RegDoc7,MATCH($A191,RegCaseNo,0))="N","Bail / Bond Records; ","")&amp;IF(INDEX(RegDoc8,MATCH($A191,RegCaseNo,0))="N","Judgment / Order; ","")))</f>
        <v/>
      </c>
      <c r="G191" s="32" t="n"/>
      <c r="H191" s="30" t="n"/>
      <c r="I191" s="31" t="n"/>
      <c r="J191" s="45">
        <f>IF($A191="","",IF(E191=1,"Complete",IF(AND(I191&lt;&gt;"",I191&lt;TODAY(),E191&lt;1),"Follow-up overdue",IF(E191&gt;=0.75,"Minor gaps","Action needed"))))</f>
        <v/>
      </c>
    </row>
    <row r="192" ht="26" customHeight="1">
      <c r="A192" s="30" t="n"/>
      <c r="B192" s="43">
        <f>IFERROR(IF($A192="","",INDEX(RegTitle,MATCH($A192,RegCaseNo,0))),"Case no. not found")</f>
        <v/>
      </c>
      <c r="C192" s="44">
        <f>IF($A192="","",SUMPRODUCT((RegCaseNo=$A192)*((RegDoc1="Y")+(RegDoc2="Y")+(RegDoc3="Y")+(RegDoc4="Y")+(RegDoc5="Y")+(RegDoc6="Y")+(RegDoc7="Y")+(RegDoc8="Y"))))</f>
        <v/>
      </c>
      <c r="D192" s="44">
        <f>IF($A192="","",SUMPRODUCT((RegCaseNo=$A192)*((RegDoc1="N")+(RegDoc2="N")+(RegDoc3="N")+(RegDoc4="N")+(RegDoc5="N")+(RegDoc6="N")+(RegDoc7="N")+(RegDoc8="N"))))</f>
        <v/>
      </c>
      <c r="E192" s="47">
        <f>IFERROR(IF($A192="","",C192/(C192+D192)),0)</f>
        <v/>
      </c>
      <c r="F192" s="43">
        <f>IF($A192="","",TRIM(IF(INDEX(RegDoc1,MATCH($A192,RegCaseNo,0))="N","Affidavit of Complaint; ","")&amp;IF(INDEX(RegDoc2,MATCH($A192,RegCaseNo,0))="N","Sworn Statements; ","")&amp;IF(INDEX(RegDoc3,MATCH($A192,RegCaseNo,0))="N","Police / Incident Report; ","")&amp;IF(INDEX(RegDoc4,MATCH($A192,RegCaseNo,0))="N","Evidence and Exhibits; ","")&amp;IF(INDEX(RegDoc5,MATCH($A192,RegCaseNo,0))="N","Resolution / Information; ","")&amp;IF(INDEX(RegDoc6,MATCH($A192,RegCaseNo,0))="N","Court Order / Docket; ","")&amp;IF(INDEX(RegDoc7,MATCH($A192,RegCaseNo,0))="N","Bail / Bond Records; ","")&amp;IF(INDEX(RegDoc8,MATCH($A192,RegCaseNo,0))="N","Judgment / Order; ","")))</f>
        <v/>
      </c>
      <c r="G192" s="32" t="n"/>
      <c r="H192" s="30" t="n"/>
      <c r="I192" s="31" t="n"/>
      <c r="J192" s="45">
        <f>IF($A192="","",IF(E192=1,"Complete",IF(AND(I192&lt;&gt;"",I192&lt;TODAY(),E192&lt;1),"Follow-up overdue",IF(E192&gt;=0.75,"Minor gaps","Action needed"))))</f>
        <v/>
      </c>
    </row>
    <row r="193" ht="26" customHeight="1">
      <c r="A193" s="30" t="n"/>
      <c r="B193" s="43">
        <f>IFERROR(IF($A193="","",INDEX(RegTitle,MATCH($A193,RegCaseNo,0))),"Case no. not found")</f>
        <v/>
      </c>
      <c r="C193" s="44">
        <f>IF($A193="","",SUMPRODUCT((RegCaseNo=$A193)*((RegDoc1="Y")+(RegDoc2="Y")+(RegDoc3="Y")+(RegDoc4="Y")+(RegDoc5="Y")+(RegDoc6="Y")+(RegDoc7="Y")+(RegDoc8="Y"))))</f>
        <v/>
      </c>
      <c r="D193" s="44">
        <f>IF($A193="","",SUMPRODUCT((RegCaseNo=$A193)*((RegDoc1="N")+(RegDoc2="N")+(RegDoc3="N")+(RegDoc4="N")+(RegDoc5="N")+(RegDoc6="N")+(RegDoc7="N")+(RegDoc8="N"))))</f>
        <v/>
      </c>
      <c r="E193" s="47">
        <f>IFERROR(IF($A193="","",C193/(C193+D193)),0)</f>
        <v/>
      </c>
      <c r="F193" s="43">
        <f>IF($A193="","",TRIM(IF(INDEX(RegDoc1,MATCH($A193,RegCaseNo,0))="N","Affidavit of Complaint; ","")&amp;IF(INDEX(RegDoc2,MATCH($A193,RegCaseNo,0))="N","Sworn Statements; ","")&amp;IF(INDEX(RegDoc3,MATCH($A193,RegCaseNo,0))="N","Police / Incident Report; ","")&amp;IF(INDEX(RegDoc4,MATCH($A193,RegCaseNo,0))="N","Evidence and Exhibits; ","")&amp;IF(INDEX(RegDoc5,MATCH($A193,RegCaseNo,0))="N","Resolution / Information; ","")&amp;IF(INDEX(RegDoc6,MATCH($A193,RegCaseNo,0))="N","Court Order / Docket; ","")&amp;IF(INDEX(RegDoc7,MATCH($A193,RegCaseNo,0))="N","Bail / Bond Records; ","")&amp;IF(INDEX(RegDoc8,MATCH($A193,RegCaseNo,0))="N","Judgment / Order; ","")))</f>
        <v/>
      </c>
      <c r="G193" s="32" t="n"/>
      <c r="H193" s="30" t="n"/>
      <c r="I193" s="31" t="n"/>
      <c r="J193" s="45">
        <f>IF($A193="","",IF(E193=1,"Complete",IF(AND(I193&lt;&gt;"",I193&lt;TODAY(),E193&lt;1),"Follow-up overdue",IF(E193&gt;=0.75,"Minor gaps","Action needed"))))</f>
        <v/>
      </c>
    </row>
    <row r="194" ht="26" customHeight="1">
      <c r="A194" s="30" t="n"/>
      <c r="B194" s="43">
        <f>IFERROR(IF($A194="","",INDEX(RegTitle,MATCH($A194,RegCaseNo,0))),"Case no. not found")</f>
        <v/>
      </c>
      <c r="C194" s="44">
        <f>IF($A194="","",SUMPRODUCT((RegCaseNo=$A194)*((RegDoc1="Y")+(RegDoc2="Y")+(RegDoc3="Y")+(RegDoc4="Y")+(RegDoc5="Y")+(RegDoc6="Y")+(RegDoc7="Y")+(RegDoc8="Y"))))</f>
        <v/>
      </c>
      <c r="D194" s="44">
        <f>IF($A194="","",SUMPRODUCT((RegCaseNo=$A194)*((RegDoc1="N")+(RegDoc2="N")+(RegDoc3="N")+(RegDoc4="N")+(RegDoc5="N")+(RegDoc6="N")+(RegDoc7="N")+(RegDoc8="N"))))</f>
        <v/>
      </c>
      <c r="E194" s="47">
        <f>IFERROR(IF($A194="","",C194/(C194+D194)),0)</f>
        <v/>
      </c>
      <c r="F194" s="43">
        <f>IF($A194="","",TRIM(IF(INDEX(RegDoc1,MATCH($A194,RegCaseNo,0))="N","Affidavit of Complaint; ","")&amp;IF(INDEX(RegDoc2,MATCH($A194,RegCaseNo,0))="N","Sworn Statements; ","")&amp;IF(INDEX(RegDoc3,MATCH($A194,RegCaseNo,0))="N","Police / Incident Report; ","")&amp;IF(INDEX(RegDoc4,MATCH($A194,RegCaseNo,0))="N","Evidence and Exhibits; ","")&amp;IF(INDEX(RegDoc5,MATCH($A194,RegCaseNo,0))="N","Resolution / Information; ","")&amp;IF(INDEX(RegDoc6,MATCH($A194,RegCaseNo,0))="N","Court Order / Docket; ","")&amp;IF(INDEX(RegDoc7,MATCH($A194,RegCaseNo,0))="N","Bail / Bond Records; ","")&amp;IF(INDEX(RegDoc8,MATCH($A194,RegCaseNo,0))="N","Judgment / Order; ","")))</f>
        <v/>
      </c>
      <c r="G194" s="32" t="n"/>
      <c r="H194" s="30" t="n"/>
      <c r="I194" s="31" t="n"/>
      <c r="J194" s="45">
        <f>IF($A194="","",IF(E194=1,"Complete",IF(AND(I194&lt;&gt;"",I194&lt;TODAY(),E194&lt;1),"Follow-up overdue",IF(E194&gt;=0.75,"Minor gaps","Action needed"))))</f>
        <v/>
      </c>
    </row>
    <row r="195" ht="26" customHeight="1">
      <c r="A195" s="30" t="n"/>
      <c r="B195" s="43">
        <f>IFERROR(IF($A195="","",INDEX(RegTitle,MATCH($A195,RegCaseNo,0))),"Case no. not found")</f>
        <v/>
      </c>
      <c r="C195" s="44">
        <f>IF($A195="","",SUMPRODUCT((RegCaseNo=$A195)*((RegDoc1="Y")+(RegDoc2="Y")+(RegDoc3="Y")+(RegDoc4="Y")+(RegDoc5="Y")+(RegDoc6="Y")+(RegDoc7="Y")+(RegDoc8="Y"))))</f>
        <v/>
      </c>
      <c r="D195" s="44">
        <f>IF($A195="","",SUMPRODUCT((RegCaseNo=$A195)*((RegDoc1="N")+(RegDoc2="N")+(RegDoc3="N")+(RegDoc4="N")+(RegDoc5="N")+(RegDoc6="N")+(RegDoc7="N")+(RegDoc8="N"))))</f>
        <v/>
      </c>
      <c r="E195" s="47">
        <f>IFERROR(IF($A195="","",C195/(C195+D195)),0)</f>
        <v/>
      </c>
      <c r="F195" s="43">
        <f>IF($A195="","",TRIM(IF(INDEX(RegDoc1,MATCH($A195,RegCaseNo,0))="N","Affidavit of Complaint; ","")&amp;IF(INDEX(RegDoc2,MATCH($A195,RegCaseNo,0))="N","Sworn Statements; ","")&amp;IF(INDEX(RegDoc3,MATCH($A195,RegCaseNo,0))="N","Police / Incident Report; ","")&amp;IF(INDEX(RegDoc4,MATCH($A195,RegCaseNo,0))="N","Evidence and Exhibits; ","")&amp;IF(INDEX(RegDoc5,MATCH($A195,RegCaseNo,0))="N","Resolution / Information; ","")&amp;IF(INDEX(RegDoc6,MATCH($A195,RegCaseNo,0))="N","Court Order / Docket; ","")&amp;IF(INDEX(RegDoc7,MATCH($A195,RegCaseNo,0))="N","Bail / Bond Records; ","")&amp;IF(INDEX(RegDoc8,MATCH($A195,RegCaseNo,0))="N","Judgment / Order; ","")))</f>
        <v/>
      </c>
      <c r="G195" s="32" t="n"/>
      <c r="H195" s="30" t="n"/>
      <c r="I195" s="31" t="n"/>
      <c r="J195" s="45">
        <f>IF($A195="","",IF(E195=1,"Complete",IF(AND(I195&lt;&gt;"",I195&lt;TODAY(),E195&lt;1),"Follow-up overdue",IF(E195&gt;=0.75,"Minor gaps","Action needed"))))</f>
        <v/>
      </c>
    </row>
    <row r="196" ht="26" customHeight="1">
      <c r="A196" s="30" t="n"/>
      <c r="B196" s="43">
        <f>IFERROR(IF($A196="","",INDEX(RegTitle,MATCH($A196,RegCaseNo,0))),"Case no. not found")</f>
        <v/>
      </c>
      <c r="C196" s="44">
        <f>IF($A196="","",SUMPRODUCT((RegCaseNo=$A196)*((RegDoc1="Y")+(RegDoc2="Y")+(RegDoc3="Y")+(RegDoc4="Y")+(RegDoc5="Y")+(RegDoc6="Y")+(RegDoc7="Y")+(RegDoc8="Y"))))</f>
        <v/>
      </c>
      <c r="D196" s="44">
        <f>IF($A196="","",SUMPRODUCT((RegCaseNo=$A196)*((RegDoc1="N")+(RegDoc2="N")+(RegDoc3="N")+(RegDoc4="N")+(RegDoc5="N")+(RegDoc6="N")+(RegDoc7="N")+(RegDoc8="N"))))</f>
        <v/>
      </c>
      <c r="E196" s="47">
        <f>IFERROR(IF($A196="","",C196/(C196+D196)),0)</f>
        <v/>
      </c>
      <c r="F196" s="43">
        <f>IF($A196="","",TRIM(IF(INDEX(RegDoc1,MATCH($A196,RegCaseNo,0))="N","Affidavit of Complaint; ","")&amp;IF(INDEX(RegDoc2,MATCH($A196,RegCaseNo,0))="N","Sworn Statements; ","")&amp;IF(INDEX(RegDoc3,MATCH($A196,RegCaseNo,0))="N","Police / Incident Report; ","")&amp;IF(INDEX(RegDoc4,MATCH($A196,RegCaseNo,0))="N","Evidence and Exhibits; ","")&amp;IF(INDEX(RegDoc5,MATCH($A196,RegCaseNo,0))="N","Resolution / Information; ","")&amp;IF(INDEX(RegDoc6,MATCH($A196,RegCaseNo,0))="N","Court Order / Docket; ","")&amp;IF(INDEX(RegDoc7,MATCH($A196,RegCaseNo,0))="N","Bail / Bond Records; ","")&amp;IF(INDEX(RegDoc8,MATCH($A196,RegCaseNo,0))="N","Judgment / Order; ","")))</f>
        <v/>
      </c>
      <c r="G196" s="32" t="n"/>
      <c r="H196" s="30" t="n"/>
      <c r="I196" s="31" t="n"/>
      <c r="J196" s="45">
        <f>IF($A196="","",IF(E196=1,"Complete",IF(AND(I196&lt;&gt;"",I196&lt;TODAY(),E196&lt;1),"Follow-up overdue",IF(E196&gt;=0.75,"Minor gaps","Action needed"))))</f>
        <v/>
      </c>
    </row>
    <row r="197" ht="26" customHeight="1">
      <c r="A197" s="30" t="n"/>
      <c r="B197" s="43">
        <f>IFERROR(IF($A197="","",INDEX(RegTitle,MATCH($A197,RegCaseNo,0))),"Case no. not found")</f>
        <v/>
      </c>
      <c r="C197" s="44">
        <f>IF($A197="","",SUMPRODUCT((RegCaseNo=$A197)*((RegDoc1="Y")+(RegDoc2="Y")+(RegDoc3="Y")+(RegDoc4="Y")+(RegDoc5="Y")+(RegDoc6="Y")+(RegDoc7="Y")+(RegDoc8="Y"))))</f>
        <v/>
      </c>
      <c r="D197" s="44">
        <f>IF($A197="","",SUMPRODUCT((RegCaseNo=$A197)*((RegDoc1="N")+(RegDoc2="N")+(RegDoc3="N")+(RegDoc4="N")+(RegDoc5="N")+(RegDoc6="N")+(RegDoc7="N")+(RegDoc8="N"))))</f>
        <v/>
      </c>
      <c r="E197" s="47">
        <f>IFERROR(IF($A197="","",C197/(C197+D197)),0)</f>
        <v/>
      </c>
      <c r="F197" s="43">
        <f>IF($A197="","",TRIM(IF(INDEX(RegDoc1,MATCH($A197,RegCaseNo,0))="N","Affidavit of Complaint; ","")&amp;IF(INDEX(RegDoc2,MATCH($A197,RegCaseNo,0))="N","Sworn Statements; ","")&amp;IF(INDEX(RegDoc3,MATCH($A197,RegCaseNo,0))="N","Police / Incident Report; ","")&amp;IF(INDEX(RegDoc4,MATCH($A197,RegCaseNo,0))="N","Evidence and Exhibits; ","")&amp;IF(INDEX(RegDoc5,MATCH($A197,RegCaseNo,0))="N","Resolution / Information; ","")&amp;IF(INDEX(RegDoc6,MATCH($A197,RegCaseNo,0))="N","Court Order / Docket; ","")&amp;IF(INDEX(RegDoc7,MATCH($A197,RegCaseNo,0))="N","Bail / Bond Records; ","")&amp;IF(INDEX(RegDoc8,MATCH($A197,RegCaseNo,0))="N","Judgment / Order; ","")))</f>
        <v/>
      </c>
      <c r="G197" s="32" t="n"/>
      <c r="H197" s="30" t="n"/>
      <c r="I197" s="31" t="n"/>
      <c r="J197" s="45">
        <f>IF($A197="","",IF(E197=1,"Complete",IF(AND(I197&lt;&gt;"",I197&lt;TODAY(),E197&lt;1),"Follow-up overdue",IF(E197&gt;=0.75,"Minor gaps","Action needed"))))</f>
        <v/>
      </c>
    </row>
    <row r="198" ht="26" customHeight="1">
      <c r="A198" s="30" t="n"/>
      <c r="B198" s="43">
        <f>IFERROR(IF($A198="","",INDEX(RegTitle,MATCH($A198,RegCaseNo,0))),"Case no. not found")</f>
        <v/>
      </c>
      <c r="C198" s="44">
        <f>IF($A198="","",SUMPRODUCT((RegCaseNo=$A198)*((RegDoc1="Y")+(RegDoc2="Y")+(RegDoc3="Y")+(RegDoc4="Y")+(RegDoc5="Y")+(RegDoc6="Y")+(RegDoc7="Y")+(RegDoc8="Y"))))</f>
        <v/>
      </c>
      <c r="D198" s="44">
        <f>IF($A198="","",SUMPRODUCT((RegCaseNo=$A198)*((RegDoc1="N")+(RegDoc2="N")+(RegDoc3="N")+(RegDoc4="N")+(RegDoc5="N")+(RegDoc6="N")+(RegDoc7="N")+(RegDoc8="N"))))</f>
        <v/>
      </c>
      <c r="E198" s="47">
        <f>IFERROR(IF($A198="","",C198/(C198+D198)),0)</f>
        <v/>
      </c>
      <c r="F198" s="43">
        <f>IF($A198="","",TRIM(IF(INDEX(RegDoc1,MATCH($A198,RegCaseNo,0))="N","Affidavit of Complaint; ","")&amp;IF(INDEX(RegDoc2,MATCH($A198,RegCaseNo,0))="N","Sworn Statements; ","")&amp;IF(INDEX(RegDoc3,MATCH($A198,RegCaseNo,0))="N","Police / Incident Report; ","")&amp;IF(INDEX(RegDoc4,MATCH($A198,RegCaseNo,0))="N","Evidence and Exhibits; ","")&amp;IF(INDEX(RegDoc5,MATCH($A198,RegCaseNo,0))="N","Resolution / Information; ","")&amp;IF(INDEX(RegDoc6,MATCH($A198,RegCaseNo,0))="N","Court Order / Docket; ","")&amp;IF(INDEX(RegDoc7,MATCH($A198,RegCaseNo,0))="N","Bail / Bond Records; ","")&amp;IF(INDEX(RegDoc8,MATCH($A198,RegCaseNo,0))="N","Judgment / Order; ","")))</f>
        <v/>
      </c>
      <c r="G198" s="32" t="n"/>
      <c r="H198" s="30" t="n"/>
      <c r="I198" s="31" t="n"/>
      <c r="J198" s="45">
        <f>IF($A198="","",IF(E198=1,"Complete",IF(AND(I198&lt;&gt;"",I198&lt;TODAY(),E198&lt;1),"Follow-up overdue",IF(E198&gt;=0.75,"Minor gaps","Action needed"))))</f>
        <v/>
      </c>
    </row>
    <row r="199" ht="26" customHeight="1">
      <c r="A199" s="30" t="n"/>
      <c r="B199" s="43">
        <f>IFERROR(IF($A199="","",INDEX(RegTitle,MATCH($A199,RegCaseNo,0))),"Case no. not found")</f>
        <v/>
      </c>
      <c r="C199" s="44">
        <f>IF($A199="","",SUMPRODUCT((RegCaseNo=$A199)*((RegDoc1="Y")+(RegDoc2="Y")+(RegDoc3="Y")+(RegDoc4="Y")+(RegDoc5="Y")+(RegDoc6="Y")+(RegDoc7="Y")+(RegDoc8="Y"))))</f>
        <v/>
      </c>
      <c r="D199" s="44">
        <f>IF($A199="","",SUMPRODUCT((RegCaseNo=$A199)*((RegDoc1="N")+(RegDoc2="N")+(RegDoc3="N")+(RegDoc4="N")+(RegDoc5="N")+(RegDoc6="N")+(RegDoc7="N")+(RegDoc8="N"))))</f>
        <v/>
      </c>
      <c r="E199" s="47">
        <f>IFERROR(IF($A199="","",C199/(C199+D199)),0)</f>
        <v/>
      </c>
      <c r="F199" s="43">
        <f>IF($A199="","",TRIM(IF(INDEX(RegDoc1,MATCH($A199,RegCaseNo,0))="N","Affidavit of Complaint; ","")&amp;IF(INDEX(RegDoc2,MATCH($A199,RegCaseNo,0))="N","Sworn Statements; ","")&amp;IF(INDEX(RegDoc3,MATCH($A199,RegCaseNo,0))="N","Police / Incident Report; ","")&amp;IF(INDEX(RegDoc4,MATCH($A199,RegCaseNo,0))="N","Evidence and Exhibits; ","")&amp;IF(INDEX(RegDoc5,MATCH($A199,RegCaseNo,0))="N","Resolution / Information; ","")&amp;IF(INDEX(RegDoc6,MATCH($A199,RegCaseNo,0))="N","Court Order / Docket; ","")&amp;IF(INDEX(RegDoc7,MATCH($A199,RegCaseNo,0))="N","Bail / Bond Records; ","")&amp;IF(INDEX(RegDoc8,MATCH($A199,RegCaseNo,0))="N","Judgment / Order; ","")))</f>
        <v/>
      </c>
      <c r="G199" s="32" t="n"/>
      <c r="H199" s="30" t="n"/>
      <c r="I199" s="31" t="n"/>
      <c r="J199" s="45">
        <f>IF($A199="","",IF(E199=1,"Complete",IF(AND(I199&lt;&gt;"",I199&lt;TODAY(),E199&lt;1),"Follow-up overdue",IF(E199&gt;=0.75,"Minor gaps","Action needed"))))</f>
        <v/>
      </c>
    </row>
    <row r="200" ht="26" customHeight="1">
      <c r="A200" s="30" t="n"/>
      <c r="B200" s="43">
        <f>IFERROR(IF($A200="","",INDEX(RegTitle,MATCH($A200,RegCaseNo,0))),"Case no. not found")</f>
        <v/>
      </c>
      <c r="C200" s="44">
        <f>IF($A200="","",SUMPRODUCT((RegCaseNo=$A200)*((RegDoc1="Y")+(RegDoc2="Y")+(RegDoc3="Y")+(RegDoc4="Y")+(RegDoc5="Y")+(RegDoc6="Y")+(RegDoc7="Y")+(RegDoc8="Y"))))</f>
        <v/>
      </c>
      <c r="D200" s="44">
        <f>IF($A200="","",SUMPRODUCT((RegCaseNo=$A200)*((RegDoc1="N")+(RegDoc2="N")+(RegDoc3="N")+(RegDoc4="N")+(RegDoc5="N")+(RegDoc6="N")+(RegDoc7="N")+(RegDoc8="N"))))</f>
        <v/>
      </c>
      <c r="E200" s="47">
        <f>IFERROR(IF($A200="","",C200/(C200+D200)),0)</f>
        <v/>
      </c>
      <c r="F200" s="43">
        <f>IF($A200="","",TRIM(IF(INDEX(RegDoc1,MATCH($A200,RegCaseNo,0))="N","Affidavit of Complaint; ","")&amp;IF(INDEX(RegDoc2,MATCH($A200,RegCaseNo,0))="N","Sworn Statements; ","")&amp;IF(INDEX(RegDoc3,MATCH($A200,RegCaseNo,0))="N","Police / Incident Report; ","")&amp;IF(INDEX(RegDoc4,MATCH($A200,RegCaseNo,0))="N","Evidence and Exhibits; ","")&amp;IF(INDEX(RegDoc5,MATCH($A200,RegCaseNo,0))="N","Resolution / Information; ","")&amp;IF(INDEX(RegDoc6,MATCH($A200,RegCaseNo,0))="N","Court Order / Docket; ","")&amp;IF(INDEX(RegDoc7,MATCH($A200,RegCaseNo,0))="N","Bail / Bond Records; ","")&amp;IF(INDEX(RegDoc8,MATCH($A200,RegCaseNo,0))="N","Judgment / Order; ","")))</f>
        <v/>
      </c>
      <c r="G200" s="32" t="n"/>
      <c r="H200" s="30" t="n"/>
      <c r="I200" s="31" t="n"/>
      <c r="J200" s="45">
        <f>IF($A200="","",IF(E200=1,"Complete",IF(AND(I200&lt;&gt;"",I200&lt;TODAY(),E200&lt;1),"Follow-up overdue",IF(E200&gt;=0.75,"Minor gaps","Action needed"))))</f>
        <v/>
      </c>
    </row>
    <row r="201" ht="26" customHeight="1">
      <c r="A201" s="30" t="n"/>
      <c r="B201" s="43">
        <f>IFERROR(IF($A201="","",INDEX(RegTitle,MATCH($A201,RegCaseNo,0))),"Case no. not found")</f>
        <v/>
      </c>
      <c r="C201" s="44">
        <f>IF($A201="","",SUMPRODUCT((RegCaseNo=$A201)*((RegDoc1="Y")+(RegDoc2="Y")+(RegDoc3="Y")+(RegDoc4="Y")+(RegDoc5="Y")+(RegDoc6="Y")+(RegDoc7="Y")+(RegDoc8="Y"))))</f>
        <v/>
      </c>
      <c r="D201" s="44">
        <f>IF($A201="","",SUMPRODUCT((RegCaseNo=$A201)*((RegDoc1="N")+(RegDoc2="N")+(RegDoc3="N")+(RegDoc4="N")+(RegDoc5="N")+(RegDoc6="N")+(RegDoc7="N")+(RegDoc8="N"))))</f>
        <v/>
      </c>
      <c r="E201" s="47">
        <f>IFERROR(IF($A201="","",C201/(C201+D201)),0)</f>
        <v/>
      </c>
      <c r="F201" s="43">
        <f>IF($A201="","",TRIM(IF(INDEX(RegDoc1,MATCH($A201,RegCaseNo,0))="N","Affidavit of Complaint; ","")&amp;IF(INDEX(RegDoc2,MATCH($A201,RegCaseNo,0))="N","Sworn Statements; ","")&amp;IF(INDEX(RegDoc3,MATCH($A201,RegCaseNo,0))="N","Police / Incident Report; ","")&amp;IF(INDEX(RegDoc4,MATCH($A201,RegCaseNo,0))="N","Evidence and Exhibits; ","")&amp;IF(INDEX(RegDoc5,MATCH($A201,RegCaseNo,0))="N","Resolution / Information; ","")&amp;IF(INDEX(RegDoc6,MATCH($A201,RegCaseNo,0))="N","Court Order / Docket; ","")&amp;IF(INDEX(RegDoc7,MATCH($A201,RegCaseNo,0))="N","Bail / Bond Records; ","")&amp;IF(INDEX(RegDoc8,MATCH($A201,RegCaseNo,0))="N","Judgment / Order; ","")))</f>
        <v/>
      </c>
      <c r="G201" s="32" t="n"/>
      <c r="H201" s="30" t="n"/>
      <c r="I201" s="31" t="n"/>
      <c r="J201" s="45">
        <f>IF($A201="","",IF(E201=1,"Complete",IF(AND(I201&lt;&gt;"",I201&lt;TODAY(),E201&lt;1),"Follow-up overdue",IF(E201&gt;=0.75,"Minor gaps","Action needed"))))</f>
        <v/>
      </c>
    </row>
    <row r="202" ht="26" customHeight="1">
      <c r="A202" s="30" t="n"/>
      <c r="B202" s="43">
        <f>IFERROR(IF($A202="","",INDEX(RegTitle,MATCH($A202,RegCaseNo,0))),"Case no. not found")</f>
        <v/>
      </c>
      <c r="C202" s="44">
        <f>IF($A202="","",SUMPRODUCT((RegCaseNo=$A202)*((RegDoc1="Y")+(RegDoc2="Y")+(RegDoc3="Y")+(RegDoc4="Y")+(RegDoc5="Y")+(RegDoc6="Y")+(RegDoc7="Y")+(RegDoc8="Y"))))</f>
        <v/>
      </c>
      <c r="D202" s="44">
        <f>IF($A202="","",SUMPRODUCT((RegCaseNo=$A202)*((RegDoc1="N")+(RegDoc2="N")+(RegDoc3="N")+(RegDoc4="N")+(RegDoc5="N")+(RegDoc6="N")+(RegDoc7="N")+(RegDoc8="N"))))</f>
        <v/>
      </c>
      <c r="E202" s="47">
        <f>IFERROR(IF($A202="","",C202/(C202+D202)),0)</f>
        <v/>
      </c>
      <c r="F202" s="43">
        <f>IF($A202="","",TRIM(IF(INDEX(RegDoc1,MATCH($A202,RegCaseNo,0))="N","Affidavit of Complaint; ","")&amp;IF(INDEX(RegDoc2,MATCH($A202,RegCaseNo,0))="N","Sworn Statements; ","")&amp;IF(INDEX(RegDoc3,MATCH($A202,RegCaseNo,0))="N","Police / Incident Report; ","")&amp;IF(INDEX(RegDoc4,MATCH($A202,RegCaseNo,0))="N","Evidence and Exhibits; ","")&amp;IF(INDEX(RegDoc5,MATCH($A202,RegCaseNo,0))="N","Resolution / Information; ","")&amp;IF(INDEX(RegDoc6,MATCH($A202,RegCaseNo,0))="N","Court Order / Docket; ","")&amp;IF(INDEX(RegDoc7,MATCH($A202,RegCaseNo,0))="N","Bail / Bond Records; ","")&amp;IF(INDEX(RegDoc8,MATCH($A202,RegCaseNo,0))="N","Judgment / Order; ","")))</f>
        <v/>
      </c>
      <c r="G202" s="32" t="n"/>
      <c r="H202" s="30" t="n"/>
      <c r="I202" s="31" t="n"/>
      <c r="J202" s="45">
        <f>IF($A202="","",IF(E202=1,"Complete",IF(AND(I202&lt;&gt;"",I202&lt;TODAY(),E202&lt;1),"Follow-up overdue",IF(E202&gt;=0.75,"Minor gaps","Action needed"))))</f>
        <v/>
      </c>
    </row>
    <row r="203" ht="26" customHeight="1">
      <c r="A203" s="30" t="n"/>
      <c r="B203" s="43">
        <f>IFERROR(IF($A203="","",INDEX(RegTitle,MATCH($A203,RegCaseNo,0))),"Case no. not found")</f>
        <v/>
      </c>
      <c r="C203" s="44">
        <f>IF($A203="","",SUMPRODUCT((RegCaseNo=$A203)*((RegDoc1="Y")+(RegDoc2="Y")+(RegDoc3="Y")+(RegDoc4="Y")+(RegDoc5="Y")+(RegDoc6="Y")+(RegDoc7="Y")+(RegDoc8="Y"))))</f>
        <v/>
      </c>
      <c r="D203" s="44">
        <f>IF($A203="","",SUMPRODUCT((RegCaseNo=$A203)*((RegDoc1="N")+(RegDoc2="N")+(RegDoc3="N")+(RegDoc4="N")+(RegDoc5="N")+(RegDoc6="N")+(RegDoc7="N")+(RegDoc8="N"))))</f>
        <v/>
      </c>
      <c r="E203" s="47">
        <f>IFERROR(IF($A203="","",C203/(C203+D203)),0)</f>
        <v/>
      </c>
      <c r="F203" s="43">
        <f>IF($A203="","",TRIM(IF(INDEX(RegDoc1,MATCH($A203,RegCaseNo,0))="N","Affidavit of Complaint; ","")&amp;IF(INDEX(RegDoc2,MATCH($A203,RegCaseNo,0))="N","Sworn Statements; ","")&amp;IF(INDEX(RegDoc3,MATCH($A203,RegCaseNo,0))="N","Police / Incident Report; ","")&amp;IF(INDEX(RegDoc4,MATCH($A203,RegCaseNo,0))="N","Evidence and Exhibits; ","")&amp;IF(INDEX(RegDoc5,MATCH($A203,RegCaseNo,0))="N","Resolution / Information; ","")&amp;IF(INDEX(RegDoc6,MATCH($A203,RegCaseNo,0))="N","Court Order / Docket; ","")&amp;IF(INDEX(RegDoc7,MATCH($A203,RegCaseNo,0))="N","Bail / Bond Records; ","")&amp;IF(INDEX(RegDoc8,MATCH($A203,RegCaseNo,0))="N","Judgment / Order; ","")))</f>
        <v/>
      </c>
      <c r="G203" s="32" t="n"/>
      <c r="H203" s="30" t="n"/>
      <c r="I203" s="31" t="n"/>
      <c r="J203" s="45">
        <f>IF($A203="","",IF(E203=1,"Complete",IF(AND(I203&lt;&gt;"",I203&lt;TODAY(),E203&lt;1),"Follow-up overdue",IF(E203&gt;=0.75,"Minor gaps","Action needed"))))</f>
        <v/>
      </c>
    </row>
    <row r="204" ht="26" customHeight="1">
      <c r="A204" s="30" t="n"/>
      <c r="B204" s="43">
        <f>IFERROR(IF($A204="","",INDEX(RegTitle,MATCH($A204,RegCaseNo,0))),"Case no. not found")</f>
        <v/>
      </c>
      <c r="C204" s="44">
        <f>IF($A204="","",SUMPRODUCT((RegCaseNo=$A204)*((RegDoc1="Y")+(RegDoc2="Y")+(RegDoc3="Y")+(RegDoc4="Y")+(RegDoc5="Y")+(RegDoc6="Y")+(RegDoc7="Y")+(RegDoc8="Y"))))</f>
        <v/>
      </c>
      <c r="D204" s="44">
        <f>IF($A204="","",SUMPRODUCT((RegCaseNo=$A204)*((RegDoc1="N")+(RegDoc2="N")+(RegDoc3="N")+(RegDoc4="N")+(RegDoc5="N")+(RegDoc6="N")+(RegDoc7="N")+(RegDoc8="N"))))</f>
        <v/>
      </c>
      <c r="E204" s="47">
        <f>IFERROR(IF($A204="","",C204/(C204+D204)),0)</f>
        <v/>
      </c>
      <c r="F204" s="43">
        <f>IF($A204="","",TRIM(IF(INDEX(RegDoc1,MATCH($A204,RegCaseNo,0))="N","Affidavit of Complaint; ","")&amp;IF(INDEX(RegDoc2,MATCH($A204,RegCaseNo,0))="N","Sworn Statements; ","")&amp;IF(INDEX(RegDoc3,MATCH($A204,RegCaseNo,0))="N","Police / Incident Report; ","")&amp;IF(INDEX(RegDoc4,MATCH($A204,RegCaseNo,0))="N","Evidence and Exhibits; ","")&amp;IF(INDEX(RegDoc5,MATCH($A204,RegCaseNo,0))="N","Resolution / Information; ","")&amp;IF(INDEX(RegDoc6,MATCH($A204,RegCaseNo,0))="N","Court Order / Docket; ","")&amp;IF(INDEX(RegDoc7,MATCH($A204,RegCaseNo,0))="N","Bail / Bond Records; ","")&amp;IF(INDEX(RegDoc8,MATCH($A204,RegCaseNo,0))="N","Judgment / Order; ","")))</f>
        <v/>
      </c>
      <c r="G204" s="32" t="n"/>
      <c r="H204" s="30" t="n"/>
      <c r="I204" s="31" t="n"/>
      <c r="J204" s="45">
        <f>IF($A204="","",IF(E204=1,"Complete",IF(AND(I204&lt;&gt;"",I204&lt;TODAY(),E204&lt;1),"Follow-up overdue",IF(E204&gt;=0.75,"Minor gaps","Action needed"))))</f>
        <v/>
      </c>
    </row>
    <row r="205" ht="26" customHeight="1">
      <c r="A205" s="30" t="n"/>
      <c r="B205" s="43">
        <f>IFERROR(IF($A205="","",INDEX(RegTitle,MATCH($A205,RegCaseNo,0))),"Case no. not found")</f>
        <v/>
      </c>
      <c r="C205" s="44">
        <f>IF($A205="","",SUMPRODUCT((RegCaseNo=$A205)*((RegDoc1="Y")+(RegDoc2="Y")+(RegDoc3="Y")+(RegDoc4="Y")+(RegDoc5="Y")+(RegDoc6="Y")+(RegDoc7="Y")+(RegDoc8="Y"))))</f>
        <v/>
      </c>
      <c r="D205" s="44">
        <f>IF($A205="","",SUMPRODUCT((RegCaseNo=$A205)*((RegDoc1="N")+(RegDoc2="N")+(RegDoc3="N")+(RegDoc4="N")+(RegDoc5="N")+(RegDoc6="N")+(RegDoc7="N")+(RegDoc8="N"))))</f>
        <v/>
      </c>
      <c r="E205" s="47">
        <f>IFERROR(IF($A205="","",C205/(C205+D205)),0)</f>
        <v/>
      </c>
      <c r="F205" s="43">
        <f>IF($A205="","",TRIM(IF(INDEX(RegDoc1,MATCH($A205,RegCaseNo,0))="N","Affidavit of Complaint; ","")&amp;IF(INDEX(RegDoc2,MATCH($A205,RegCaseNo,0))="N","Sworn Statements; ","")&amp;IF(INDEX(RegDoc3,MATCH($A205,RegCaseNo,0))="N","Police / Incident Report; ","")&amp;IF(INDEX(RegDoc4,MATCH($A205,RegCaseNo,0))="N","Evidence and Exhibits; ","")&amp;IF(INDEX(RegDoc5,MATCH($A205,RegCaseNo,0))="N","Resolution / Information; ","")&amp;IF(INDEX(RegDoc6,MATCH($A205,RegCaseNo,0))="N","Court Order / Docket; ","")&amp;IF(INDEX(RegDoc7,MATCH($A205,RegCaseNo,0))="N","Bail / Bond Records; ","")&amp;IF(INDEX(RegDoc8,MATCH($A205,RegCaseNo,0))="N","Judgment / Order; ","")))</f>
        <v/>
      </c>
      <c r="G205" s="32" t="n"/>
      <c r="H205" s="30" t="n"/>
      <c r="I205" s="31" t="n"/>
      <c r="J205" s="45">
        <f>IF($A205="","",IF(E205=1,"Complete",IF(AND(I205&lt;&gt;"",I205&lt;TODAY(),E205&lt;1),"Follow-up overdue",IF(E205&gt;=0.75,"Minor gaps","Action needed"))))</f>
        <v/>
      </c>
    </row>
    <row r="206" ht="26" customHeight="1">
      <c r="A206" s="30" t="n"/>
      <c r="B206" s="43">
        <f>IFERROR(IF($A206="","",INDEX(RegTitle,MATCH($A206,RegCaseNo,0))),"Case no. not found")</f>
        <v/>
      </c>
      <c r="C206" s="44">
        <f>IF($A206="","",SUMPRODUCT((RegCaseNo=$A206)*((RegDoc1="Y")+(RegDoc2="Y")+(RegDoc3="Y")+(RegDoc4="Y")+(RegDoc5="Y")+(RegDoc6="Y")+(RegDoc7="Y")+(RegDoc8="Y"))))</f>
        <v/>
      </c>
      <c r="D206" s="44">
        <f>IF($A206="","",SUMPRODUCT((RegCaseNo=$A206)*((RegDoc1="N")+(RegDoc2="N")+(RegDoc3="N")+(RegDoc4="N")+(RegDoc5="N")+(RegDoc6="N")+(RegDoc7="N")+(RegDoc8="N"))))</f>
        <v/>
      </c>
      <c r="E206" s="47">
        <f>IFERROR(IF($A206="","",C206/(C206+D206)),0)</f>
        <v/>
      </c>
      <c r="F206" s="43">
        <f>IF($A206="","",TRIM(IF(INDEX(RegDoc1,MATCH($A206,RegCaseNo,0))="N","Affidavit of Complaint; ","")&amp;IF(INDEX(RegDoc2,MATCH($A206,RegCaseNo,0))="N","Sworn Statements; ","")&amp;IF(INDEX(RegDoc3,MATCH($A206,RegCaseNo,0))="N","Police / Incident Report; ","")&amp;IF(INDEX(RegDoc4,MATCH($A206,RegCaseNo,0))="N","Evidence and Exhibits; ","")&amp;IF(INDEX(RegDoc5,MATCH($A206,RegCaseNo,0))="N","Resolution / Information; ","")&amp;IF(INDEX(RegDoc6,MATCH($A206,RegCaseNo,0))="N","Court Order / Docket; ","")&amp;IF(INDEX(RegDoc7,MATCH($A206,RegCaseNo,0))="N","Bail / Bond Records; ","")&amp;IF(INDEX(RegDoc8,MATCH($A206,RegCaseNo,0))="N","Judgment / Order; ","")))</f>
        <v/>
      </c>
      <c r="G206" s="32" t="n"/>
      <c r="H206" s="30" t="n"/>
      <c r="I206" s="31" t="n"/>
      <c r="J206" s="45">
        <f>IF($A206="","",IF(E206=1,"Complete",IF(AND(I206&lt;&gt;"",I206&lt;TODAY(),E206&lt;1),"Follow-up overdue",IF(E206&gt;=0.75,"Minor gaps","Action needed"))))</f>
        <v/>
      </c>
    </row>
    <row r="207" ht="26" customHeight="1">
      <c r="A207" s="30" t="n"/>
      <c r="B207" s="43">
        <f>IFERROR(IF($A207="","",INDEX(RegTitle,MATCH($A207,RegCaseNo,0))),"Case no. not found")</f>
        <v/>
      </c>
      <c r="C207" s="44">
        <f>IF($A207="","",SUMPRODUCT((RegCaseNo=$A207)*((RegDoc1="Y")+(RegDoc2="Y")+(RegDoc3="Y")+(RegDoc4="Y")+(RegDoc5="Y")+(RegDoc6="Y")+(RegDoc7="Y")+(RegDoc8="Y"))))</f>
        <v/>
      </c>
      <c r="D207" s="44">
        <f>IF($A207="","",SUMPRODUCT((RegCaseNo=$A207)*((RegDoc1="N")+(RegDoc2="N")+(RegDoc3="N")+(RegDoc4="N")+(RegDoc5="N")+(RegDoc6="N")+(RegDoc7="N")+(RegDoc8="N"))))</f>
        <v/>
      </c>
      <c r="E207" s="47">
        <f>IFERROR(IF($A207="","",C207/(C207+D207)),0)</f>
        <v/>
      </c>
      <c r="F207" s="43">
        <f>IF($A207="","",TRIM(IF(INDEX(RegDoc1,MATCH($A207,RegCaseNo,0))="N","Affidavit of Complaint; ","")&amp;IF(INDEX(RegDoc2,MATCH($A207,RegCaseNo,0))="N","Sworn Statements; ","")&amp;IF(INDEX(RegDoc3,MATCH($A207,RegCaseNo,0))="N","Police / Incident Report; ","")&amp;IF(INDEX(RegDoc4,MATCH($A207,RegCaseNo,0))="N","Evidence and Exhibits; ","")&amp;IF(INDEX(RegDoc5,MATCH($A207,RegCaseNo,0))="N","Resolution / Information; ","")&amp;IF(INDEX(RegDoc6,MATCH($A207,RegCaseNo,0))="N","Court Order / Docket; ","")&amp;IF(INDEX(RegDoc7,MATCH($A207,RegCaseNo,0))="N","Bail / Bond Records; ","")&amp;IF(INDEX(RegDoc8,MATCH($A207,RegCaseNo,0))="N","Judgment / Order; ","")))</f>
        <v/>
      </c>
      <c r="G207" s="32" t="n"/>
      <c r="H207" s="30" t="n"/>
      <c r="I207" s="31" t="n"/>
      <c r="J207" s="45">
        <f>IF($A207="","",IF(E207=1,"Complete",IF(AND(I207&lt;&gt;"",I207&lt;TODAY(),E207&lt;1),"Follow-up overdue",IF(E207&gt;=0.75,"Minor gaps","Action needed"))))</f>
        <v/>
      </c>
    </row>
    <row r="208" ht="26" customHeight="1">
      <c r="A208" s="30" t="n"/>
      <c r="B208" s="43">
        <f>IFERROR(IF($A208="","",INDEX(RegTitle,MATCH($A208,RegCaseNo,0))),"Case no. not found")</f>
        <v/>
      </c>
      <c r="C208" s="44">
        <f>IF($A208="","",SUMPRODUCT((RegCaseNo=$A208)*((RegDoc1="Y")+(RegDoc2="Y")+(RegDoc3="Y")+(RegDoc4="Y")+(RegDoc5="Y")+(RegDoc6="Y")+(RegDoc7="Y")+(RegDoc8="Y"))))</f>
        <v/>
      </c>
      <c r="D208" s="44">
        <f>IF($A208="","",SUMPRODUCT((RegCaseNo=$A208)*((RegDoc1="N")+(RegDoc2="N")+(RegDoc3="N")+(RegDoc4="N")+(RegDoc5="N")+(RegDoc6="N")+(RegDoc7="N")+(RegDoc8="N"))))</f>
        <v/>
      </c>
      <c r="E208" s="47">
        <f>IFERROR(IF($A208="","",C208/(C208+D208)),0)</f>
        <v/>
      </c>
      <c r="F208" s="43">
        <f>IF($A208="","",TRIM(IF(INDEX(RegDoc1,MATCH($A208,RegCaseNo,0))="N","Affidavit of Complaint; ","")&amp;IF(INDEX(RegDoc2,MATCH($A208,RegCaseNo,0))="N","Sworn Statements; ","")&amp;IF(INDEX(RegDoc3,MATCH($A208,RegCaseNo,0))="N","Police / Incident Report; ","")&amp;IF(INDEX(RegDoc4,MATCH($A208,RegCaseNo,0))="N","Evidence and Exhibits; ","")&amp;IF(INDEX(RegDoc5,MATCH($A208,RegCaseNo,0))="N","Resolution / Information; ","")&amp;IF(INDEX(RegDoc6,MATCH($A208,RegCaseNo,0))="N","Court Order / Docket; ","")&amp;IF(INDEX(RegDoc7,MATCH($A208,RegCaseNo,0))="N","Bail / Bond Records; ","")&amp;IF(INDEX(RegDoc8,MATCH($A208,RegCaseNo,0))="N","Judgment / Order; ","")))</f>
        <v/>
      </c>
      <c r="G208" s="32" t="n"/>
      <c r="H208" s="30" t="n"/>
      <c r="I208" s="31" t="n"/>
      <c r="J208" s="45">
        <f>IF($A208="","",IF(E208=1,"Complete",IF(AND(I208&lt;&gt;"",I208&lt;TODAY(),E208&lt;1),"Follow-up overdue",IF(E208&gt;=0.75,"Minor gaps","Action needed"))))</f>
        <v/>
      </c>
    </row>
    <row r="209" ht="26" customHeight="1">
      <c r="A209" s="30" t="n"/>
      <c r="B209" s="43">
        <f>IFERROR(IF($A209="","",INDEX(RegTitle,MATCH($A209,RegCaseNo,0))),"Case no. not found")</f>
        <v/>
      </c>
      <c r="C209" s="44">
        <f>IF($A209="","",SUMPRODUCT((RegCaseNo=$A209)*((RegDoc1="Y")+(RegDoc2="Y")+(RegDoc3="Y")+(RegDoc4="Y")+(RegDoc5="Y")+(RegDoc6="Y")+(RegDoc7="Y")+(RegDoc8="Y"))))</f>
        <v/>
      </c>
      <c r="D209" s="44">
        <f>IF($A209="","",SUMPRODUCT((RegCaseNo=$A209)*((RegDoc1="N")+(RegDoc2="N")+(RegDoc3="N")+(RegDoc4="N")+(RegDoc5="N")+(RegDoc6="N")+(RegDoc7="N")+(RegDoc8="N"))))</f>
        <v/>
      </c>
      <c r="E209" s="47">
        <f>IFERROR(IF($A209="","",C209/(C209+D209)),0)</f>
        <v/>
      </c>
      <c r="F209" s="43">
        <f>IF($A209="","",TRIM(IF(INDEX(RegDoc1,MATCH($A209,RegCaseNo,0))="N","Affidavit of Complaint; ","")&amp;IF(INDEX(RegDoc2,MATCH($A209,RegCaseNo,0))="N","Sworn Statements; ","")&amp;IF(INDEX(RegDoc3,MATCH($A209,RegCaseNo,0))="N","Police / Incident Report; ","")&amp;IF(INDEX(RegDoc4,MATCH($A209,RegCaseNo,0))="N","Evidence and Exhibits; ","")&amp;IF(INDEX(RegDoc5,MATCH($A209,RegCaseNo,0))="N","Resolution / Information; ","")&amp;IF(INDEX(RegDoc6,MATCH($A209,RegCaseNo,0))="N","Court Order / Docket; ","")&amp;IF(INDEX(RegDoc7,MATCH($A209,RegCaseNo,0))="N","Bail / Bond Records; ","")&amp;IF(INDEX(RegDoc8,MATCH($A209,RegCaseNo,0))="N","Judgment / Order; ","")))</f>
        <v/>
      </c>
      <c r="G209" s="32" t="n"/>
      <c r="H209" s="30" t="n"/>
      <c r="I209" s="31" t="n"/>
      <c r="J209" s="45">
        <f>IF($A209="","",IF(E209=1,"Complete",IF(AND(I209&lt;&gt;"",I209&lt;TODAY(),E209&lt;1),"Follow-up overdue",IF(E209&gt;=0.75,"Minor gaps","Action needed"))))</f>
        <v/>
      </c>
    </row>
    <row r="210" ht="26" customHeight="1">
      <c r="A210" s="30" t="n"/>
      <c r="B210" s="43">
        <f>IFERROR(IF($A210="","",INDEX(RegTitle,MATCH($A210,RegCaseNo,0))),"Case no. not found")</f>
        <v/>
      </c>
      <c r="C210" s="44">
        <f>IF($A210="","",SUMPRODUCT((RegCaseNo=$A210)*((RegDoc1="Y")+(RegDoc2="Y")+(RegDoc3="Y")+(RegDoc4="Y")+(RegDoc5="Y")+(RegDoc6="Y")+(RegDoc7="Y")+(RegDoc8="Y"))))</f>
        <v/>
      </c>
      <c r="D210" s="44">
        <f>IF($A210="","",SUMPRODUCT((RegCaseNo=$A210)*((RegDoc1="N")+(RegDoc2="N")+(RegDoc3="N")+(RegDoc4="N")+(RegDoc5="N")+(RegDoc6="N")+(RegDoc7="N")+(RegDoc8="N"))))</f>
        <v/>
      </c>
      <c r="E210" s="47">
        <f>IFERROR(IF($A210="","",C210/(C210+D210)),0)</f>
        <v/>
      </c>
      <c r="F210" s="43">
        <f>IF($A210="","",TRIM(IF(INDEX(RegDoc1,MATCH($A210,RegCaseNo,0))="N","Affidavit of Complaint; ","")&amp;IF(INDEX(RegDoc2,MATCH($A210,RegCaseNo,0))="N","Sworn Statements; ","")&amp;IF(INDEX(RegDoc3,MATCH($A210,RegCaseNo,0))="N","Police / Incident Report; ","")&amp;IF(INDEX(RegDoc4,MATCH($A210,RegCaseNo,0))="N","Evidence and Exhibits; ","")&amp;IF(INDEX(RegDoc5,MATCH($A210,RegCaseNo,0))="N","Resolution / Information; ","")&amp;IF(INDEX(RegDoc6,MATCH($A210,RegCaseNo,0))="N","Court Order / Docket; ","")&amp;IF(INDEX(RegDoc7,MATCH($A210,RegCaseNo,0))="N","Bail / Bond Records; ","")&amp;IF(INDEX(RegDoc8,MATCH($A210,RegCaseNo,0))="N","Judgment / Order; ","")))</f>
        <v/>
      </c>
      <c r="G210" s="32" t="n"/>
      <c r="H210" s="30" t="n"/>
      <c r="I210" s="31" t="n"/>
      <c r="J210" s="45">
        <f>IF($A210="","",IF(E210=1,"Complete",IF(AND(I210&lt;&gt;"",I210&lt;TODAY(),E210&lt;1),"Follow-up overdue",IF(E210&gt;=0.75,"Minor gaps","Action needed"))))</f>
        <v/>
      </c>
    </row>
    <row r="211" ht="26" customHeight="1">
      <c r="A211" s="30" t="n"/>
      <c r="B211" s="43">
        <f>IFERROR(IF($A211="","",INDEX(RegTitle,MATCH($A211,RegCaseNo,0))),"Case no. not found")</f>
        <v/>
      </c>
      <c r="C211" s="44">
        <f>IF($A211="","",SUMPRODUCT((RegCaseNo=$A211)*((RegDoc1="Y")+(RegDoc2="Y")+(RegDoc3="Y")+(RegDoc4="Y")+(RegDoc5="Y")+(RegDoc6="Y")+(RegDoc7="Y")+(RegDoc8="Y"))))</f>
        <v/>
      </c>
      <c r="D211" s="44">
        <f>IF($A211="","",SUMPRODUCT((RegCaseNo=$A211)*((RegDoc1="N")+(RegDoc2="N")+(RegDoc3="N")+(RegDoc4="N")+(RegDoc5="N")+(RegDoc6="N")+(RegDoc7="N")+(RegDoc8="N"))))</f>
        <v/>
      </c>
      <c r="E211" s="47">
        <f>IFERROR(IF($A211="","",C211/(C211+D211)),0)</f>
        <v/>
      </c>
      <c r="F211" s="43">
        <f>IF($A211="","",TRIM(IF(INDEX(RegDoc1,MATCH($A211,RegCaseNo,0))="N","Affidavit of Complaint; ","")&amp;IF(INDEX(RegDoc2,MATCH($A211,RegCaseNo,0))="N","Sworn Statements; ","")&amp;IF(INDEX(RegDoc3,MATCH($A211,RegCaseNo,0))="N","Police / Incident Report; ","")&amp;IF(INDEX(RegDoc4,MATCH($A211,RegCaseNo,0))="N","Evidence and Exhibits; ","")&amp;IF(INDEX(RegDoc5,MATCH($A211,RegCaseNo,0))="N","Resolution / Information; ","")&amp;IF(INDEX(RegDoc6,MATCH($A211,RegCaseNo,0))="N","Court Order / Docket; ","")&amp;IF(INDEX(RegDoc7,MATCH($A211,RegCaseNo,0))="N","Bail / Bond Records; ","")&amp;IF(INDEX(RegDoc8,MATCH($A211,RegCaseNo,0))="N","Judgment / Order; ","")))</f>
        <v/>
      </c>
      <c r="G211" s="32" t="n"/>
      <c r="H211" s="30" t="n"/>
      <c r="I211" s="31" t="n"/>
      <c r="J211" s="45">
        <f>IF($A211="","",IF(E211=1,"Complete",IF(AND(I211&lt;&gt;"",I211&lt;TODAY(),E211&lt;1),"Follow-up overdue",IF(E211&gt;=0.75,"Minor gaps","Action needed"))))</f>
        <v/>
      </c>
    </row>
    <row r="212" ht="26" customHeight="1">
      <c r="A212" s="30" t="n"/>
      <c r="B212" s="43">
        <f>IFERROR(IF($A212="","",INDEX(RegTitle,MATCH($A212,RegCaseNo,0))),"Case no. not found")</f>
        <v/>
      </c>
      <c r="C212" s="44">
        <f>IF($A212="","",SUMPRODUCT((RegCaseNo=$A212)*((RegDoc1="Y")+(RegDoc2="Y")+(RegDoc3="Y")+(RegDoc4="Y")+(RegDoc5="Y")+(RegDoc6="Y")+(RegDoc7="Y")+(RegDoc8="Y"))))</f>
        <v/>
      </c>
      <c r="D212" s="44">
        <f>IF($A212="","",SUMPRODUCT((RegCaseNo=$A212)*((RegDoc1="N")+(RegDoc2="N")+(RegDoc3="N")+(RegDoc4="N")+(RegDoc5="N")+(RegDoc6="N")+(RegDoc7="N")+(RegDoc8="N"))))</f>
        <v/>
      </c>
      <c r="E212" s="47">
        <f>IFERROR(IF($A212="","",C212/(C212+D212)),0)</f>
        <v/>
      </c>
      <c r="F212" s="43">
        <f>IF($A212="","",TRIM(IF(INDEX(RegDoc1,MATCH($A212,RegCaseNo,0))="N","Affidavit of Complaint; ","")&amp;IF(INDEX(RegDoc2,MATCH($A212,RegCaseNo,0))="N","Sworn Statements; ","")&amp;IF(INDEX(RegDoc3,MATCH($A212,RegCaseNo,0))="N","Police / Incident Report; ","")&amp;IF(INDEX(RegDoc4,MATCH($A212,RegCaseNo,0))="N","Evidence and Exhibits; ","")&amp;IF(INDEX(RegDoc5,MATCH($A212,RegCaseNo,0))="N","Resolution / Information; ","")&amp;IF(INDEX(RegDoc6,MATCH($A212,RegCaseNo,0))="N","Court Order / Docket; ","")&amp;IF(INDEX(RegDoc7,MATCH($A212,RegCaseNo,0))="N","Bail / Bond Records; ","")&amp;IF(INDEX(RegDoc8,MATCH($A212,RegCaseNo,0))="N","Judgment / Order; ","")))</f>
        <v/>
      </c>
      <c r="G212" s="32" t="n"/>
      <c r="H212" s="30" t="n"/>
      <c r="I212" s="31" t="n"/>
      <c r="J212" s="45">
        <f>IF($A212="","",IF(E212=1,"Complete",IF(AND(I212&lt;&gt;"",I212&lt;TODAY(),E212&lt;1),"Follow-up overdue",IF(E212&gt;=0.75,"Minor gaps","Action needed"))))</f>
        <v/>
      </c>
    </row>
    <row r="213" ht="26" customHeight="1">
      <c r="A213" s="30" t="n"/>
      <c r="B213" s="43">
        <f>IFERROR(IF($A213="","",INDEX(RegTitle,MATCH($A213,RegCaseNo,0))),"Case no. not found")</f>
        <v/>
      </c>
      <c r="C213" s="44">
        <f>IF($A213="","",SUMPRODUCT((RegCaseNo=$A213)*((RegDoc1="Y")+(RegDoc2="Y")+(RegDoc3="Y")+(RegDoc4="Y")+(RegDoc5="Y")+(RegDoc6="Y")+(RegDoc7="Y")+(RegDoc8="Y"))))</f>
        <v/>
      </c>
      <c r="D213" s="44">
        <f>IF($A213="","",SUMPRODUCT((RegCaseNo=$A213)*((RegDoc1="N")+(RegDoc2="N")+(RegDoc3="N")+(RegDoc4="N")+(RegDoc5="N")+(RegDoc6="N")+(RegDoc7="N")+(RegDoc8="N"))))</f>
        <v/>
      </c>
      <c r="E213" s="47">
        <f>IFERROR(IF($A213="","",C213/(C213+D213)),0)</f>
        <v/>
      </c>
      <c r="F213" s="43">
        <f>IF($A213="","",TRIM(IF(INDEX(RegDoc1,MATCH($A213,RegCaseNo,0))="N","Affidavit of Complaint; ","")&amp;IF(INDEX(RegDoc2,MATCH($A213,RegCaseNo,0))="N","Sworn Statements; ","")&amp;IF(INDEX(RegDoc3,MATCH($A213,RegCaseNo,0))="N","Police / Incident Report; ","")&amp;IF(INDEX(RegDoc4,MATCH($A213,RegCaseNo,0))="N","Evidence and Exhibits; ","")&amp;IF(INDEX(RegDoc5,MATCH($A213,RegCaseNo,0))="N","Resolution / Information; ","")&amp;IF(INDEX(RegDoc6,MATCH($A213,RegCaseNo,0))="N","Court Order / Docket; ","")&amp;IF(INDEX(RegDoc7,MATCH($A213,RegCaseNo,0))="N","Bail / Bond Records; ","")&amp;IF(INDEX(RegDoc8,MATCH($A213,RegCaseNo,0))="N","Judgment / Order; ","")))</f>
        <v/>
      </c>
      <c r="G213" s="32" t="n"/>
      <c r="H213" s="30" t="n"/>
      <c r="I213" s="31" t="n"/>
      <c r="J213" s="45">
        <f>IF($A213="","",IF(E213=1,"Complete",IF(AND(I213&lt;&gt;"",I213&lt;TODAY(),E213&lt;1),"Follow-up overdue",IF(E213&gt;=0.75,"Minor gaps","Action needed"))))</f>
        <v/>
      </c>
    </row>
    <row r="214" ht="26" customHeight="1">
      <c r="A214" s="30" t="n"/>
      <c r="B214" s="43">
        <f>IFERROR(IF($A214="","",INDEX(RegTitle,MATCH($A214,RegCaseNo,0))),"Case no. not found")</f>
        <v/>
      </c>
      <c r="C214" s="44">
        <f>IF($A214="","",SUMPRODUCT((RegCaseNo=$A214)*((RegDoc1="Y")+(RegDoc2="Y")+(RegDoc3="Y")+(RegDoc4="Y")+(RegDoc5="Y")+(RegDoc6="Y")+(RegDoc7="Y")+(RegDoc8="Y"))))</f>
        <v/>
      </c>
      <c r="D214" s="44">
        <f>IF($A214="","",SUMPRODUCT((RegCaseNo=$A214)*((RegDoc1="N")+(RegDoc2="N")+(RegDoc3="N")+(RegDoc4="N")+(RegDoc5="N")+(RegDoc6="N")+(RegDoc7="N")+(RegDoc8="N"))))</f>
        <v/>
      </c>
      <c r="E214" s="47">
        <f>IFERROR(IF($A214="","",C214/(C214+D214)),0)</f>
        <v/>
      </c>
      <c r="F214" s="43">
        <f>IF($A214="","",TRIM(IF(INDEX(RegDoc1,MATCH($A214,RegCaseNo,0))="N","Affidavit of Complaint; ","")&amp;IF(INDEX(RegDoc2,MATCH($A214,RegCaseNo,0))="N","Sworn Statements; ","")&amp;IF(INDEX(RegDoc3,MATCH($A214,RegCaseNo,0))="N","Police / Incident Report; ","")&amp;IF(INDEX(RegDoc4,MATCH($A214,RegCaseNo,0))="N","Evidence and Exhibits; ","")&amp;IF(INDEX(RegDoc5,MATCH($A214,RegCaseNo,0))="N","Resolution / Information; ","")&amp;IF(INDEX(RegDoc6,MATCH($A214,RegCaseNo,0))="N","Court Order / Docket; ","")&amp;IF(INDEX(RegDoc7,MATCH($A214,RegCaseNo,0))="N","Bail / Bond Records; ","")&amp;IF(INDEX(RegDoc8,MATCH($A214,RegCaseNo,0))="N","Judgment / Order; ","")))</f>
        <v/>
      </c>
      <c r="G214" s="32" t="n"/>
      <c r="H214" s="30" t="n"/>
      <c r="I214" s="31" t="n"/>
      <c r="J214" s="45">
        <f>IF($A214="","",IF(E214=1,"Complete",IF(AND(I214&lt;&gt;"",I214&lt;TODAY(),E214&lt;1),"Follow-up overdue",IF(E214&gt;=0.75,"Minor gaps","Action needed"))))</f>
        <v/>
      </c>
    </row>
    <row r="215" ht="26" customHeight="1">
      <c r="A215" s="30" t="n"/>
      <c r="B215" s="43">
        <f>IFERROR(IF($A215="","",INDEX(RegTitle,MATCH($A215,RegCaseNo,0))),"Case no. not found")</f>
        <v/>
      </c>
      <c r="C215" s="44">
        <f>IF($A215="","",SUMPRODUCT((RegCaseNo=$A215)*((RegDoc1="Y")+(RegDoc2="Y")+(RegDoc3="Y")+(RegDoc4="Y")+(RegDoc5="Y")+(RegDoc6="Y")+(RegDoc7="Y")+(RegDoc8="Y"))))</f>
        <v/>
      </c>
      <c r="D215" s="44">
        <f>IF($A215="","",SUMPRODUCT((RegCaseNo=$A215)*((RegDoc1="N")+(RegDoc2="N")+(RegDoc3="N")+(RegDoc4="N")+(RegDoc5="N")+(RegDoc6="N")+(RegDoc7="N")+(RegDoc8="N"))))</f>
        <v/>
      </c>
      <c r="E215" s="47">
        <f>IFERROR(IF($A215="","",C215/(C215+D215)),0)</f>
        <v/>
      </c>
      <c r="F215" s="43">
        <f>IF($A215="","",TRIM(IF(INDEX(RegDoc1,MATCH($A215,RegCaseNo,0))="N","Affidavit of Complaint; ","")&amp;IF(INDEX(RegDoc2,MATCH($A215,RegCaseNo,0))="N","Sworn Statements; ","")&amp;IF(INDEX(RegDoc3,MATCH($A215,RegCaseNo,0))="N","Police / Incident Report; ","")&amp;IF(INDEX(RegDoc4,MATCH($A215,RegCaseNo,0))="N","Evidence and Exhibits; ","")&amp;IF(INDEX(RegDoc5,MATCH($A215,RegCaseNo,0))="N","Resolution / Information; ","")&amp;IF(INDEX(RegDoc6,MATCH($A215,RegCaseNo,0))="N","Court Order / Docket; ","")&amp;IF(INDEX(RegDoc7,MATCH($A215,RegCaseNo,0))="N","Bail / Bond Records; ","")&amp;IF(INDEX(RegDoc8,MATCH($A215,RegCaseNo,0))="N","Judgment / Order; ","")))</f>
        <v/>
      </c>
      <c r="G215" s="32" t="n"/>
      <c r="H215" s="30" t="n"/>
      <c r="I215" s="31" t="n"/>
      <c r="J215" s="45">
        <f>IF($A215="","",IF(E215=1,"Complete",IF(AND(I215&lt;&gt;"",I215&lt;TODAY(),E215&lt;1),"Follow-up overdue",IF(E215&gt;=0.75,"Minor gaps","Action needed"))))</f>
        <v/>
      </c>
    </row>
    <row r="216" ht="26" customHeight="1">
      <c r="A216" s="30" t="n"/>
      <c r="B216" s="43">
        <f>IFERROR(IF($A216="","",INDEX(RegTitle,MATCH($A216,RegCaseNo,0))),"Case no. not found")</f>
        <v/>
      </c>
      <c r="C216" s="44">
        <f>IF($A216="","",SUMPRODUCT((RegCaseNo=$A216)*((RegDoc1="Y")+(RegDoc2="Y")+(RegDoc3="Y")+(RegDoc4="Y")+(RegDoc5="Y")+(RegDoc6="Y")+(RegDoc7="Y")+(RegDoc8="Y"))))</f>
        <v/>
      </c>
      <c r="D216" s="44">
        <f>IF($A216="","",SUMPRODUCT((RegCaseNo=$A216)*((RegDoc1="N")+(RegDoc2="N")+(RegDoc3="N")+(RegDoc4="N")+(RegDoc5="N")+(RegDoc6="N")+(RegDoc7="N")+(RegDoc8="N"))))</f>
        <v/>
      </c>
      <c r="E216" s="47">
        <f>IFERROR(IF($A216="","",C216/(C216+D216)),0)</f>
        <v/>
      </c>
      <c r="F216" s="43">
        <f>IF($A216="","",TRIM(IF(INDEX(RegDoc1,MATCH($A216,RegCaseNo,0))="N","Affidavit of Complaint; ","")&amp;IF(INDEX(RegDoc2,MATCH($A216,RegCaseNo,0))="N","Sworn Statements; ","")&amp;IF(INDEX(RegDoc3,MATCH($A216,RegCaseNo,0))="N","Police / Incident Report; ","")&amp;IF(INDEX(RegDoc4,MATCH($A216,RegCaseNo,0))="N","Evidence and Exhibits; ","")&amp;IF(INDEX(RegDoc5,MATCH($A216,RegCaseNo,0))="N","Resolution / Information; ","")&amp;IF(INDEX(RegDoc6,MATCH($A216,RegCaseNo,0))="N","Court Order / Docket; ","")&amp;IF(INDEX(RegDoc7,MATCH($A216,RegCaseNo,0))="N","Bail / Bond Records; ","")&amp;IF(INDEX(RegDoc8,MATCH($A216,RegCaseNo,0))="N","Judgment / Order; ","")))</f>
        <v/>
      </c>
      <c r="G216" s="32" t="n"/>
      <c r="H216" s="30" t="n"/>
      <c r="I216" s="31" t="n"/>
      <c r="J216" s="45">
        <f>IF($A216="","",IF(E216=1,"Complete",IF(AND(I216&lt;&gt;"",I216&lt;TODAY(),E216&lt;1),"Follow-up overdue",IF(E216&gt;=0.75,"Minor gaps","Action needed"))))</f>
        <v/>
      </c>
    </row>
    <row r="217" ht="26" customHeight="1">
      <c r="A217" s="30" t="n"/>
      <c r="B217" s="43">
        <f>IFERROR(IF($A217="","",INDEX(RegTitle,MATCH($A217,RegCaseNo,0))),"Case no. not found")</f>
        <v/>
      </c>
      <c r="C217" s="44">
        <f>IF($A217="","",SUMPRODUCT((RegCaseNo=$A217)*((RegDoc1="Y")+(RegDoc2="Y")+(RegDoc3="Y")+(RegDoc4="Y")+(RegDoc5="Y")+(RegDoc6="Y")+(RegDoc7="Y")+(RegDoc8="Y"))))</f>
        <v/>
      </c>
      <c r="D217" s="44">
        <f>IF($A217="","",SUMPRODUCT((RegCaseNo=$A217)*((RegDoc1="N")+(RegDoc2="N")+(RegDoc3="N")+(RegDoc4="N")+(RegDoc5="N")+(RegDoc6="N")+(RegDoc7="N")+(RegDoc8="N"))))</f>
        <v/>
      </c>
      <c r="E217" s="47">
        <f>IFERROR(IF($A217="","",C217/(C217+D217)),0)</f>
        <v/>
      </c>
      <c r="F217" s="43">
        <f>IF($A217="","",TRIM(IF(INDEX(RegDoc1,MATCH($A217,RegCaseNo,0))="N","Affidavit of Complaint; ","")&amp;IF(INDEX(RegDoc2,MATCH($A217,RegCaseNo,0))="N","Sworn Statements; ","")&amp;IF(INDEX(RegDoc3,MATCH($A217,RegCaseNo,0))="N","Police / Incident Report; ","")&amp;IF(INDEX(RegDoc4,MATCH($A217,RegCaseNo,0))="N","Evidence and Exhibits; ","")&amp;IF(INDEX(RegDoc5,MATCH($A217,RegCaseNo,0))="N","Resolution / Information; ","")&amp;IF(INDEX(RegDoc6,MATCH($A217,RegCaseNo,0))="N","Court Order / Docket; ","")&amp;IF(INDEX(RegDoc7,MATCH($A217,RegCaseNo,0))="N","Bail / Bond Records; ","")&amp;IF(INDEX(RegDoc8,MATCH($A217,RegCaseNo,0))="N","Judgment / Order; ","")))</f>
        <v/>
      </c>
      <c r="G217" s="32" t="n"/>
      <c r="H217" s="30" t="n"/>
      <c r="I217" s="31" t="n"/>
      <c r="J217" s="45">
        <f>IF($A217="","",IF(E217=1,"Complete",IF(AND(I217&lt;&gt;"",I217&lt;TODAY(),E217&lt;1),"Follow-up overdue",IF(E217&gt;=0.75,"Minor gaps","Action needed"))))</f>
        <v/>
      </c>
    </row>
    <row r="218" ht="26" customHeight="1">
      <c r="A218" s="30" t="n"/>
      <c r="B218" s="43">
        <f>IFERROR(IF($A218="","",INDEX(RegTitle,MATCH($A218,RegCaseNo,0))),"Case no. not found")</f>
        <v/>
      </c>
      <c r="C218" s="44">
        <f>IF($A218="","",SUMPRODUCT((RegCaseNo=$A218)*((RegDoc1="Y")+(RegDoc2="Y")+(RegDoc3="Y")+(RegDoc4="Y")+(RegDoc5="Y")+(RegDoc6="Y")+(RegDoc7="Y")+(RegDoc8="Y"))))</f>
        <v/>
      </c>
      <c r="D218" s="44">
        <f>IF($A218="","",SUMPRODUCT((RegCaseNo=$A218)*((RegDoc1="N")+(RegDoc2="N")+(RegDoc3="N")+(RegDoc4="N")+(RegDoc5="N")+(RegDoc6="N")+(RegDoc7="N")+(RegDoc8="N"))))</f>
        <v/>
      </c>
      <c r="E218" s="47">
        <f>IFERROR(IF($A218="","",C218/(C218+D218)),0)</f>
        <v/>
      </c>
      <c r="F218" s="43">
        <f>IF($A218="","",TRIM(IF(INDEX(RegDoc1,MATCH($A218,RegCaseNo,0))="N","Affidavit of Complaint; ","")&amp;IF(INDEX(RegDoc2,MATCH($A218,RegCaseNo,0))="N","Sworn Statements; ","")&amp;IF(INDEX(RegDoc3,MATCH($A218,RegCaseNo,0))="N","Police / Incident Report; ","")&amp;IF(INDEX(RegDoc4,MATCH($A218,RegCaseNo,0))="N","Evidence and Exhibits; ","")&amp;IF(INDEX(RegDoc5,MATCH($A218,RegCaseNo,0))="N","Resolution / Information; ","")&amp;IF(INDEX(RegDoc6,MATCH($A218,RegCaseNo,0))="N","Court Order / Docket; ","")&amp;IF(INDEX(RegDoc7,MATCH($A218,RegCaseNo,0))="N","Bail / Bond Records; ","")&amp;IF(INDEX(RegDoc8,MATCH($A218,RegCaseNo,0))="N","Judgment / Order; ","")))</f>
        <v/>
      </c>
      <c r="G218" s="32" t="n"/>
      <c r="H218" s="30" t="n"/>
      <c r="I218" s="31" t="n"/>
      <c r="J218" s="45">
        <f>IF($A218="","",IF(E218=1,"Complete",IF(AND(I218&lt;&gt;"",I218&lt;TODAY(),E218&lt;1),"Follow-up overdue",IF(E218&gt;=0.75,"Minor gaps","Action needed"))))</f>
        <v/>
      </c>
    </row>
    <row r="219" ht="26" customHeight="1">
      <c r="A219" s="30" t="n"/>
      <c r="B219" s="43">
        <f>IFERROR(IF($A219="","",INDEX(RegTitle,MATCH($A219,RegCaseNo,0))),"Case no. not found")</f>
        <v/>
      </c>
      <c r="C219" s="44">
        <f>IF($A219="","",SUMPRODUCT((RegCaseNo=$A219)*((RegDoc1="Y")+(RegDoc2="Y")+(RegDoc3="Y")+(RegDoc4="Y")+(RegDoc5="Y")+(RegDoc6="Y")+(RegDoc7="Y")+(RegDoc8="Y"))))</f>
        <v/>
      </c>
      <c r="D219" s="44">
        <f>IF($A219="","",SUMPRODUCT((RegCaseNo=$A219)*((RegDoc1="N")+(RegDoc2="N")+(RegDoc3="N")+(RegDoc4="N")+(RegDoc5="N")+(RegDoc6="N")+(RegDoc7="N")+(RegDoc8="N"))))</f>
        <v/>
      </c>
      <c r="E219" s="47">
        <f>IFERROR(IF($A219="","",C219/(C219+D219)),0)</f>
        <v/>
      </c>
      <c r="F219" s="43">
        <f>IF($A219="","",TRIM(IF(INDEX(RegDoc1,MATCH($A219,RegCaseNo,0))="N","Affidavit of Complaint; ","")&amp;IF(INDEX(RegDoc2,MATCH($A219,RegCaseNo,0))="N","Sworn Statements; ","")&amp;IF(INDEX(RegDoc3,MATCH($A219,RegCaseNo,0))="N","Police / Incident Report; ","")&amp;IF(INDEX(RegDoc4,MATCH($A219,RegCaseNo,0))="N","Evidence and Exhibits; ","")&amp;IF(INDEX(RegDoc5,MATCH($A219,RegCaseNo,0))="N","Resolution / Information; ","")&amp;IF(INDEX(RegDoc6,MATCH($A219,RegCaseNo,0))="N","Court Order / Docket; ","")&amp;IF(INDEX(RegDoc7,MATCH($A219,RegCaseNo,0))="N","Bail / Bond Records; ","")&amp;IF(INDEX(RegDoc8,MATCH($A219,RegCaseNo,0))="N","Judgment / Order; ","")))</f>
        <v/>
      </c>
      <c r="G219" s="32" t="n"/>
      <c r="H219" s="30" t="n"/>
      <c r="I219" s="31" t="n"/>
      <c r="J219" s="45">
        <f>IF($A219="","",IF(E219=1,"Complete",IF(AND(I219&lt;&gt;"",I219&lt;TODAY(),E219&lt;1),"Follow-up overdue",IF(E219&gt;=0.75,"Minor gaps","Action needed"))))</f>
        <v/>
      </c>
    </row>
    <row r="220" ht="26" customHeight="1">
      <c r="A220" s="30" t="n"/>
      <c r="B220" s="43">
        <f>IFERROR(IF($A220="","",INDEX(RegTitle,MATCH($A220,RegCaseNo,0))),"Case no. not found")</f>
        <v/>
      </c>
      <c r="C220" s="44">
        <f>IF($A220="","",SUMPRODUCT((RegCaseNo=$A220)*((RegDoc1="Y")+(RegDoc2="Y")+(RegDoc3="Y")+(RegDoc4="Y")+(RegDoc5="Y")+(RegDoc6="Y")+(RegDoc7="Y")+(RegDoc8="Y"))))</f>
        <v/>
      </c>
      <c r="D220" s="44">
        <f>IF($A220="","",SUMPRODUCT((RegCaseNo=$A220)*((RegDoc1="N")+(RegDoc2="N")+(RegDoc3="N")+(RegDoc4="N")+(RegDoc5="N")+(RegDoc6="N")+(RegDoc7="N")+(RegDoc8="N"))))</f>
        <v/>
      </c>
      <c r="E220" s="47">
        <f>IFERROR(IF($A220="","",C220/(C220+D220)),0)</f>
        <v/>
      </c>
      <c r="F220" s="43">
        <f>IF($A220="","",TRIM(IF(INDEX(RegDoc1,MATCH($A220,RegCaseNo,0))="N","Affidavit of Complaint; ","")&amp;IF(INDEX(RegDoc2,MATCH($A220,RegCaseNo,0))="N","Sworn Statements; ","")&amp;IF(INDEX(RegDoc3,MATCH($A220,RegCaseNo,0))="N","Police / Incident Report; ","")&amp;IF(INDEX(RegDoc4,MATCH($A220,RegCaseNo,0))="N","Evidence and Exhibits; ","")&amp;IF(INDEX(RegDoc5,MATCH($A220,RegCaseNo,0))="N","Resolution / Information; ","")&amp;IF(INDEX(RegDoc6,MATCH($A220,RegCaseNo,0))="N","Court Order / Docket; ","")&amp;IF(INDEX(RegDoc7,MATCH($A220,RegCaseNo,0))="N","Bail / Bond Records; ","")&amp;IF(INDEX(RegDoc8,MATCH($A220,RegCaseNo,0))="N","Judgment / Order; ","")))</f>
        <v/>
      </c>
      <c r="G220" s="32" t="n"/>
      <c r="H220" s="30" t="n"/>
      <c r="I220" s="31" t="n"/>
      <c r="J220" s="45">
        <f>IF($A220="","",IF(E220=1,"Complete",IF(AND(I220&lt;&gt;"",I220&lt;TODAY(),E220&lt;1),"Follow-up overdue",IF(E220&gt;=0.75,"Minor gaps","Action needed"))))</f>
        <v/>
      </c>
    </row>
    <row r="221" ht="26" customHeight="1">
      <c r="A221" s="30" t="n"/>
      <c r="B221" s="43">
        <f>IFERROR(IF($A221="","",INDEX(RegTitle,MATCH($A221,RegCaseNo,0))),"Case no. not found")</f>
        <v/>
      </c>
      <c r="C221" s="44">
        <f>IF($A221="","",SUMPRODUCT((RegCaseNo=$A221)*((RegDoc1="Y")+(RegDoc2="Y")+(RegDoc3="Y")+(RegDoc4="Y")+(RegDoc5="Y")+(RegDoc6="Y")+(RegDoc7="Y")+(RegDoc8="Y"))))</f>
        <v/>
      </c>
      <c r="D221" s="44">
        <f>IF($A221="","",SUMPRODUCT((RegCaseNo=$A221)*((RegDoc1="N")+(RegDoc2="N")+(RegDoc3="N")+(RegDoc4="N")+(RegDoc5="N")+(RegDoc6="N")+(RegDoc7="N")+(RegDoc8="N"))))</f>
        <v/>
      </c>
      <c r="E221" s="47">
        <f>IFERROR(IF($A221="","",C221/(C221+D221)),0)</f>
        <v/>
      </c>
      <c r="F221" s="43">
        <f>IF($A221="","",TRIM(IF(INDEX(RegDoc1,MATCH($A221,RegCaseNo,0))="N","Affidavit of Complaint; ","")&amp;IF(INDEX(RegDoc2,MATCH($A221,RegCaseNo,0))="N","Sworn Statements; ","")&amp;IF(INDEX(RegDoc3,MATCH($A221,RegCaseNo,0))="N","Police / Incident Report; ","")&amp;IF(INDEX(RegDoc4,MATCH($A221,RegCaseNo,0))="N","Evidence and Exhibits; ","")&amp;IF(INDEX(RegDoc5,MATCH($A221,RegCaseNo,0))="N","Resolution / Information; ","")&amp;IF(INDEX(RegDoc6,MATCH($A221,RegCaseNo,0))="N","Court Order / Docket; ","")&amp;IF(INDEX(RegDoc7,MATCH($A221,RegCaseNo,0))="N","Bail / Bond Records; ","")&amp;IF(INDEX(RegDoc8,MATCH($A221,RegCaseNo,0))="N","Judgment / Order; ","")))</f>
        <v/>
      </c>
      <c r="G221" s="32" t="n"/>
      <c r="H221" s="30" t="n"/>
      <c r="I221" s="31" t="n"/>
      <c r="J221" s="45">
        <f>IF($A221="","",IF(E221=1,"Complete",IF(AND(I221&lt;&gt;"",I221&lt;TODAY(),E221&lt;1),"Follow-up overdue",IF(E221&gt;=0.75,"Minor gaps","Action needed"))))</f>
        <v/>
      </c>
    </row>
    <row r="222" ht="26" customHeight="1">
      <c r="A222" s="30" t="n"/>
      <c r="B222" s="43">
        <f>IFERROR(IF($A222="","",INDEX(RegTitle,MATCH($A222,RegCaseNo,0))),"Case no. not found")</f>
        <v/>
      </c>
      <c r="C222" s="44">
        <f>IF($A222="","",SUMPRODUCT((RegCaseNo=$A222)*((RegDoc1="Y")+(RegDoc2="Y")+(RegDoc3="Y")+(RegDoc4="Y")+(RegDoc5="Y")+(RegDoc6="Y")+(RegDoc7="Y")+(RegDoc8="Y"))))</f>
        <v/>
      </c>
      <c r="D222" s="44">
        <f>IF($A222="","",SUMPRODUCT((RegCaseNo=$A222)*((RegDoc1="N")+(RegDoc2="N")+(RegDoc3="N")+(RegDoc4="N")+(RegDoc5="N")+(RegDoc6="N")+(RegDoc7="N")+(RegDoc8="N"))))</f>
        <v/>
      </c>
      <c r="E222" s="47">
        <f>IFERROR(IF($A222="","",C222/(C222+D222)),0)</f>
        <v/>
      </c>
      <c r="F222" s="43">
        <f>IF($A222="","",TRIM(IF(INDEX(RegDoc1,MATCH($A222,RegCaseNo,0))="N","Affidavit of Complaint; ","")&amp;IF(INDEX(RegDoc2,MATCH($A222,RegCaseNo,0))="N","Sworn Statements; ","")&amp;IF(INDEX(RegDoc3,MATCH($A222,RegCaseNo,0))="N","Police / Incident Report; ","")&amp;IF(INDEX(RegDoc4,MATCH($A222,RegCaseNo,0))="N","Evidence and Exhibits; ","")&amp;IF(INDEX(RegDoc5,MATCH($A222,RegCaseNo,0))="N","Resolution / Information; ","")&amp;IF(INDEX(RegDoc6,MATCH($A222,RegCaseNo,0))="N","Court Order / Docket; ","")&amp;IF(INDEX(RegDoc7,MATCH($A222,RegCaseNo,0))="N","Bail / Bond Records; ","")&amp;IF(INDEX(RegDoc8,MATCH($A222,RegCaseNo,0))="N","Judgment / Order; ","")))</f>
        <v/>
      </c>
      <c r="G222" s="32" t="n"/>
      <c r="H222" s="30" t="n"/>
      <c r="I222" s="31" t="n"/>
      <c r="J222" s="45">
        <f>IF($A222="","",IF(E222=1,"Complete",IF(AND(I222&lt;&gt;"",I222&lt;TODAY(),E222&lt;1),"Follow-up overdue",IF(E222&gt;=0.75,"Minor gaps","Action needed"))))</f>
        <v/>
      </c>
    </row>
    <row r="223" ht="26" customHeight="1">
      <c r="A223" s="30" t="n"/>
      <c r="B223" s="43">
        <f>IFERROR(IF($A223="","",INDEX(RegTitle,MATCH($A223,RegCaseNo,0))),"Case no. not found")</f>
        <v/>
      </c>
      <c r="C223" s="44">
        <f>IF($A223="","",SUMPRODUCT((RegCaseNo=$A223)*((RegDoc1="Y")+(RegDoc2="Y")+(RegDoc3="Y")+(RegDoc4="Y")+(RegDoc5="Y")+(RegDoc6="Y")+(RegDoc7="Y")+(RegDoc8="Y"))))</f>
        <v/>
      </c>
      <c r="D223" s="44">
        <f>IF($A223="","",SUMPRODUCT((RegCaseNo=$A223)*((RegDoc1="N")+(RegDoc2="N")+(RegDoc3="N")+(RegDoc4="N")+(RegDoc5="N")+(RegDoc6="N")+(RegDoc7="N")+(RegDoc8="N"))))</f>
        <v/>
      </c>
      <c r="E223" s="47">
        <f>IFERROR(IF($A223="","",C223/(C223+D223)),0)</f>
        <v/>
      </c>
      <c r="F223" s="43">
        <f>IF($A223="","",TRIM(IF(INDEX(RegDoc1,MATCH($A223,RegCaseNo,0))="N","Affidavit of Complaint; ","")&amp;IF(INDEX(RegDoc2,MATCH($A223,RegCaseNo,0))="N","Sworn Statements; ","")&amp;IF(INDEX(RegDoc3,MATCH($A223,RegCaseNo,0))="N","Police / Incident Report; ","")&amp;IF(INDEX(RegDoc4,MATCH($A223,RegCaseNo,0))="N","Evidence and Exhibits; ","")&amp;IF(INDEX(RegDoc5,MATCH($A223,RegCaseNo,0))="N","Resolution / Information; ","")&amp;IF(INDEX(RegDoc6,MATCH($A223,RegCaseNo,0))="N","Court Order / Docket; ","")&amp;IF(INDEX(RegDoc7,MATCH($A223,RegCaseNo,0))="N","Bail / Bond Records; ","")&amp;IF(INDEX(RegDoc8,MATCH($A223,RegCaseNo,0))="N","Judgment / Order; ","")))</f>
        <v/>
      </c>
      <c r="G223" s="32" t="n"/>
      <c r="H223" s="30" t="n"/>
      <c r="I223" s="31" t="n"/>
      <c r="J223" s="45">
        <f>IF($A223="","",IF(E223=1,"Complete",IF(AND(I223&lt;&gt;"",I223&lt;TODAY(),E223&lt;1),"Follow-up overdue",IF(E223&gt;=0.75,"Minor gaps","Action needed"))))</f>
        <v/>
      </c>
    </row>
    <row r="224" ht="26" customHeight="1">
      <c r="A224" s="30" t="n"/>
      <c r="B224" s="43">
        <f>IFERROR(IF($A224="","",INDEX(RegTitle,MATCH($A224,RegCaseNo,0))),"Case no. not found")</f>
        <v/>
      </c>
      <c r="C224" s="44">
        <f>IF($A224="","",SUMPRODUCT((RegCaseNo=$A224)*((RegDoc1="Y")+(RegDoc2="Y")+(RegDoc3="Y")+(RegDoc4="Y")+(RegDoc5="Y")+(RegDoc6="Y")+(RegDoc7="Y")+(RegDoc8="Y"))))</f>
        <v/>
      </c>
      <c r="D224" s="44">
        <f>IF($A224="","",SUMPRODUCT((RegCaseNo=$A224)*((RegDoc1="N")+(RegDoc2="N")+(RegDoc3="N")+(RegDoc4="N")+(RegDoc5="N")+(RegDoc6="N")+(RegDoc7="N")+(RegDoc8="N"))))</f>
        <v/>
      </c>
      <c r="E224" s="47">
        <f>IFERROR(IF($A224="","",C224/(C224+D224)),0)</f>
        <v/>
      </c>
      <c r="F224" s="43">
        <f>IF($A224="","",TRIM(IF(INDEX(RegDoc1,MATCH($A224,RegCaseNo,0))="N","Affidavit of Complaint; ","")&amp;IF(INDEX(RegDoc2,MATCH($A224,RegCaseNo,0))="N","Sworn Statements; ","")&amp;IF(INDEX(RegDoc3,MATCH($A224,RegCaseNo,0))="N","Police / Incident Report; ","")&amp;IF(INDEX(RegDoc4,MATCH($A224,RegCaseNo,0))="N","Evidence and Exhibits; ","")&amp;IF(INDEX(RegDoc5,MATCH($A224,RegCaseNo,0))="N","Resolution / Information; ","")&amp;IF(INDEX(RegDoc6,MATCH($A224,RegCaseNo,0))="N","Court Order / Docket; ","")&amp;IF(INDEX(RegDoc7,MATCH($A224,RegCaseNo,0))="N","Bail / Bond Records; ","")&amp;IF(INDEX(RegDoc8,MATCH($A224,RegCaseNo,0))="N","Judgment / Order; ","")))</f>
        <v/>
      </c>
      <c r="G224" s="32" t="n"/>
      <c r="H224" s="30" t="n"/>
      <c r="I224" s="31" t="n"/>
      <c r="J224" s="45">
        <f>IF($A224="","",IF(E224=1,"Complete",IF(AND(I224&lt;&gt;"",I224&lt;TODAY(),E224&lt;1),"Follow-up overdue",IF(E224&gt;=0.75,"Minor gaps","Action needed"))))</f>
        <v/>
      </c>
    </row>
    <row r="225" ht="26" customHeight="1">
      <c r="A225" s="30" t="n"/>
      <c r="B225" s="43">
        <f>IFERROR(IF($A225="","",INDEX(RegTitle,MATCH($A225,RegCaseNo,0))),"Case no. not found")</f>
        <v/>
      </c>
      <c r="C225" s="44">
        <f>IF($A225="","",SUMPRODUCT((RegCaseNo=$A225)*((RegDoc1="Y")+(RegDoc2="Y")+(RegDoc3="Y")+(RegDoc4="Y")+(RegDoc5="Y")+(RegDoc6="Y")+(RegDoc7="Y")+(RegDoc8="Y"))))</f>
        <v/>
      </c>
      <c r="D225" s="44">
        <f>IF($A225="","",SUMPRODUCT((RegCaseNo=$A225)*((RegDoc1="N")+(RegDoc2="N")+(RegDoc3="N")+(RegDoc4="N")+(RegDoc5="N")+(RegDoc6="N")+(RegDoc7="N")+(RegDoc8="N"))))</f>
        <v/>
      </c>
      <c r="E225" s="47">
        <f>IFERROR(IF($A225="","",C225/(C225+D225)),0)</f>
        <v/>
      </c>
      <c r="F225" s="43">
        <f>IF($A225="","",TRIM(IF(INDEX(RegDoc1,MATCH($A225,RegCaseNo,0))="N","Affidavit of Complaint; ","")&amp;IF(INDEX(RegDoc2,MATCH($A225,RegCaseNo,0))="N","Sworn Statements; ","")&amp;IF(INDEX(RegDoc3,MATCH($A225,RegCaseNo,0))="N","Police / Incident Report; ","")&amp;IF(INDEX(RegDoc4,MATCH($A225,RegCaseNo,0))="N","Evidence and Exhibits; ","")&amp;IF(INDEX(RegDoc5,MATCH($A225,RegCaseNo,0))="N","Resolution / Information; ","")&amp;IF(INDEX(RegDoc6,MATCH($A225,RegCaseNo,0))="N","Court Order / Docket; ","")&amp;IF(INDEX(RegDoc7,MATCH($A225,RegCaseNo,0))="N","Bail / Bond Records; ","")&amp;IF(INDEX(RegDoc8,MATCH($A225,RegCaseNo,0))="N","Judgment / Order; ","")))</f>
        <v/>
      </c>
      <c r="G225" s="32" t="n"/>
      <c r="H225" s="30" t="n"/>
      <c r="I225" s="31" t="n"/>
      <c r="J225" s="45">
        <f>IF($A225="","",IF(E225=1,"Complete",IF(AND(I225&lt;&gt;"",I225&lt;TODAY(),E225&lt;1),"Follow-up overdue",IF(E225&gt;=0.75,"Minor gaps","Action needed"))))</f>
        <v/>
      </c>
    </row>
    <row r="226" ht="26" customHeight="1">
      <c r="A226" s="30" t="n"/>
      <c r="B226" s="43">
        <f>IFERROR(IF($A226="","",INDEX(RegTitle,MATCH($A226,RegCaseNo,0))),"Case no. not found")</f>
        <v/>
      </c>
      <c r="C226" s="44">
        <f>IF($A226="","",SUMPRODUCT((RegCaseNo=$A226)*((RegDoc1="Y")+(RegDoc2="Y")+(RegDoc3="Y")+(RegDoc4="Y")+(RegDoc5="Y")+(RegDoc6="Y")+(RegDoc7="Y")+(RegDoc8="Y"))))</f>
        <v/>
      </c>
      <c r="D226" s="44">
        <f>IF($A226="","",SUMPRODUCT((RegCaseNo=$A226)*((RegDoc1="N")+(RegDoc2="N")+(RegDoc3="N")+(RegDoc4="N")+(RegDoc5="N")+(RegDoc6="N")+(RegDoc7="N")+(RegDoc8="N"))))</f>
        <v/>
      </c>
      <c r="E226" s="47">
        <f>IFERROR(IF($A226="","",C226/(C226+D226)),0)</f>
        <v/>
      </c>
      <c r="F226" s="43">
        <f>IF($A226="","",TRIM(IF(INDEX(RegDoc1,MATCH($A226,RegCaseNo,0))="N","Affidavit of Complaint; ","")&amp;IF(INDEX(RegDoc2,MATCH($A226,RegCaseNo,0))="N","Sworn Statements; ","")&amp;IF(INDEX(RegDoc3,MATCH($A226,RegCaseNo,0))="N","Police / Incident Report; ","")&amp;IF(INDEX(RegDoc4,MATCH($A226,RegCaseNo,0))="N","Evidence and Exhibits; ","")&amp;IF(INDEX(RegDoc5,MATCH($A226,RegCaseNo,0))="N","Resolution / Information; ","")&amp;IF(INDEX(RegDoc6,MATCH($A226,RegCaseNo,0))="N","Court Order / Docket; ","")&amp;IF(INDEX(RegDoc7,MATCH($A226,RegCaseNo,0))="N","Bail / Bond Records; ","")&amp;IF(INDEX(RegDoc8,MATCH($A226,RegCaseNo,0))="N","Judgment / Order; ","")))</f>
        <v/>
      </c>
      <c r="G226" s="32" t="n"/>
      <c r="H226" s="30" t="n"/>
      <c r="I226" s="31" t="n"/>
      <c r="J226" s="45">
        <f>IF($A226="","",IF(E226=1,"Complete",IF(AND(I226&lt;&gt;"",I226&lt;TODAY(),E226&lt;1),"Follow-up overdue",IF(E226&gt;=0.75,"Minor gaps","Action needed"))))</f>
        <v/>
      </c>
    </row>
    <row r="227" ht="26" customHeight="1">
      <c r="A227" s="30" t="n"/>
      <c r="B227" s="43">
        <f>IFERROR(IF($A227="","",INDEX(RegTitle,MATCH($A227,RegCaseNo,0))),"Case no. not found")</f>
        <v/>
      </c>
      <c r="C227" s="44">
        <f>IF($A227="","",SUMPRODUCT((RegCaseNo=$A227)*((RegDoc1="Y")+(RegDoc2="Y")+(RegDoc3="Y")+(RegDoc4="Y")+(RegDoc5="Y")+(RegDoc6="Y")+(RegDoc7="Y")+(RegDoc8="Y"))))</f>
        <v/>
      </c>
      <c r="D227" s="44">
        <f>IF($A227="","",SUMPRODUCT((RegCaseNo=$A227)*((RegDoc1="N")+(RegDoc2="N")+(RegDoc3="N")+(RegDoc4="N")+(RegDoc5="N")+(RegDoc6="N")+(RegDoc7="N")+(RegDoc8="N"))))</f>
        <v/>
      </c>
      <c r="E227" s="47">
        <f>IFERROR(IF($A227="","",C227/(C227+D227)),0)</f>
        <v/>
      </c>
      <c r="F227" s="43">
        <f>IF($A227="","",TRIM(IF(INDEX(RegDoc1,MATCH($A227,RegCaseNo,0))="N","Affidavit of Complaint; ","")&amp;IF(INDEX(RegDoc2,MATCH($A227,RegCaseNo,0))="N","Sworn Statements; ","")&amp;IF(INDEX(RegDoc3,MATCH($A227,RegCaseNo,0))="N","Police / Incident Report; ","")&amp;IF(INDEX(RegDoc4,MATCH($A227,RegCaseNo,0))="N","Evidence and Exhibits; ","")&amp;IF(INDEX(RegDoc5,MATCH($A227,RegCaseNo,0))="N","Resolution / Information; ","")&amp;IF(INDEX(RegDoc6,MATCH($A227,RegCaseNo,0))="N","Court Order / Docket; ","")&amp;IF(INDEX(RegDoc7,MATCH($A227,RegCaseNo,0))="N","Bail / Bond Records; ","")&amp;IF(INDEX(RegDoc8,MATCH($A227,RegCaseNo,0))="N","Judgment / Order; ","")))</f>
        <v/>
      </c>
      <c r="G227" s="32" t="n"/>
      <c r="H227" s="30" t="n"/>
      <c r="I227" s="31" t="n"/>
      <c r="J227" s="45">
        <f>IF($A227="","",IF(E227=1,"Complete",IF(AND(I227&lt;&gt;"",I227&lt;TODAY(),E227&lt;1),"Follow-up overdue",IF(E227&gt;=0.75,"Minor gaps","Action needed"))))</f>
        <v/>
      </c>
    </row>
    <row r="228" ht="26" customHeight="1">
      <c r="A228" s="30" t="n"/>
      <c r="B228" s="43">
        <f>IFERROR(IF($A228="","",INDEX(RegTitle,MATCH($A228,RegCaseNo,0))),"Case no. not found")</f>
        <v/>
      </c>
      <c r="C228" s="44">
        <f>IF($A228="","",SUMPRODUCT((RegCaseNo=$A228)*((RegDoc1="Y")+(RegDoc2="Y")+(RegDoc3="Y")+(RegDoc4="Y")+(RegDoc5="Y")+(RegDoc6="Y")+(RegDoc7="Y")+(RegDoc8="Y"))))</f>
        <v/>
      </c>
      <c r="D228" s="44">
        <f>IF($A228="","",SUMPRODUCT((RegCaseNo=$A228)*((RegDoc1="N")+(RegDoc2="N")+(RegDoc3="N")+(RegDoc4="N")+(RegDoc5="N")+(RegDoc6="N")+(RegDoc7="N")+(RegDoc8="N"))))</f>
        <v/>
      </c>
      <c r="E228" s="47">
        <f>IFERROR(IF($A228="","",C228/(C228+D228)),0)</f>
        <v/>
      </c>
      <c r="F228" s="43">
        <f>IF($A228="","",TRIM(IF(INDEX(RegDoc1,MATCH($A228,RegCaseNo,0))="N","Affidavit of Complaint; ","")&amp;IF(INDEX(RegDoc2,MATCH($A228,RegCaseNo,0))="N","Sworn Statements; ","")&amp;IF(INDEX(RegDoc3,MATCH($A228,RegCaseNo,0))="N","Police / Incident Report; ","")&amp;IF(INDEX(RegDoc4,MATCH($A228,RegCaseNo,0))="N","Evidence and Exhibits; ","")&amp;IF(INDEX(RegDoc5,MATCH($A228,RegCaseNo,0))="N","Resolution / Information; ","")&amp;IF(INDEX(RegDoc6,MATCH($A228,RegCaseNo,0))="N","Court Order / Docket; ","")&amp;IF(INDEX(RegDoc7,MATCH($A228,RegCaseNo,0))="N","Bail / Bond Records; ","")&amp;IF(INDEX(RegDoc8,MATCH($A228,RegCaseNo,0))="N","Judgment / Order; ","")))</f>
        <v/>
      </c>
      <c r="G228" s="32" t="n"/>
      <c r="H228" s="30" t="n"/>
      <c r="I228" s="31" t="n"/>
      <c r="J228" s="45">
        <f>IF($A228="","",IF(E228=1,"Complete",IF(AND(I228&lt;&gt;"",I228&lt;TODAY(),E228&lt;1),"Follow-up overdue",IF(E228&gt;=0.75,"Minor gaps","Action needed"))))</f>
        <v/>
      </c>
    </row>
    <row r="229" ht="26" customHeight="1">
      <c r="A229" s="30" t="n"/>
      <c r="B229" s="43">
        <f>IFERROR(IF($A229="","",INDEX(RegTitle,MATCH($A229,RegCaseNo,0))),"Case no. not found")</f>
        <v/>
      </c>
      <c r="C229" s="44">
        <f>IF($A229="","",SUMPRODUCT((RegCaseNo=$A229)*((RegDoc1="Y")+(RegDoc2="Y")+(RegDoc3="Y")+(RegDoc4="Y")+(RegDoc5="Y")+(RegDoc6="Y")+(RegDoc7="Y")+(RegDoc8="Y"))))</f>
        <v/>
      </c>
      <c r="D229" s="44">
        <f>IF($A229="","",SUMPRODUCT((RegCaseNo=$A229)*((RegDoc1="N")+(RegDoc2="N")+(RegDoc3="N")+(RegDoc4="N")+(RegDoc5="N")+(RegDoc6="N")+(RegDoc7="N")+(RegDoc8="N"))))</f>
        <v/>
      </c>
      <c r="E229" s="47">
        <f>IFERROR(IF($A229="","",C229/(C229+D229)),0)</f>
        <v/>
      </c>
      <c r="F229" s="43">
        <f>IF($A229="","",TRIM(IF(INDEX(RegDoc1,MATCH($A229,RegCaseNo,0))="N","Affidavit of Complaint; ","")&amp;IF(INDEX(RegDoc2,MATCH($A229,RegCaseNo,0))="N","Sworn Statements; ","")&amp;IF(INDEX(RegDoc3,MATCH($A229,RegCaseNo,0))="N","Police / Incident Report; ","")&amp;IF(INDEX(RegDoc4,MATCH($A229,RegCaseNo,0))="N","Evidence and Exhibits; ","")&amp;IF(INDEX(RegDoc5,MATCH($A229,RegCaseNo,0))="N","Resolution / Information; ","")&amp;IF(INDEX(RegDoc6,MATCH($A229,RegCaseNo,0))="N","Court Order / Docket; ","")&amp;IF(INDEX(RegDoc7,MATCH($A229,RegCaseNo,0))="N","Bail / Bond Records; ","")&amp;IF(INDEX(RegDoc8,MATCH($A229,RegCaseNo,0))="N","Judgment / Order; ","")))</f>
        <v/>
      </c>
      <c r="G229" s="32" t="n"/>
      <c r="H229" s="30" t="n"/>
      <c r="I229" s="31" t="n"/>
      <c r="J229" s="45">
        <f>IF($A229="","",IF(E229=1,"Complete",IF(AND(I229&lt;&gt;"",I229&lt;TODAY(),E229&lt;1),"Follow-up overdue",IF(E229&gt;=0.75,"Minor gaps","Action needed"))))</f>
        <v/>
      </c>
    </row>
    <row r="230" ht="26" customHeight="1">
      <c r="A230" s="30" t="n"/>
      <c r="B230" s="43">
        <f>IFERROR(IF($A230="","",INDEX(RegTitle,MATCH($A230,RegCaseNo,0))),"Case no. not found")</f>
        <v/>
      </c>
      <c r="C230" s="44">
        <f>IF($A230="","",SUMPRODUCT((RegCaseNo=$A230)*((RegDoc1="Y")+(RegDoc2="Y")+(RegDoc3="Y")+(RegDoc4="Y")+(RegDoc5="Y")+(RegDoc6="Y")+(RegDoc7="Y")+(RegDoc8="Y"))))</f>
        <v/>
      </c>
      <c r="D230" s="44">
        <f>IF($A230="","",SUMPRODUCT((RegCaseNo=$A230)*((RegDoc1="N")+(RegDoc2="N")+(RegDoc3="N")+(RegDoc4="N")+(RegDoc5="N")+(RegDoc6="N")+(RegDoc7="N")+(RegDoc8="N"))))</f>
        <v/>
      </c>
      <c r="E230" s="47">
        <f>IFERROR(IF($A230="","",C230/(C230+D230)),0)</f>
        <v/>
      </c>
      <c r="F230" s="43">
        <f>IF($A230="","",TRIM(IF(INDEX(RegDoc1,MATCH($A230,RegCaseNo,0))="N","Affidavit of Complaint; ","")&amp;IF(INDEX(RegDoc2,MATCH($A230,RegCaseNo,0))="N","Sworn Statements; ","")&amp;IF(INDEX(RegDoc3,MATCH($A230,RegCaseNo,0))="N","Police / Incident Report; ","")&amp;IF(INDEX(RegDoc4,MATCH($A230,RegCaseNo,0))="N","Evidence and Exhibits; ","")&amp;IF(INDEX(RegDoc5,MATCH($A230,RegCaseNo,0))="N","Resolution / Information; ","")&amp;IF(INDEX(RegDoc6,MATCH($A230,RegCaseNo,0))="N","Court Order / Docket; ","")&amp;IF(INDEX(RegDoc7,MATCH($A230,RegCaseNo,0))="N","Bail / Bond Records; ","")&amp;IF(INDEX(RegDoc8,MATCH($A230,RegCaseNo,0))="N","Judgment / Order; ","")))</f>
        <v/>
      </c>
      <c r="G230" s="32" t="n"/>
      <c r="H230" s="30" t="n"/>
      <c r="I230" s="31" t="n"/>
      <c r="J230" s="45">
        <f>IF($A230="","",IF(E230=1,"Complete",IF(AND(I230&lt;&gt;"",I230&lt;TODAY(),E230&lt;1),"Follow-up overdue",IF(E230&gt;=0.75,"Minor gaps","Action needed"))))</f>
        <v/>
      </c>
    </row>
    <row r="231" ht="26" customHeight="1">
      <c r="A231" s="30" t="n"/>
      <c r="B231" s="43">
        <f>IFERROR(IF($A231="","",INDEX(RegTitle,MATCH($A231,RegCaseNo,0))),"Case no. not found")</f>
        <v/>
      </c>
      <c r="C231" s="44">
        <f>IF($A231="","",SUMPRODUCT((RegCaseNo=$A231)*((RegDoc1="Y")+(RegDoc2="Y")+(RegDoc3="Y")+(RegDoc4="Y")+(RegDoc5="Y")+(RegDoc6="Y")+(RegDoc7="Y")+(RegDoc8="Y"))))</f>
        <v/>
      </c>
      <c r="D231" s="44">
        <f>IF($A231="","",SUMPRODUCT((RegCaseNo=$A231)*((RegDoc1="N")+(RegDoc2="N")+(RegDoc3="N")+(RegDoc4="N")+(RegDoc5="N")+(RegDoc6="N")+(RegDoc7="N")+(RegDoc8="N"))))</f>
        <v/>
      </c>
      <c r="E231" s="47">
        <f>IFERROR(IF($A231="","",C231/(C231+D231)),0)</f>
        <v/>
      </c>
      <c r="F231" s="43">
        <f>IF($A231="","",TRIM(IF(INDEX(RegDoc1,MATCH($A231,RegCaseNo,0))="N","Affidavit of Complaint; ","")&amp;IF(INDEX(RegDoc2,MATCH($A231,RegCaseNo,0))="N","Sworn Statements; ","")&amp;IF(INDEX(RegDoc3,MATCH($A231,RegCaseNo,0))="N","Police / Incident Report; ","")&amp;IF(INDEX(RegDoc4,MATCH($A231,RegCaseNo,0))="N","Evidence and Exhibits; ","")&amp;IF(INDEX(RegDoc5,MATCH($A231,RegCaseNo,0))="N","Resolution / Information; ","")&amp;IF(INDEX(RegDoc6,MATCH($A231,RegCaseNo,0))="N","Court Order / Docket; ","")&amp;IF(INDEX(RegDoc7,MATCH($A231,RegCaseNo,0))="N","Bail / Bond Records; ","")&amp;IF(INDEX(RegDoc8,MATCH($A231,RegCaseNo,0))="N","Judgment / Order; ","")))</f>
        <v/>
      </c>
      <c r="G231" s="32" t="n"/>
      <c r="H231" s="30" t="n"/>
      <c r="I231" s="31" t="n"/>
      <c r="J231" s="45">
        <f>IF($A231="","",IF(E231=1,"Complete",IF(AND(I231&lt;&gt;"",I231&lt;TODAY(),E231&lt;1),"Follow-up overdue",IF(E231&gt;=0.75,"Minor gaps","Action needed"))))</f>
        <v/>
      </c>
    </row>
    <row r="232" ht="26" customHeight="1">
      <c r="A232" s="30" t="n"/>
      <c r="B232" s="43">
        <f>IFERROR(IF($A232="","",INDEX(RegTitle,MATCH($A232,RegCaseNo,0))),"Case no. not found")</f>
        <v/>
      </c>
      <c r="C232" s="44">
        <f>IF($A232="","",SUMPRODUCT((RegCaseNo=$A232)*((RegDoc1="Y")+(RegDoc2="Y")+(RegDoc3="Y")+(RegDoc4="Y")+(RegDoc5="Y")+(RegDoc6="Y")+(RegDoc7="Y")+(RegDoc8="Y"))))</f>
        <v/>
      </c>
      <c r="D232" s="44">
        <f>IF($A232="","",SUMPRODUCT((RegCaseNo=$A232)*((RegDoc1="N")+(RegDoc2="N")+(RegDoc3="N")+(RegDoc4="N")+(RegDoc5="N")+(RegDoc6="N")+(RegDoc7="N")+(RegDoc8="N"))))</f>
        <v/>
      </c>
      <c r="E232" s="47">
        <f>IFERROR(IF($A232="","",C232/(C232+D232)),0)</f>
        <v/>
      </c>
      <c r="F232" s="43">
        <f>IF($A232="","",TRIM(IF(INDEX(RegDoc1,MATCH($A232,RegCaseNo,0))="N","Affidavit of Complaint; ","")&amp;IF(INDEX(RegDoc2,MATCH($A232,RegCaseNo,0))="N","Sworn Statements; ","")&amp;IF(INDEX(RegDoc3,MATCH($A232,RegCaseNo,0))="N","Police / Incident Report; ","")&amp;IF(INDEX(RegDoc4,MATCH($A232,RegCaseNo,0))="N","Evidence and Exhibits; ","")&amp;IF(INDEX(RegDoc5,MATCH($A232,RegCaseNo,0))="N","Resolution / Information; ","")&amp;IF(INDEX(RegDoc6,MATCH($A232,RegCaseNo,0))="N","Court Order / Docket; ","")&amp;IF(INDEX(RegDoc7,MATCH($A232,RegCaseNo,0))="N","Bail / Bond Records; ","")&amp;IF(INDEX(RegDoc8,MATCH($A232,RegCaseNo,0))="N","Judgment / Order; ","")))</f>
        <v/>
      </c>
      <c r="G232" s="32" t="n"/>
      <c r="H232" s="30" t="n"/>
      <c r="I232" s="31" t="n"/>
      <c r="J232" s="45">
        <f>IF($A232="","",IF(E232=1,"Complete",IF(AND(I232&lt;&gt;"",I232&lt;TODAY(),E232&lt;1),"Follow-up overdue",IF(E232&gt;=0.75,"Minor gaps","Action needed"))))</f>
        <v/>
      </c>
    </row>
    <row r="233" ht="26" customHeight="1">
      <c r="A233" s="30" t="n"/>
      <c r="B233" s="43">
        <f>IFERROR(IF($A233="","",INDEX(RegTitle,MATCH($A233,RegCaseNo,0))),"Case no. not found")</f>
        <v/>
      </c>
      <c r="C233" s="44">
        <f>IF($A233="","",SUMPRODUCT((RegCaseNo=$A233)*((RegDoc1="Y")+(RegDoc2="Y")+(RegDoc3="Y")+(RegDoc4="Y")+(RegDoc5="Y")+(RegDoc6="Y")+(RegDoc7="Y")+(RegDoc8="Y"))))</f>
        <v/>
      </c>
      <c r="D233" s="44">
        <f>IF($A233="","",SUMPRODUCT((RegCaseNo=$A233)*((RegDoc1="N")+(RegDoc2="N")+(RegDoc3="N")+(RegDoc4="N")+(RegDoc5="N")+(RegDoc6="N")+(RegDoc7="N")+(RegDoc8="N"))))</f>
        <v/>
      </c>
      <c r="E233" s="47">
        <f>IFERROR(IF($A233="","",C233/(C233+D233)),0)</f>
        <v/>
      </c>
      <c r="F233" s="43">
        <f>IF($A233="","",TRIM(IF(INDEX(RegDoc1,MATCH($A233,RegCaseNo,0))="N","Affidavit of Complaint; ","")&amp;IF(INDEX(RegDoc2,MATCH($A233,RegCaseNo,0))="N","Sworn Statements; ","")&amp;IF(INDEX(RegDoc3,MATCH($A233,RegCaseNo,0))="N","Police / Incident Report; ","")&amp;IF(INDEX(RegDoc4,MATCH($A233,RegCaseNo,0))="N","Evidence and Exhibits; ","")&amp;IF(INDEX(RegDoc5,MATCH($A233,RegCaseNo,0))="N","Resolution / Information; ","")&amp;IF(INDEX(RegDoc6,MATCH($A233,RegCaseNo,0))="N","Court Order / Docket; ","")&amp;IF(INDEX(RegDoc7,MATCH($A233,RegCaseNo,0))="N","Bail / Bond Records; ","")&amp;IF(INDEX(RegDoc8,MATCH($A233,RegCaseNo,0))="N","Judgment / Order; ","")))</f>
        <v/>
      </c>
      <c r="G233" s="32" t="n"/>
      <c r="H233" s="30" t="n"/>
      <c r="I233" s="31" t="n"/>
      <c r="J233" s="45">
        <f>IF($A233="","",IF(E233=1,"Complete",IF(AND(I233&lt;&gt;"",I233&lt;TODAY(),E233&lt;1),"Follow-up overdue",IF(E233&gt;=0.75,"Minor gaps","Action needed"))))</f>
        <v/>
      </c>
    </row>
    <row r="234" ht="26" customHeight="1">
      <c r="A234" s="30" t="n"/>
      <c r="B234" s="43">
        <f>IFERROR(IF($A234="","",INDEX(RegTitle,MATCH($A234,RegCaseNo,0))),"Case no. not found")</f>
        <v/>
      </c>
      <c r="C234" s="44">
        <f>IF($A234="","",SUMPRODUCT((RegCaseNo=$A234)*((RegDoc1="Y")+(RegDoc2="Y")+(RegDoc3="Y")+(RegDoc4="Y")+(RegDoc5="Y")+(RegDoc6="Y")+(RegDoc7="Y")+(RegDoc8="Y"))))</f>
        <v/>
      </c>
      <c r="D234" s="44">
        <f>IF($A234="","",SUMPRODUCT((RegCaseNo=$A234)*((RegDoc1="N")+(RegDoc2="N")+(RegDoc3="N")+(RegDoc4="N")+(RegDoc5="N")+(RegDoc6="N")+(RegDoc7="N")+(RegDoc8="N"))))</f>
        <v/>
      </c>
      <c r="E234" s="47">
        <f>IFERROR(IF($A234="","",C234/(C234+D234)),0)</f>
        <v/>
      </c>
      <c r="F234" s="43">
        <f>IF($A234="","",TRIM(IF(INDEX(RegDoc1,MATCH($A234,RegCaseNo,0))="N","Affidavit of Complaint; ","")&amp;IF(INDEX(RegDoc2,MATCH($A234,RegCaseNo,0))="N","Sworn Statements; ","")&amp;IF(INDEX(RegDoc3,MATCH($A234,RegCaseNo,0))="N","Police / Incident Report; ","")&amp;IF(INDEX(RegDoc4,MATCH($A234,RegCaseNo,0))="N","Evidence and Exhibits; ","")&amp;IF(INDEX(RegDoc5,MATCH($A234,RegCaseNo,0))="N","Resolution / Information; ","")&amp;IF(INDEX(RegDoc6,MATCH($A234,RegCaseNo,0))="N","Court Order / Docket; ","")&amp;IF(INDEX(RegDoc7,MATCH($A234,RegCaseNo,0))="N","Bail / Bond Records; ","")&amp;IF(INDEX(RegDoc8,MATCH($A234,RegCaseNo,0))="N","Judgment / Order; ","")))</f>
        <v/>
      </c>
      <c r="G234" s="32" t="n"/>
      <c r="H234" s="30" t="n"/>
      <c r="I234" s="31" t="n"/>
      <c r="J234" s="45">
        <f>IF($A234="","",IF(E234=1,"Complete",IF(AND(I234&lt;&gt;"",I234&lt;TODAY(),E234&lt;1),"Follow-up overdue",IF(E234&gt;=0.75,"Minor gaps","Action needed"))))</f>
        <v/>
      </c>
    </row>
    <row r="235" ht="26" customHeight="1">
      <c r="A235" s="30" t="n"/>
      <c r="B235" s="43">
        <f>IFERROR(IF($A235="","",INDEX(RegTitle,MATCH($A235,RegCaseNo,0))),"Case no. not found")</f>
        <v/>
      </c>
      <c r="C235" s="44">
        <f>IF($A235="","",SUMPRODUCT((RegCaseNo=$A235)*((RegDoc1="Y")+(RegDoc2="Y")+(RegDoc3="Y")+(RegDoc4="Y")+(RegDoc5="Y")+(RegDoc6="Y")+(RegDoc7="Y")+(RegDoc8="Y"))))</f>
        <v/>
      </c>
      <c r="D235" s="44">
        <f>IF($A235="","",SUMPRODUCT((RegCaseNo=$A235)*((RegDoc1="N")+(RegDoc2="N")+(RegDoc3="N")+(RegDoc4="N")+(RegDoc5="N")+(RegDoc6="N")+(RegDoc7="N")+(RegDoc8="N"))))</f>
        <v/>
      </c>
      <c r="E235" s="47">
        <f>IFERROR(IF($A235="","",C235/(C235+D235)),0)</f>
        <v/>
      </c>
      <c r="F235" s="43">
        <f>IF($A235="","",TRIM(IF(INDEX(RegDoc1,MATCH($A235,RegCaseNo,0))="N","Affidavit of Complaint; ","")&amp;IF(INDEX(RegDoc2,MATCH($A235,RegCaseNo,0))="N","Sworn Statements; ","")&amp;IF(INDEX(RegDoc3,MATCH($A235,RegCaseNo,0))="N","Police / Incident Report; ","")&amp;IF(INDEX(RegDoc4,MATCH($A235,RegCaseNo,0))="N","Evidence and Exhibits; ","")&amp;IF(INDEX(RegDoc5,MATCH($A235,RegCaseNo,0))="N","Resolution / Information; ","")&amp;IF(INDEX(RegDoc6,MATCH($A235,RegCaseNo,0))="N","Court Order / Docket; ","")&amp;IF(INDEX(RegDoc7,MATCH($A235,RegCaseNo,0))="N","Bail / Bond Records; ","")&amp;IF(INDEX(RegDoc8,MATCH($A235,RegCaseNo,0))="N","Judgment / Order; ","")))</f>
        <v/>
      </c>
      <c r="G235" s="32" t="n"/>
      <c r="H235" s="30" t="n"/>
      <c r="I235" s="31" t="n"/>
      <c r="J235" s="45">
        <f>IF($A235="","",IF(E235=1,"Complete",IF(AND(I235&lt;&gt;"",I235&lt;TODAY(),E235&lt;1),"Follow-up overdue",IF(E235&gt;=0.75,"Minor gaps","Action needed"))))</f>
        <v/>
      </c>
    </row>
    <row r="236" ht="26" customHeight="1">
      <c r="A236" s="30" t="n"/>
      <c r="B236" s="43">
        <f>IFERROR(IF($A236="","",INDEX(RegTitle,MATCH($A236,RegCaseNo,0))),"Case no. not found")</f>
        <v/>
      </c>
      <c r="C236" s="44">
        <f>IF($A236="","",SUMPRODUCT((RegCaseNo=$A236)*((RegDoc1="Y")+(RegDoc2="Y")+(RegDoc3="Y")+(RegDoc4="Y")+(RegDoc5="Y")+(RegDoc6="Y")+(RegDoc7="Y")+(RegDoc8="Y"))))</f>
        <v/>
      </c>
      <c r="D236" s="44">
        <f>IF($A236="","",SUMPRODUCT((RegCaseNo=$A236)*((RegDoc1="N")+(RegDoc2="N")+(RegDoc3="N")+(RegDoc4="N")+(RegDoc5="N")+(RegDoc6="N")+(RegDoc7="N")+(RegDoc8="N"))))</f>
        <v/>
      </c>
      <c r="E236" s="47">
        <f>IFERROR(IF($A236="","",C236/(C236+D236)),0)</f>
        <v/>
      </c>
      <c r="F236" s="43">
        <f>IF($A236="","",TRIM(IF(INDEX(RegDoc1,MATCH($A236,RegCaseNo,0))="N","Affidavit of Complaint; ","")&amp;IF(INDEX(RegDoc2,MATCH($A236,RegCaseNo,0))="N","Sworn Statements; ","")&amp;IF(INDEX(RegDoc3,MATCH($A236,RegCaseNo,0))="N","Police / Incident Report; ","")&amp;IF(INDEX(RegDoc4,MATCH($A236,RegCaseNo,0))="N","Evidence and Exhibits; ","")&amp;IF(INDEX(RegDoc5,MATCH($A236,RegCaseNo,0))="N","Resolution / Information; ","")&amp;IF(INDEX(RegDoc6,MATCH($A236,RegCaseNo,0))="N","Court Order / Docket; ","")&amp;IF(INDEX(RegDoc7,MATCH($A236,RegCaseNo,0))="N","Bail / Bond Records; ","")&amp;IF(INDEX(RegDoc8,MATCH($A236,RegCaseNo,0))="N","Judgment / Order; ","")))</f>
        <v/>
      </c>
      <c r="G236" s="32" t="n"/>
      <c r="H236" s="30" t="n"/>
      <c r="I236" s="31" t="n"/>
      <c r="J236" s="45">
        <f>IF($A236="","",IF(E236=1,"Complete",IF(AND(I236&lt;&gt;"",I236&lt;TODAY(),E236&lt;1),"Follow-up overdue",IF(E236&gt;=0.75,"Minor gaps","Action needed"))))</f>
        <v/>
      </c>
    </row>
    <row r="237" ht="26" customHeight="1">
      <c r="A237" s="30" t="n"/>
      <c r="B237" s="43">
        <f>IFERROR(IF($A237="","",INDEX(RegTitle,MATCH($A237,RegCaseNo,0))),"Case no. not found")</f>
        <v/>
      </c>
      <c r="C237" s="44">
        <f>IF($A237="","",SUMPRODUCT((RegCaseNo=$A237)*((RegDoc1="Y")+(RegDoc2="Y")+(RegDoc3="Y")+(RegDoc4="Y")+(RegDoc5="Y")+(RegDoc6="Y")+(RegDoc7="Y")+(RegDoc8="Y"))))</f>
        <v/>
      </c>
      <c r="D237" s="44">
        <f>IF($A237="","",SUMPRODUCT((RegCaseNo=$A237)*((RegDoc1="N")+(RegDoc2="N")+(RegDoc3="N")+(RegDoc4="N")+(RegDoc5="N")+(RegDoc6="N")+(RegDoc7="N")+(RegDoc8="N"))))</f>
        <v/>
      </c>
      <c r="E237" s="47">
        <f>IFERROR(IF($A237="","",C237/(C237+D237)),0)</f>
        <v/>
      </c>
      <c r="F237" s="43">
        <f>IF($A237="","",TRIM(IF(INDEX(RegDoc1,MATCH($A237,RegCaseNo,0))="N","Affidavit of Complaint; ","")&amp;IF(INDEX(RegDoc2,MATCH($A237,RegCaseNo,0))="N","Sworn Statements; ","")&amp;IF(INDEX(RegDoc3,MATCH($A237,RegCaseNo,0))="N","Police / Incident Report; ","")&amp;IF(INDEX(RegDoc4,MATCH($A237,RegCaseNo,0))="N","Evidence and Exhibits; ","")&amp;IF(INDEX(RegDoc5,MATCH($A237,RegCaseNo,0))="N","Resolution / Information; ","")&amp;IF(INDEX(RegDoc6,MATCH($A237,RegCaseNo,0))="N","Court Order / Docket; ","")&amp;IF(INDEX(RegDoc7,MATCH($A237,RegCaseNo,0))="N","Bail / Bond Records; ","")&amp;IF(INDEX(RegDoc8,MATCH($A237,RegCaseNo,0))="N","Judgment / Order; ","")))</f>
        <v/>
      </c>
      <c r="G237" s="32" t="n"/>
      <c r="H237" s="30" t="n"/>
      <c r="I237" s="31" t="n"/>
      <c r="J237" s="45">
        <f>IF($A237="","",IF(E237=1,"Complete",IF(AND(I237&lt;&gt;"",I237&lt;TODAY(),E237&lt;1),"Follow-up overdue",IF(E237&gt;=0.75,"Minor gaps","Action needed"))))</f>
        <v/>
      </c>
    </row>
    <row r="238" ht="26" customHeight="1">
      <c r="A238" s="30" t="n"/>
      <c r="B238" s="43">
        <f>IFERROR(IF($A238="","",INDEX(RegTitle,MATCH($A238,RegCaseNo,0))),"Case no. not found")</f>
        <v/>
      </c>
      <c r="C238" s="44">
        <f>IF($A238="","",SUMPRODUCT((RegCaseNo=$A238)*((RegDoc1="Y")+(RegDoc2="Y")+(RegDoc3="Y")+(RegDoc4="Y")+(RegDoc5="Y")+(RegDoc6="Y")+(RegDoc7="Y")+(RegDoc8="Y"))))</f>
        <v/>
      </c>
      <c r="D238" s="44">
        <f>IF($A238="","",SUMPRODUCT((RegCaseNo=$A238)*((RegDoc1="N")+(RegDoc2="N")+(RegDoc3="N")+(RegDoc4="N")+(RegDoc5="N")+(RegDoc6="N")+(RegDoc7="N")+(RegDoc8="N"))))</f>
        <v/>
      </c>
      <c r="E238" s="47">
        <f>IFERROR(IF($A238="","",C238/(C238+D238)),0)</f>
        <v/>
      </c>
      <c r="F238" s="43">
        <f>IF($A238="","",TRIM(IF(INDEX(RegDoc1,MATCH($A238,RegCaseNo,0))="N","Affidavit of Complaint; ","")&amp;IF(INDEX(RegDoc2,MATCH($A238,RegCaseNo,0))="N","Sworn Statements; ","")&amp;IF(INDEX(RegDoc3,MATCH($A238,RegCaseNo,0))="N","Police / Incident Report; ","")&amp;IF(INDEX(RegDoc4,MATCH($A238,RegCaseNo,0))="N","Evidence and Exhibits; ","")&amp;IF(INDEX(RegDoc5,MATCH($A238,RegCaseNo,0))="N","Resolution / Information; ","")&amp;IF(INDEX(RegDoc6,MATCH($A238,RegCaseNo,0))="N","Court Order / Docket; ","")&amp;IF(INDEX(RegDoc7,MATCH($A238,RegCaseNo,0))="N","Bail / Bond Records; ","")&amp;IF(INDEX(RegDoc8,MATCH($A238,RegCaseNo,0))="N","Judgment / Order; ","")))</f>
        <v/>
      </c>
      <c r="G238" s="32" t="n"/>
      <c r="H238" s="30" t="n"/>
      <c r="I238" s="31" t="n"/>
      <c r="J238" s="45">
        <f>IF($A238="","",IF(E238=1,"Complete",IF(AND(I238&lt;&gt;"",I238&lt;TODAY(),E238&lt;1),"Follow-up overdue",IF(E238&gt;=0.75,"Minor gaps","Action needed"))))</f>
        <v/>
      </c>
    </row>
    <row r="239" ht="26" customHeight="1">
      <c r="A239" s="30" t="n"/>
      <c r="B239" s="43">
        <f>IFERROR(IF($A239="","",INDEX(RegTitle,MATCH($A239,RegCaseNo,0))),"Case no. not found")</f>
        <v/>
      </c>
      <c r="C239" s="44">
        <f>IF($A239="","",SUMPRODUCT((RegCaseNo=$A239)*((RegDoc1="Y")+(RegDoc2="Y")+(RegDoc3="Y")+(RegDoc4="Y")+(RegDoc5="Y")+(RegDoc6="Y")+(RegDoc7="Y")+(RegDoc8="Y"))))</f>
        <v/>
      </c>
      <c r="D239" s="44">
        <f>IF($A239="","",SUMPRODUCT((RegCaseNo=$A239)*((RegDoc1="N")+(RegDoc2="N")+(RegDoc3="N")+(RegDoc4="N")+(RegDoc5="N")+(RegDoc6="N")+(RegDoc7="N")+(RegDoc8="N"))))</f>
        <v/>
      </c>
      <c r="E239" s="47">
        <f>IFERROR(IF($A239="","",C239/(C239+D239)),0)</f>
        <v/>
      </c>
      <c r="F239" s="43">
        <f>IF($A239="","",TRIM(IF(INDEX(RegDoc1,MATCH($A239,RegCaseNo,0))="N","Affidavit of Complaint; ","")&amp;IF(INDEX(RegDoc2,MATCH($A239,RegCaseNo,0))="N","Sworn Statements; ","")&amp;IF(INDEX(RegDoc3,MATCH($A239,RegCaseNo,0))="N","Police / Incident Report; ","")&amp;IF(INDEX(RegDoc4,MATCH($A239,RegCaseNo,0))="N","Evidence and Exhibits; ","")&amp;IF(INDEX(RegDoc5,MATCH($A239,RegCaseNo,0))="N","Resolution / Information; ","")&amp;IF(INDEX(RegDoc6,MATCH($A239,RegCaseNo,0))="N","Court Order / Docket; ","")&amp;IF(INDEX(RegDoc7,MATCH($A239,RegCaseNo,0))="N","Bail / Bond Records; ","")&amp;IF(INDEX(RegDoc8,MATCH($A239,RegCaseNo,0))="N","Judgment / Order; ","")))</f>
        <v/>
      </c>
      <c r="G239" s="32" t="n"/>
      <c r="H239" s="30" t="n"/>
      <c r="I239" s="31" t="n"/>
      <c r="J239" s="45">
        <f>IF($A239="","",IF(E239=1,"Complete",IF(AND(I239&lt;&gt;"",I239&lt;TODAY(),E239&lt;1),"Follow-up overdue",IF(E239&gt;=0.75,"Minor gaps","Action needed"))))</f>
        <v/>
      </c>
    </row>
    <row r="240" ht="26" customHeight="1">
      <c r="A240" s="30" t="n"/>
      <c r="B240" s="43">
        <f>IFERROR(IF($A240="","",INDEX(RegTitle,MATCH($A240,RegCaseNo,0))),"Case no. not found")</f>
        <v/>
      </c>
      <c r="C240" s="44">
        <f>IF($A240="","",SUMPRODUCT((RegCaseNo=$A240)*((RegDoc1="Y")+(RegDoc2="Y")+(RegDoc3="Y")+(RegDoc4="Y")+(RegDoc5="Y")+(RegDoc6="Y")+(RegDoc7="Y")+(RegDoc8="Y"))))</f>
        <v/>
      </c>
      <c r="D240" s="44">
        <f>IF($A240="","",SUMPRODUCT((RegCaseNo=$A240)*((RegDoc1="N")+(RegDoc2="N")+(RegDoc3="N")+(RegDoc4="N")+(RegDoc5="N")+(RegDoc6="N")+(RegDoc7="N")+(RegDoc8="N"))))</f>
        <v/>
      </c>
      <c r="E240" s="47">
        <f>IFERROR(IF($A240="","",C240/(C240+D240)),0)</f>
        <v/>
      </c>
      <c r="F240" s="43">
        <f>IF($A240="","",TRIM(IF(INDEX(RegDoc1,MATCH($A240,RegCaseNo,0))="N","Affidavit of Complaint; ","")&amp;IF(INDEX(RegDoc2,MATCH($A240,RegCaseNo,0))="N","Sworn Statements; ","")&amp;IF(INDEX(RegDoc3,MATCH($A240,RegCaseNo,0))="N","Police / Incident Report; ","")&amp;IF(INDEX(RegDoc4,MATCH($A240,RegCaseNo,0))="N","Evidence and Exhibits; ","")&amp;IF(INDEX(RegDoc5,MATCH($A240,RegCaseNo,0))="N","Resolution / Information; ","")&amp;IF(INDEX(RegDoc6,MATCH($A240,RegCaseNo,0))="N","Court Order / Docket; ","")&amp;IF(INDEX(RegDoc7,MATCH($A240,RegCaseNo,0))="N","Bail / Bond Records; ","")&amp;IF(INDEX(RegDoc8,MATCH($A240,RegCaseNo,0))="N","Judgment / Order; ","")))</f>
        <v/>
      </c>
      <c r="G240" s="32" t="n"/>
      <c r="H240" s="30" t="n"/>
      <c r="I240" s="31" t="n"/>
      <c r="J240" s="45">
        <f>IF($A240="","",IF(E240=1,"Complete",IF(AND(I240&lt;&gt;"",I240&lt;TODAY(),E240&lt;1),"Follow-up overdue",IF(E240&gt;=0.75,"Minor gaps","Action needed"))))</f>
        <v/>
      </c>
    </row>
    <row r="241" ht="26" customHeight="1">
      <c r="A241" s="30" t="n"/>
      <c r="B241" s="43">
        <f>IFERROR(IF($A241="","",INDEX(RegTitle,MATCH($A241,RegCaseNo,0))),"Case no. not found")</f>
        <v/>
      </c>
      <c r="C241" s="44">
        <f>IF($A241="","",SUMPRODUCT((RegCaseNo=$A241)*((RegDoc1="Y")+(RegDoc2="Y")+(RegDoc3="Y")+(RegDoc4="Y")+(RegDoc5="Y")+(RegDoc6="Y")+(RegDoc7="Y")+(RegDoc8="Y"))))</f>
        <v/>
      </c>
      <c r="D241" s="44">
        <f>IF($A241="","",SUMPRODUCT((RegCaseNo=$A241)*((RegDoc1="N")+(RegDoc2="N")+(RegDoc3="N")+(RegDoc4="N")+(RegDoc5="N")+(RegDoc6="N")+(RegDoc7="N")+(RegDoc8="N"))))</f>
        <v/>
      </c>
      <c r="E241" s="47">
        <f>IFERROR(IF($A241="","",C241/(C241+D241)),0)</f>
        <v/>
      </c>
      <c r="F241" s="43">
        <f>IF($A241="","",TRIM(IF(INDEX(RegDoc1,MATCH($A241,RegCaseNo,0))="N","Affidavit of Complaint; ","")&amp;IF(INDEX(RegDoc2,MATCH($A241,RegCaseNo,0))="N","Sworn Statements; ","")&amp;IF(INDEX(RegDoc3,MATCH($A241,RegCaseNo,0))="N","Police / Incident Report; ","")&amp;IF(INDEX(RegDoc4,MATCH($A241,RegCaseNo,0))="N","Evidence and Exhibits; ","")&amp;IF(INDEX(RegDoc5,MATCH($A241,RegCaseNo,0))="N","Resolution / Information; ","")&amp;IF(INDEX(RegDoc6,MATCH($A241,RegCaseNo,0))="N","Court Order / Docket; ","")&amp;IF(INDEX(RegDoc7,MATCH($A241,RegCaseNo,0))="N","Bail / Bond Records; ","")&amp;IF(INDEX(RegDoc8,MATCH($A241,RegCaseNo,0))="N","Judgment / Order; ","")))</f>
        <v/>
      </c>
      <c r="G241" s="32" t="n"/>
      <c r="H241" s="30" t="n"/>
      <c r="I241" s="31" t="n"/>
      <c r="J241" s="45">
        <f>IF($A241="","",IF(E241=1,"Complete",IF(AND(I241&lt;&gt;"",I241&lt;TODAY(),E241&lt;1),"Follow-up overdue",IF(E241&gt;=0.75,"Minor gaps","Action needed"))))</f>
        <v/>
      </c>
    </row>
    <row r="242" ht="26" customHeight="1">
      <c r="A242" s="30" t="n"/>
      <c r="B242" s="43">
        <f>IFERROR(IF($A242="","",INDEX(RegTitle,MATCH($A242,RegCaseNo,0))),"Case no. not found")</f>
        <v/>
      </c>
      <c r="C242" s="44">
        <f>IF($A242="","",SUMPRODUCT((RegCaseNo=$A242)*((RegDoc1="Y")+(RegDoc2="Y")+(RegDoc3="Y")+(RegDoc4="Y")+(RegDoc5="Y")+(RegDoc6="Y")+(RegDoc7="Y")+(RegDoc8="Y"))))</f>
        <v/>
      </c>
      <c r="D242" s="44">
        <f>IF($A242="","",SUMPRODUCT((RegCaseNo=$A242)*((RegDoc1="N")+(RegDoc2="N")+(RegDoc3="N")+(RegDoc4="N")+(RegDoc5="N")+(RegDoc6="N")+(RegDoc7="N")+(RegDoc8="N"))))</f>
        <v/>
      </c>
      <c r="E242" s="47">
        <f>IFERROR(IF($A242="","",C242/(C242+D242)),0)</f>
        <v/>
      </c>
      <c r="F242" s="43">
        <f>IF($A242="","",TRIM(IF(INDEX(RegDoc1,MATCH($A242,RegCaseNo,0))="N","Affidavit of Complaint; ","")&amp;IF(INDEX(RegDoc2,MATCH($A242,RegCaseNo,0))="N","Sworn Statements; ","")&amp;IF(INDEX(RegDoc3,MATCH($A242,RegCaseNo,0))="N","Police / Incident Report; ","")&amp;IF(INDEX(RegDoc4,MATCH($A242,RegCaseNo,0))="N","Evidence and Exhibits; ","")&amp;IF(INDEX(RegDoc5,MATCH($A242,RegCaseNo,0))="N","Resolution / Information; ","")&amp;IF(INDEX(RegDoc6,MATCH($A242,RegCaseNo,0))="N","Court Order / Docket; ","")&amp;IF(INDEX(RegDoc7,MATCH($A242,RegCaseNo,0))="N","Bail / Bond Records; ","")&amp;IF(INDEX(RegDoc8,MATCH($A242,RegCaseNo,0))="N","Judgment / Order; ","")))</f>
        <v/>
      </c>
      <c r="G242" s="32" t="n"/>
      <c r="H242" s="30" t="n"/>
      <c r="I242" s="31" t="n"/>
      <c r="J242" s="45">
        <f>IF($A242="","",IF(E242=1,"Complete",IF(AND(I242&lt;&gt;"",I242&lt;TODAY(),E242&lt;1),"Follow-up overdue",IF(E242&gt;=0.75,"Minor gaps","Action needed"))))</f>
        <v/>
      </c>
    </row>
    <row r="243" ht="26" customHeight="1">
      <c r="A243" s="30" t="n"/>
      <c r="B243" s="43">
        <f>IFERROR(IF($A243="","",INDEX(RegTitle,MATCH($A243,RegCaseNo,0))),"Case no. not found")</f>
        <v/>
      </c>
      <c r="C243" s="44">
        <f>IF($A243="","",SUMPRODUCT((RegCaseNo=$A243)*((RegDoc1="Y")+(RegDoc2="Y")+(RegDoc3="Y")+(RegDoc4="Y")+(RegDoc5="Y")+(RegDoc6="Y")+(RegDoc7="Y")+(RegDoc8="Y"))))</f>
        <v/>
      </c>
      <c r="D243" s="44">
        <f>IF($A243="","",SUMPRODUCT((RegCaseNo=$A243)*((RegDoc1="N")+(RegDoc2="N")+(RegDoc3="N")+(RegDoc4="N")+(RegDoc5="N")+(RegDoc6="N")+(RegDoc7="N")+(RegDoc8="N"))))</f>
        <v/>
      </c>
      <c r="E243" s="47">
        <f>IFERROR(IF($A243="","",C243/(C243+D243)),0)</f>
        <v/>
      </c>
      <c r="F243" s="43">
        <f>IF($A243="","",TRIM(IF(INDEX(RegDoc1,MATCH($A243,RegCaseNo,0))="N","Affidavit of Complaint; ","")&amp;IF(INDEX(RegDoc2,MATCH($A243,RegCaseNo,0))="N","Sworn Statements; ","")&amp;IF(INDEX(RegDoc3,MATCH($A243,RegCaseNo,0))="N","Police / Incident Report; ","")&amp;IF(INDEX(RegDoc4,MATCH($A243,RegCaseNo,0))="N","Evidence and Exhibits; ","")&amp;IF(INDEX(RegDoc5,MATCH($A243,RegCaseNo,0))="N","Resolution / Information; ","")&amp;IF(INDEX(RegDoc6,MATCH($A243,RegCaseNo,0))="N","Court Order / Docket; ","")&amp;IF(INDEX(RegDoc7,MATCH($A243,RegCaseNo,0))="N","Bail / Bond Records; ","")&amp;IF(INDEX(RegDoc8,MATCH($A243,RegCaseNo,0))="N","Judgment / Order; ","")))</f>
        <v/>
      </c>
      <c r="G243" s="32" t="n"/>
      <c r="H243" s="30" t="n"/>
      <c r="I243" s="31" t="n"/>
      <c r="J243" s="45">
        <f>IF($A243="","",IF(E243=1,"Complete",IF(AND(I243&lt;&gt;"",I243&lt;TODAY(),E243&lt;1),"Follow-up overdue",IF(E243&gt;=0.75,"Minor gaps","Action needed"))))</f>
        <v/>
      </c>
    </row>
    <row r="244" ht="26" customHeight="1">
      <c r="A244" s="30" t="n"/>
      <c r="B244" s="43">
        <f>IFERROR(IF($A244="","",INDEX(RegTitle,MATCH($A244,RegCaseNo,0))),"Case no. not found")</f>
        <v/>
      </c>
      <c r="C244" s="44">
        <f>IF($A244="","",SUMPRODUCT((RegCaseNo=$A244)*((RegDoc1="Y")+(RegDoc2="Y")+(RegDoc3="Y")+(RegDoc4="Y")+(RegDoc5="Y")+(RegDoc6="Y")+(RegDoc7="Y")+(RegDoc8="Y"))))</f>
        <v/>
      </c>
      <c r="D244" s="44">
        <f>IF($A244="","",SUMPRODUCT((RegCaseNo=$A244)*((RegDoc1="N")+(RegDoc2="N")+(RegDoc3="N")+(RegDoc4="N")+(RegDoc5="N")+(RegDoc6="N")+(RegDoc7="N")+(RegDoc8="N"))))</f>
        <v/>
      </c>
      <c r="E244" s="47">
        <f>IFERROR(IF($A244="","",C244/(C244+D244)),0)</f>
        <v/>
      </c>
      <c r="F244" s="43">
        <f>IF($A244="","",TRIM(IF(INDEX(RegDoc1,MATCH($A244,RegCaseNo,0))="N","Affidavit of Complaint; ","")&amp;IF(INDEX(RegDoc2,MATCH($A244,RegCaseNo,0))="N","Sworn Statements; ","")&amp;IF(INDEX(RegDoc3,MATCH($A244,RegCaseNo,0))="N","Police / Incident Report; ","")&amp;IF(INDEX(RegDoc4,MATCH($A244,RegCaseNo,0))="N","Evidence and Exhibits; ","")&amp;IF(INDEX(RegDoc5,MATCH($A244,RegCaseNo,0))="N","Resolution / Information; ","")&amp;IF(INDEX(RegDoc6,MATCH($A244,RegCaseNo,0))="N","Court Order / Docket; ","")&amp;IF(INDEX(RegDoc7,MATCH($A244,RegCaseNo,0))="N","Bail / Bond Records; ","")&amp;IF(INDEX(RegDoc8,MATCH($A244,RegCaseNo,0))="N","Judgment / Order; ","")))</f>
        <v/>
      </c>
      <c r="G244" s="32" t="n"/>
      <c r="H244" s="30" t="n"/>
      <c r="I244" s="31" t="n"/>
      <c r="J244" s="45">
        <f>IF($A244="","",IF(E244=1,"Complete",IF(AND(I244&lt;&gt;"",I244&lt;TODAY(),E244&lt;1),"Follow-up overdue",IF(E244&gt;=0.75,"Minor gaps","Action needed"))))</f>
        <v/>
      </c>
    </row>
    <row r="245" ht="26" customHeight="1">
      <c r="A245" s="30" t="n"/>
      <c r="B245" s="43">
        <f>IFERROR(IF($A245="","",INDEX(RegTitle,MATCH($A245,RegCaseNo,0))),"Case no. not found")</f>
        <v/>
      </c>
      <c r="C245" s="44">
        <f>IF($A245="","",SUMPRODUCT((RegCaseNo=$A245)*((RegDoc1="Y")+(RegDoc2="Y")+(RegDoc3="Y")+(RegDoc4="Y")+(RegDoc5="Y")+(RegDoc6="Y")+(RegDoc7="Y")+(RegDoc8="Y"))))</f>
        <v/>
      </c>
      <c r="D245" s="44">
        <f>IF($A245="","",SUMPRODUCT((RegCaseNo=$A245)*((RegDoc1="N")+(RegDoc2="N")+(RegDoc3="N")+(RegDoc4="N")+(RegDoc5="N")+(RegDoc6="N")+(RegDoc7="N")+(RegDoc8="N"))))</f>
        <v/>
      </c>
      <c r="E245" s="47">
        <f>IFERROR(IF($A245="","",C245/(C245+D245)),0)</f>
        <v/>
      </c>
      <c r="F245" s="43">
        <f>IF($A245="","",TRIM(IF(INDEX(RegDoc1,MATCH($A245,RegCaseNo,0))="N","Affidavit of Complaint; ","")&amp;IF(INDEX(RegDoc2,MATCH($A245,RegCaseNo,0))="N","Sworn Statements; ","")&amp;IF(INDEX(RegDoc3,MATCH($A245,RegCaseNo,0))="N","Police / Incident Report; ","")&amp;IF(INDEX(RegDoc4,MATCH($A245,RegCaseNo,0))="N","Evidence and Exhibits; ","")&amp;IF(INDEX(RegDoc5,MATCH($A245,RegCaseNo,0))="N","Resolution / Information; ","")&amp;IF(INDEX(RegDoc6,MATCH($A245,RegCaseNo,0))="N","Court Order / Docket; ","")&amp;IF(INDEX(RegDoc7,MATCH($A245,RegCaseNo,0))="N","Bail / Bond Records; ","")&amp;IF(INDEX(RegDoc8,MATCH($A245,RegCaseNo,0))="N","Judgment / Order; ","")))</f>
        <v/>
      </c>
      <c r="G245" s="32" t="n"/>
      <c r="H245" s="30" t="n"/>
      <c r="I245" s="31" t="n"/>
      <c r="J245" s="45">
        <f>IF($A245="","",IF(E245=1,"Complete",IF(AND(I245&lt;&gt;"",I245&lt;TODAY(),E245&lt;1),"Follow-up overdue",IF(E245&gt;=0.75,"Minor gaps","Action needed"))))</f>
        <v/>
      </c>
    </row>
    <row r="246" ht="26" customHeight="1">
      <c r="A246" s="30" t="n"/>
      <c r="B246" s="43">
        <f>IFERROR(IF($A246="","",INDEX(RegTitle,MATCH($A246,RegCaseNo,0))),"Case no. not found")</f>
        <v/>
      </c>
      <c r="C246" s="44">
        <f>IF($A246="","",SUMPRODUCT((RegCaseNo=$A246)*((RegDoc1="Y")+(RegDoc2="Y")+(RegDoc3="Y")+(RegDoc4="Y")+(RegDoc5="Y")+(RegDoc6="Y")+(RegDoc7="Y")+(RegDoc8="Y"))))</f>
        <v/>
      </c>
      <c r="D246" s="44">
        <f>IF($A246="","",SUMPRODUCT((RegCaseNo=$A246)*((RegDoc1="N")+(RegDoc2="N")+(RegDoc3="N")+(RegDoc4="N")+(RegDoc5="N")+(RegDoc6="N")+(RegDoc7="N")+(RegDoc8="N"))))</f>
        <v/>
      </c>
      <c r="E246" s="47">
        <f>IFERROR(IF($A246="","",C246/(C246+D246)),0)</f>
        <v/>
      </c>
      <c r="F246" s="43">
        <f>IF($A246="","",TRIM(IF(INDEX(RegDoc1,MATCH($A246,RegCaseNo,0))="N","Affidavit of Complaint; ","")&amp;IF(INDEX(RegDoc2,MATCH($A246,RegCaseNo,0))="N","Sworn Statements; ","")&amp;IF(INDEX(RegDoc3,MATCH($A246,RegCaseNo,0))="N","Police / Incident Report; ","")&amp;IF(INDEX(RegDoc4,MATCH($A246,RegCaseNo,0))="N","Evidence and Exhibits; ","")&amp;IF(INDEX(RegDoc5,MATCH($A246,RegCaseNo,0))="N","Resolution / Information; ","")&amp;IF(INDEX(RegDoc6,MATCH($A246,RegCaseNo,0))="N","Court Order / Docket; ","")&amp;IF(INDEX(RegDoc7,MATCH($A246,RegCaseNo,0))="N","Bail / Bond Records; ","")&amp;IF(INDEX(RegDoc8,MATCH($A246,RegCaseNo,0))="N","Judgment / Order; ","")))</f>
        <v/>
      </c>
      <c r="G246" s="32" t="n"/>
      <c r="H246" s="30" t="n"/>
      <c r="I246" s="31" t="n"/>
      <c r="J246" s="45">
        <f>IF($A246="","",IF(E246=1,"Complete",IF(AND(I246&lt;&gt;"",I246&lt;TODAY(),E246&lt;1),"Follow-up overdue",IF(E246&gt;=0.75,"Minor gaps","Action needed"))))</f>
        <v/>
      </c>
    </row>
    <row r="247" ht="26" customHeight="1">
      <c r="A247" s="30" t="n"/>
      <c r="B247" s="43">
        <f>IFERROR(IF($A247="","",INDEX(RegTitle,MATCH($A247,RegCaseNo,0))),"Case no. not found")</f>
        <v/>
      </c>
      <c r="C247" s="44">
        <f>IF($A247="","",SUMPRODUCT((RegCaseNo=$A247)*((RegDoc1="Y")+(RegDoc2="Y")+(RegDoc3="Y")+(RegDoc4="Y")+(RegDoc5="Y")+(RegDoc6="Y")+(RegDoc7="Y")+(RegDoc8="Y"))))</f>
        <v/>
      </c>
      <c r="D247" s="44">
        <f>IF($A247="","",SUMPRODUCT((RegCaseNo=$A247)*((RegDoc1="N")+(RegDoc2="N")+(RegDoc3="N")+(RegDoc4="N")+(RegDoc5="N")+(RegDoc6="N")+(RegDoc7="N")+(RegDoc8="N"))))</f>
        <v/>
      </c>
      <c r="E247" s="47">
        <f>IFERROR(IF($A247="","",C247/(C247+D247)),0)</f>
        <v/>
      </c>
      <c r="F247" s="43">
        <f>IF($A247="","",TRIM(IF(INDEX(RegDoc1,MATCH($A247,RegCaseNo,0))="N","Affidavit of Complaint; ","")&amp;IF(INDEX(RegDoc2,MATCH($A247,RegCaseNo,0))="N","Sworn Statements; ","")&amp;IF(INDEX(RegDoc3,MATCH($A247,RegCaseNo,0))="N","Police / Incident Report; ","")&amp;IF(INDEX(RegDoc4,MATCH($A247,RegCaseNo,0))="N","Evidence and Exhibits; ","")&amp;IF(INDEX(RegDoc5,MATCH($A247,RegCaseNo,0))="N","Resolution / Information; ","")&amp;IF(INDEX(RegDoc6,MATCH($A247,RegCaseNo,0))="N","Court Order / Docket; ","")&amp;IF(INDEX(RegDoc7,MATCH($A247,RegCaseNo,0))="N","Bail / Bond Records; ","")&amp;IF(INDEX(RegDoc8,MATCH($A247,RegCaseNo,0))="N","Judgment / Order; ","")))</f>
        <v/>
      </c>
      <c r="G247" s="32" t="n"/>
      <c r="H247" s="30" t="n"/>
      <c r="I247" s="31" t="n"/>
      <c r="J247" s="45">
        <f>IF($A247="","",IF(E247=1,"Complete",IF(AND(I247&lt;&gt;"",I247&lt;TODAY(),E247&lt;1),"Follow-up overdue",IF(E247&gt;=0.75,"Minor gaps","Action needed"))))</f>
        <v/>
      </c>
    </row>
    <row r="248" ht="26" customHeight="1">
      <c r="A248" s="30" t="n"/>
      <c r="B248" s="43">
        <f>IFERROR(IF($A248="","",INDEX(RegTitle,MATCH($A248,RegCaseNo,0))),"Case no. not found")</f>
        <v/>
      </c>
      <c r="C248" s="44">
        <f>IF($A248="","",SUMPRODUCT((RegCaseNo=$A248)*((RegDoc1="Y")+(RegDoc2="Y")+(RegDoc3="Y")+(RegDoc4="Y")+(RegDoc5="Y")+(RegDoc6="Y")+(RegDoc7="Y")+(RegDoc8="Y"))))</f>
        <v/>
      </c>
      <c r="D248" s="44">
        <f>IF($A248="","",SUMPRODUCT((RegCaseNo=$A248)*((RegDoc1="N")+(RegDoc2="N")+(RegDoc3="N")+(RegDoc4="N")+(RegDoc5="N")+(RegDoc6="N")+(RegDoc7="N")+(RegDoc8="N"))))</f>
        <v/>
      </c>
      <c r="E248" s="47">
        <f>IFERROR(IF($A248="","",C248/(C248+D248)),0)</f>
        <v/>
      </c>
      <c r="F248" s="43">
        <f>IF($A248="","",TRIM(IF(INDEX(RegDoc1,MATCH($A248,RegCaseNo,0))="N","Affidavit of Complaint; ","")&amp;IF(INDEX(RegDoc2,MATCH($A248,RegCaseNo,0))="N","Sworn Statements; ","")&amp;IF(INDEX(RegDoc3,MATCH($A248,RegCaseNo,0))="N","Police / Incident Report; ","")&amp;IF(INDEX(RegDoc4,MATCH($A248,RegCaseNo,0))="N","Evidence and Exhibits; ","")&amp;IF(INDEX(RegDoc5,MATCH($A248,RegCaseNo,0))="N","Resolution / Information; ","")&amp;IF(INDEX(RegDoc6,MATCH($A248,RegCaseNo,0))="N","Court Order / Docket; ","")&amp;IF(INDEX(RegDoc7,MATCH($A248,RegCaseNo,0))="N","Bail / Bond Records; ","")&amp;IF(INDEX(RegDoc8,MATCH($A248,RegCaseNo,0))="N","Judgment / Order; ","")))</f>
        <v/>
      </c>
      <c r="G248" s="32" t="n"/>
      <c r="H248" s="30" t="n"/>
      <c r="I248" s="31" t="n"/>
      <c r="J248" s="45">
        <f>IF($A248="","",IF(E248=1,"Complete",IF(AND(I248&lt;&gt;"",I248&lt;TODAY(),E248&lt;1),"Follow-up overdue",IF(E248&gt;=0.75,"Minor gaps","Action needed"))))</f>
        <v/>
      </c>
    </row>
    <row r="249" ht="26" customHeight="1">
      <c r="A249" s="30" t="n"/>
      <c r="B249" s="43">
        <f>IFERROR(IF($A249="","",INDEX(RegTitle,MATCH($A249,RegCaseNo,0))),"Case no. not found")</f>
        <v/>
      </c>
      <c r="C249" s="44">
        <f>IF($A249="","",SUMPRODUCT((RegCaseNo=$A249)*((RegDoc1="Y")+(RegDoc2="Y")+(RegDoc3="Y")+(RegDoc4="Y")+(RegDoc5="Y")+(RegDoc6="Y")+(RegDoc7="Y")+(RegDoc8="Y"))))</f>
        <v/>
      </c>
      <c r="D249" s="44">
        <f>IF($A249="","",SUMPRODUCT((RegCaseNo=$A249)*((RegDoc1="N")+(RegDoc2="N")+(RegDoc3="N")+(RegDoc4="N")+(RegDoc5="N")+(RegDoc6="N")+(RegDoc7="N")+(RegDoc8="N"))))</f>
        <v/>
      </c>
      <c r="E249" s="47">
        <f>IFERROR(IF($A249="","",C249/(C249+D249)),0)</f>
        <v/>
      </c>
      <c r="F249" s="43">
        <f>IF($A249="","",TRIM(IF(INDEX(RegDoc1,MATCH($A249,RegCaseNo,0))="N","Affidavit of Complaint; ","")&amp;IF(INDEX(RegDoc2,MATCH($A249,RegCaseNo,0))="N","Sworn Statements; ","")&amp;IF(INDEX(RegDoc3,MATCH($A249,RegCaseNo,0))="N","Police / Incident Report; ","")&amp;IF(INDEX(RegDoc4,MATCH($A249,RegCaseNo,0))="N","Evidence and Exhibits; ","")&amp;IF(INDEX(RegDoc5,MATCH($A249,RegCaseNo,0))="N","Resolution / Information; ","")&amp;IF(INDEX(RegDoc6,MATCH($A249,RegCaseNo,0))="N","Court Order / Docket; ","")&amp;IF(INDEX(RegDoc7,MATCH($A249,RegCaseNo,0))="N","Bail / Bond Records; ","")&amp;IF(INDEX(RegDoc8,MATCH($A249,RegCaseNo,0))="N","Judgment / Order; ","")))</f>
        <v/>
      </c>
      <c r="G249" s="32" t="n"/>
      <c r="H249" s="30" t="n"/>
      <c r="I249" s="31" t="n"/>
      <c r="J249" s="45">
        <f>IF($A249="","",IF(E249=1,"Complete",IF(AND(I249&lt;&gt;"",I249&lt;TODAY(),E249&lt;1),"Follow-up overdue",IF(E249&gt;=0.75,"Minor gaps","Action needed"))))</f>
        <v/>
      </c>
    </row>
    <row r="250" ht="26" customHeight="1">
      <c r="A250" s="30" t="n"/>
      <c r="B250" s="43">
        <f>IFERROR(IF($A250="","",INDEX(RegTitle,MATCH($A250,RegCaseNo,0))),"Case no. not found")</f>
        <v/>
      </c>
      <c r="C250" s="44">
        <f>IF($A250="","",SUMPRODUCT((RegCaseNo=$A250)*((RegDoc1="Y")+(RegDoc2="Y")+(RegDoc3="Y")+(RegDoc4="Y")+(RegDoc5="Y")+(RegDoc6="Y")+(RegDoc7="Y")+(RegDoc8="Y"))))</f>
        <v/>
      </c>
      <c r="D250" s="44">
        <f>IF($A250="","",SUMPRODUCT((RegCaseNo=$A250)*((RegDoc1="N")+(RegDoc2="N")+(RegDoc3="N")+(RegDoc4="N")+(RegDoc5="N")+(RegDoc6="N")+(RegDoc7="N")+(RegDoc8="N"))))</f>
        <v/>
      </c>
      <c r="E250" s="47">
        <f>IFERROR(IF($A250="","",C250/(C250+D250)),0)</f>
        <v/>
      </c>
      <c r="F250" s="43">
        <f>IF($A250="","",TRIM(IF(INDEX(RegDoc1,MATCH($A250,RegCaseNo,0))="N","Affidavit of Complaint; ","")&amp;IF(INDEX(RegDoc2,MATCH($A250,RegCaseNo,0))="N","Sworn Statements; ","")&amp;IF(INDEX(RegDoc3,MATCH($A250,RegCaseNo,0))="N","Police / Incident Report; ","")&amp;IF(INDEX(RegDoc4,MATCH($A250,RegCaseNo,0))="N","Evidence and Exhibits; ","")&amp;IF(INDEX(RegDoc5,MATCH($A250,RegCaseNo,0))="N","Resolution / Information; ","")&amp;IF(INDEX(RegDoc6,MATCH($A250,RegCaseNo,0))="N","Court Order / Docket; ","")&amp;IF(INDEX(RegDoc7,MATCH($A250,RegCaseNo,0))="N","Bail / Bond Records; ","")&amp;IF(INDEX(RegDoc8,MATCH($A250,RegCaseNo,0))="N","Judgment / Order; ","")))</f>
        <v/>
      </c>
      <c r="G250" s="32" t="n"/>
      <c r="H250" s="30" t="n"/>
      <c r="I250" s="31" t="n"/>
      <c r="J250" s="45">
        <f>IF($A250="","",IF(E250=1,"Complete",IF(AND(I250&lt;&gt;"",I250&lt;TODAY(),E250&lt;1),"Follow-up overdue",IF(E250&gt;=0.75,"Minor gaps","Action needed"))))</f>
        <v/>
      </c>
    </row>
    <row r="251" ht="26" customHeight="1">
      <c r="A251" s="30" t="n"/>
      <c r="B251" s="43">
        <f>IFERROR(IF($A251="","",INDEX(RegTitle,MATCH($A251,RegCaseNo,0))),"Case no. not found")</f>
        <v/>
      </c>
      <c r="C251" s="44">
        <f>IF($A251="","",SUMPRODUCT((RegCaseNo=$A251)*((RegDoc1="Y")+(RegDoc2="Y")+(RegDoc3="Y")+(RegDoc4="Y")+(RegDoc5="Y")+(RegDoc6="Y")+(RegDoc7="Y")+(RegDoc8="Y"))))</f>
        <v/>
      </c>
      <c r="D251" s="44">
        <f>IF($A251="","",SUMPRODUCT((RegCaseNo=$A251)*((RegDoc1="N")+(RegDoc2="N")+(RegDoc3="N")+(RegDoc4="N")+(RegDoc5="N")+(RegDoc6="N")+(RegDoc7="N")+(RegDoc8="N"))))</f>
        <v/>
      </c>
      <c r="E251" s="47">
        <f>IFERROR(IF($A251="","",C251/(C251+D251)),0)</f>
        <v/>
      </c>
      <c r="F251" s="43">
        <f>IF($A251="","",TRIM(IF(INDEX(RegDoc1,MATCH($A251,RegCaseNo,0))="N","Affidavit of Complaint; ","")&amp;IF(INDEX(RegDoc2,MATCH($A251,RegCaseNo,0))="N","Sworn Statements; ","")&amp;IF(INDEX(RegDoc3,MATCH($A251,RegCaseNo,0))="N","Police / Incident Report; ","")&amp;IF(INDEX(RegDoc4,MATCH($A251,RegCaseNo,0))="N","Evidence and Exhibits; ","")&amp;IF(INDEX(RegDoc5,MATCH($A251,RegCaseNo,0))="N","Resolution / Information; ","")&amp;IF(INDEX(RegDoc6,MATCH($A251,RegCaseNo,0))="N","Court Order / Docket; ","")&amp;IF(INDEX(RegDoc7,MATCH($A251,RegCaseNo,0))="N","Bail / Bond Records; ","")&amp;IF(INDEX(RegDoc8,MATCH($A251,RegCaseNo,0))="N","Judgment / Order; ","")))</f>
        <v/>
      </c>
      <c r="G251" s="32" t="n"/>
      <c r="H251" s="30" t="n"/>
      <c r="I251" s="31" t="n"/>
      <c r="J251" s="45">
        <f>IF($A251="","",IF(E251=1,"Complete",IF(AND(I251&lt;&gt;"",I251&lt;TODAY(),E251&lt;1),"Follow-up overdue",IF(E251&gt;=0.75,"Minor gaps","Action needed"))))</f>
        <v/>
      </c>
    </row>
    <row r="252" ht="26" customHeight="1">
      <c r="A252" s="30" t="n"/>
      <c r="B252" s="43">
        <f>IFERROR(IF($A252="","",INDEX(RegTitle,MATCH($A252,RegCaseNo,0))),"Case no. not found")</f>
        <v/>
      </c>
      <c r="C252" s="44">
        <f>IF($A252="","",SUMPRODUCT((RegCaseNo=$A252)*((RegDoc1="Y")+(RegDoc2="Y")+(RegDoc3="Y")+(RegDoc4="Y")+(RegDoc5="Y")+(RegDoc6="Y")+(RegDoc7="Y")+(RegDoc8="Y"))))</f>
        <v/>
      </c>
      <c r="D252" s="44">
        <f>IF($A252="","",SUMPRODUCT((RegCaseNo=$A252)*((RegDoc1="N")+(RegDoc2="N")+(RegDoc3="N")+(RegDoc4="N")+(RegDoc5="N")+(RegDoc6="N")+(RegDoc7="N")+(RegDoc8="N"))))</f>
        <v/>
      </c>
      <c r="E252" s="47">
        <f>IFERROR(IF($A252="","",C252/(C252+D252)),0)</f>
        <v/>
      </c>
      <c r="F252" s="43">
        <f>IF($A252="","",TRIM(IF(INDEX(RegDoc1,MATCH($A252,RegCaseNo,0))="N","Affidavit of Complaint; ","")&amp;IF(INDEX(RegDoc2,MATCH($A252,RegCaseNo,0))="N","Sworn Statements; ","")&amp;IF(INDEX(RegDoc3,MATCH($A252,RegCaseNo,0))="N","Police / Incident Report; ","")&amp;IF(INDEX(RegDoc4,MATCH($A252,RegCaseNo,0))="N","Evidence and Exhibits; ","")&amp;IF(INDEX(RegDoc5,MATCH($A252,RegCaseNo,0))="N","Resolution / Information; ","")&amp;IF(INDEX(RegDoc6,MATCH($A252,RegCaseNo,0))="N","Court Order / Docket; ","")&amp;IF(INDEX(RegDoc7,MATCH($A252,RegCaseNo,0))="N","Bail / Bond Records; ","")&amp;IF(INDEX(RegDoc8,MATCH($A252,RegCaseNo,0))="N","Judgment / Order; ","")))</f>
        <v/>
      </c>
      <c r="G252" s="32" t="n"/>
      <c r="H252" s="30" t="n"/>
      <c r="I252" s="31" t="n"/>
      <c r="J252" s="45">
        <f>IF($A252="","",IF(E252=1,"Complete",IF(AND(I252&lt;&gt;"",I252&lt;TODAY(),E252&lt;1),"Follow-up overdue",IF(E252&gt;=0.75,"Minor gaps","Action needed"))))</f>
        <v/>
      </c>
    </row>
  </sheetData>
  <mergeCells count="1">
    <mergeCell ref="A1:J1"/>
  </mergeCells>
  <conditionalFormatting sqref="J3:J252">
    <cfRule type="expression" priority="1" dxfId="14" stopIfTrue="1">
      <formula>$J3="Complete"</formula>
    </cfRule>
    <cfRule type="expression" priority="2" dxfId="7" stopIfTrue="1">
      <formula>$J3="Follow-up overdue"</formula>
    </cfRule>
    <cfRule type="expression" priority="3" dxfId="8" stopIfTrue="1">
      <formula>$J3="Action needed"</formula>
    </cfRule>
    <cfRule type="expression" priority="4" dxfId="10" stopIfTrue="1">
      <formula>$J3="Minor gaps"</formula>
    </cfRule>
  </conditionalFormatting>
  <conditionalFormatting sqref="E3:E252">
    <cfRule type="dataBar" priority="5">
      <dataBar showValue="1">
        <cfvo type="num" val="0"/>
        <cfvo type="num" val="1"/>
        <color rgb="001E7B4F"/>
      </dataBar>
    </cfRule>
  </conditionalFormatting>
  <dataValidations count="3">
    <dataValidation sqref="A3:A252" showDropDown="0" showInputMessage="0" showErrorMessage="1" allowBlank="1" errorTitle="Case not in register" error="Encode the case in the Case Register first." type="list">
      <formula1>RegCaseNo</formula1>
    </dataValidation>
    <dataValidation sqref="H3:H252" showDropDown="0" showInputMessage="0" showErrorMessage="1" allowBlank="1" errorTitle="Invalid entry" error="Pick a person from the Lists sheet." type="list">
      <formula1>PersonnelList</formula1>
    </dataValidation>
    <dataValidation sqref="I3:I252" showDropDown="0" showInputMessage="0" showErrorMessage="1" allowBlank="1" errorTitle="Invalid date" type="date" operator="between">
      <formula1>DATE(2000,1,1)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B42318"/>
    <outlinePr summaryBelow="1" summaryRight="1"/>
    <pageSetUpPr fitToPage="1"/>
  </sheetPr>
  <dimension ref="A1:J16"/>
  <sheetViews>
    <sheetView showGridLines="0" zoomScale="100" workbookViewId="0">
      <selection activeCell="A1" sqref="A1"/>
    </sheetView>
  </sheetViews>
  <sheetFormatPr baseColWidth="8" defaultRowHeight="15"/>
  <cols>
    <col width="5" customWidth="1" min="1" max="1"/>
    <col width="16" customWidth="1" min="2" max="2"/>
    <col width="46" customWidth="1" min="3" max="3"/>
    <col width="32" customWidth="1" min="4" max="4"/>
    <col width="26" customWidth="1" min="5" max="5"/>
    <col width="26" customWidth="1" min="6" max="6"/>
    <col width="14" customWidth="1" min="7" max="7"/>
    <col width="12" customWidth="1" min="8" max="8"/>
    <col width="14" customWidth="1" min="9" max="9"/>
    <col width="15" customWidth="1" min="10" max="10"/>
  </cols>
  <sheetData>
    <row r="1" ht="30" customHeight="1">
      <c r="A1" s="48" t="inlineStr">
        <is>
          <t>FOLLOW-UP WATCHLIST   |   the ten longest-running open cases</t>
        </is>
      </c>
      <c r="B1" s="49" t="n"/>
      <c r="C1" s="49" t="n"/>
      <c r="D1" s="49" t="n"/>
      <c r="E1" s="49" t="n"/>
      <c r="F1" s="49" t="n"/>
      <c r="G1" s="49" t="n"/>
      <c r="H1" s="49" t="n"/>
      <c r="I1" s="49" t="n"/>
      <c r="J1" s="49" t="n"/>
    </row>
    <row r="2" ht="20" customHeight="1">
      <c r="A2" s="50" t="inlineStr">
        <is>
          <t>Ranked automatically by days pending, counting open cases only. This is the shortlist to bring to the weekly case conference - no manual sorting needed.</t>
        </is>
      </c>
    </row>
    <row r="4" ht="32" customHeight="1">
      <c r="A4" s="51" t="inlineStr">
        <is>
          <t>#</t>
        </is>
      </c>
      <c r="B4" s="51" t="inlineStr">
        <is>
          <t>CASE NO.</t>
        </is>
      </c>
      <c r="C4" s="51" t="inlineStr">
        <is>
          <t>CASE TITLE</t>
        </is>
      </c>
      <c r="D4" s="51" t="inlineStr">
        <is>
          <t>OFFENSE / VIOLATION</t>
        </is>
      </c>
      <c r="E4" s="51" t="inlineStr">
        <is>
          <t>COURT / FORUM</t>
        </is>
      </c>
      <c r="F4" s="51" t="inlineStr">
        <is>
          <t>ASSIGNED HANDLER</t>
        </is>
      </c>
      <c r="G4" s="51" t="inlineStr">
        <is>
          <t>STATUS</t>
        </is>
      </c>
      <c r="H4" s="51" t="inlineStr">
        <is>
          <t>DAYS PENDING</t>
        </is>
      </c>
      <c r="I4" s="51" t="inlineStr">
        <is>
          <t>NEXT HEARING</t>
        </is>
      </c>
      <c r="J4" s="51" t="inlineStr">
        <is>
          <t>STAGE AGEING</t>
        </is>
      </c>
    </row>
    <row r="5" ht="30" customHeight="1">
      <c r="A5" s="52" t="n">
        <v>1</v>
      </c>
      <c r="B5" s="53">
        <f>IFERROR(IF(INDEX(RegCaseNo,MATCH(LARGE(RegRankKey,$A5),RegRankKey,0))="","",INDEX(RegCaseNo,MATCH(LARGE(RegRankKey,$A5),RegRankKey,0))),"")</f>
        <v/>
      </c>
      <c r="C5" s="54">
        <f>IFERROR(IF(INDEX(RegTitle,MATCH(LARGE(RegRankKey,$A5),RegRankKey,0))="","",INDEX(RegTitle,MATCH(LARGE(RegRankKey,$A5),RegRankKey,0))),"")</f>
        <v/>
      </c>
      <c r="D5" s="54">
        <f>IFERROR(IF(INDEX(RegOffense,MATCH(LARGE(RegRankKey,$A5),RegRankKey,0))="","",INDEX(RegOffense,MATCH(LARGE(RegRankKey,$A5),RegRankKey,0))),"")</f>
        <v/>
      </c>
      <c r="E5" s="55">
        <f>IFERROR(IF(INDEX(RegCourt,MATCH(LARGE(RegRankKey,$A5),RegRankKey,0))="","",INDEX(RegCourt,MATCH(LARGE(RegRankKey,$A5),RegRankKey,0))),"")</f>
        <v/>
      </c>
      <c r="F5" s="55">
        <f>IFERROR(IF(INDEX(RegPersonnel,MATCH(LARGE(RegRankKey,$A5),RegRankKey,0))="","",INDEX(RegPersonnel,MATCH(LARGE(RegRankKey,$A5),RegRankKey,0))),"")</f>
        <v/>
      </c>
      <c r="G5" s="56">
        <f>IFERROR(IF(INDEX(RegStatus,MATCH(LARGE(RegRankKey,$A5),RegRankKey,0))="","",INDEX(RegStatus,MATCH(LARGE(RegRankKey,$A5),RegRankKey,0))),"")</f>
        <v/>
      </c>
      <c r="H5" s="57">
        <f>IFERROR(IF(INDEX(RegDaysPending,MATCH(LARGE(RegRankKey,$A5),RegRankKey,0))="","",INDEX(RegDaysPending,MATCH(LARGE(RegRankKey,$A5),RegRankKey,0))),"")</f>
        <v/>
      </c>
      <c r="I5" s="58">
        <f>IFERROR(IF(INDEX(RegNextHearing,MATCH(LARGE(RegRankKey,$A5),RegRankKey,0))="","",INDEX(RegNextHearing,MATCH(LARGE(RegRankKey,$A5),RegRankKey,0))),"")</f>
        <v/>
      </c>
      <c r="J5" s="58">
        <f>IFERROR(IF(INDEX(RegAge,MATCH(LARGE(RegRankKey,$A5),RegRankKey,0))="","",INDEX(RegAge,MATCH(LARGE(RegRankKey,$A5),RegRankKey,0))),"")</f>
        <v/>
      </c>
    </row>
    <row r="6" ht="30" customHeight="1">
      <c r="A6" s="52" t="n">
        <v>2</v>
      </c>
      <c r="B6" s="53">
        <f>IFERROR(IF(INDEX(RegCaseNo,MATCH(LARGE(RegRankKey,$A6),RegRankKey,0))="","",INDEX(RegCaseNo,MATCH(LARGE(RegRankKey,$A6),RegRankKey,0))),"")</f>
        <v/>
      </c>
      <c r="C6" s="54">
        <f>IFERROR(IF(INDEX(RegTitle,MATCH(LARGE(RegRankKey,$A6),RegRankKey,0))="","",INDEX(RegTitle,MATCH(LARGE(RegRankKey,$A6),RegRankKey,0))),"")</f>
        <v/>
      </c>
      <c r="D6" s="54">
        <f>IFERROR(IF(INDEX(RegOffense,MATCH(LARGE(RegRankKey,$A6),RegRankKey,0))="","",INDEX(RegOffense,MATCH(LARGE(RegRankKey,$A6),RegRankKey,0))),"")</f>
        <v/>
      </c>
      <c r="E6" s="55">
        <f>IFERROR(IF(INDEX(RegCourt,MATCH(LARGE(RegRankKey,$A6),RegRankKey,0))="","",INDEX(RegCourt,MATCH(LARGE(RegRankKey,$A6),RegRankKey,0))),"")</f>
        <v/>
      </c>
      <c r="F6" s="55">
        <f>IFERROR(IF(INDEX(RegPersonnel,MATCH(LARGE(RegRankKey,$A6),RegRankKey,0))="","",INDEX(RegPersonnel,MATCH(LARGE(RegRankKey,$A6),RegRankKey,0))),"")</f>
        <v/>
      </c>
      <c r="G6" s="56">
        <f>IFERROR(IF(INDEX(RegStatus,MATCH(LARGE(RegRankKey,$A6),RegRankKey,0))="","",INDEX(RegStatus,MATCH(LARGE(RegRankKey,$A6),RegRankKey,0))),"")</f>
        <v/>
      </c>
      <c r="H6" s="57">
        <f>IFERROR(IF(INDEX(RegDaysPending,MATCH(LARGE(RegRankKey,$A6),RegRankKey,0))="","",INDEX(RegDaysPending,MATCH(LARGE(RegRankKey,$A6),RegRankKey,0))),"")</f>
        <v/>
      </c>
      <c r="I6" s="58">
        <f>IFERROR(IF(INDEX(RegNextHearing,MATCH(LARGE(RegRankKey,$A6),RegRankKey,0))="","",INDEX(RegNextHearing,MATCH(LARGE(RegRankKey,$A6),RegRankKey,0))),"")</f>
        <v/>
      </c>
      <c r="J6" s="58">
        <f>IFERROR(IF(INDEX(RegAge,MATCH(LARGE(RegRankKey,$A6),RegRankKey,0))="","",INDEX(RegAge,MATCH(LARGE(RegRankKey,$A6),RegRankKey,0))),"")</f>
        <v/>
      </c>
    </row>
    <row r="7" ht="30" customHeight="1">
      <c r="A7" s="52" t="n">
        <v>3</v>
      </c>
      <c r="B7" s="53">
        <f>IFERROR(IF(INDEX(RegCaseNo,MATCH(LARGE(RegRankKey,$A7),RegRankKey,0))="","",INDEX(RegCaseNo,MATCH(LARGE(RegRankKey,$A7),RegRankKey,0))),"")</f>
        <v/>
      </c>
      <c r="C7" s="54">
        <f>IFERROR(IF(INDEX(RegTitle,MATCH(LARGE(RegRankKey,$A7),RegRankKey,0))="","",INDEX(RegTitle,MATCH(LARGE(RegRankKey,$A7),RegRankKey,0))),"")</f>
        <v/>
      </c>
      <c r="D7" s="54">
        <f>IFERROR(IF(INDEX(RegOffense,MATCH(LARGE(RegRankKey,$A7),RegRankKey,0))="","",INDEX(RegOffense,MATCH(LARGE(RegRankKey,$A7),RegRankKey,0))),"")</f>
        <v/>
      </c>
      <c r="E7" s="55">
        <f>IFERROR(IF(INDEX(RegCourt,MATCH(LARGE(RegRankKey,$A7),RegRankKey,0))="","",INDEX(RegCourt,MATCH(LARGE(RegRankKey,$A7),RegRankKey,0))),"")</f>
        <v/>
      </c>
      <c r="F7" s="55">
        <f>IFERROR(IF(INDEX(RegPersonnel,MATCH(LARGE(RegRankKey,$A7),RegRankKey,0))="","",INDEX(RegPersonnel,MATCH(LARGE(RegRankKey,$A7),RegRankKey,0))),"")</f>
        <v/>
      </c>
      <c r="G7" s="56">
        <f>IFERROR(IF(INDEX(RegStatus,MATCH(LARGE(RegRankKey,$A7),RegRankKey,0))="","",INDEX(RegStatus,MATCH(LARGE(RegRankKey,$A7),RegRankKey,0))),"")</f>
        <v/>
      </c>
      <c r="H7" s="57">
        <f>IFERROR(IF(INDEX(RegDaysPending,MATCH(LARGE(RegRankKey,$A7),RegRankKey,0))="","",INDEX(RegDaysPending,MATCH(LARGE(RegRankKey,$A7),RegRankKey,0))),"")</f>
        <v/>
      </c>
      <c r="I7" s="58">
        <f>IFERROR(IF(INDEX(RegNextHearing,MATCH(LARGE(RegRankKey,$A7),RegRankKey,0))="","",INDEX(RegNextHearing,MATCH(LARGE(RegRankKey,$A7),RegRankKey,0))),"")</f>
        <v/>
      </c>
      <c r="J7" s="58">
        <f>IFERROR(IF(INDEX(RegAge,MATCH(LARGE(RegRankKey,$A7),RegRankKey,0))="","",INDEX(RegAge,MATCH(LARGE(RegRankKey,$A7),RegRankKey,0))),"")</f>
        <v/>
      </c>
    </row>
    <row r="8" ht="30" customHeight="1">
      <c r="A8" s="52" t="n">
        <v>4</v>
      </c>
      <c r="B8" s="53">
        <f>IFERROR(IF(INDEX(RegCaseNo,MATCH(LARGE(RegRankKey,$A8),RegRankKey,0))="","",INDEX(RegCaseNo,MATCH(LARGE(RegRankKey,$A8),RegRankKey,0))),"")</f>
        <v/>
      </c>
      <c r="C8" s="54">
        <f>IFERROR(IF(INDEX(RegTitle,MATCH(LARGE(RegRankKey,$A8),RegRankKey,0))="","",INDEX(RegTitle,MATCH(LARGE(RegRankKey,$A8),RegRankKey,0))),"")</f>
        <v/>
      </c>
      <c r="D8" s="54">
        <f>IFERROR(IF(INDEX(RegOffense,MATCH(LARGE(RegRankKey,$A8),RegRankKey,0))="","",INDEX(RegOffense,MATCH(LARGE(RegRankKey,$A8),RegRankKey,0))),"")</f>
        <v/>
      </c>
      <c r="E8" s="55">
        <f>IFERROR(IF(INDEX(RegCourt,MATCH(LARGE(RegRankKey,$A8),RegRankKey,0))="","",INDEX(RegCourt,MATCH(LARGE(RegRankKey,$A8),RegRankKey,0))),"")</f>
        <v/>
      </c>
      <c r="F8" s="55">
        <f>IFERROR(IF(INDEX(RegPersonnel,MATCH(LARGE(RegRankKey,$A8),RegRankKey,0))="","",INDEX(RegPersonnel,MATCH(LARGE(RegRankKey,$A8),RegRankKey,0))),"")</f>
        <v/>
      </c>
      <c r="G8" s="56">
        <f>IFERROR(IF(INDEX(RegStatus,MATCH(LARGE(RegRankKey,$A8),RegRankKey,0))="","",INDEX(RegStatus,MATCH(LARGE(RegRankKey,$A8),RegRankKey,0))),"")</f>
        <v/>
      </c>
      <c r="H8" s="57">
        <f>IFERROR(IF(INDEX(RegDaysPending,MATCH(LARGE(RegRankKey,$A8),RegRankKey,0))="","",INDEX(RegDaysPending,MATCH(LARGE(RegRankKey,$A8),RegRankKey,0))),"")</f>
        <v/>
      </c>
      <c r="I8" s="58">
        <f>IFERROR(IF(INDEX(RegNextHearing,MATCH(LARGE(RegRankKey,$A8),RegRankKey,0))="","",INDEX(RegNextHearing,MATCH(LARGE(RegRankKey,$A8),RegRankKey,0))),"")</f>
        <v/>
      </c>
      <c r="J8" s="58">
        <f>IFERROR(IF(INDEX(RegAge,MATCH(LARGE(RegRankKey,$A8),RegRankKey,0))="","",INDEX(RegAge,MATCH(LARGE(RegRankKey,$A8),RegRankKey,0))),"")</f>
        <v/>
      </c>
    </row>
    <row r="9" ht="30" customHeight="1">
      <c r="A9" s="52" t="n">
        <v>5</v>
      </c>
      <c r="B9" s="53">
        <f>IFERROR(IF(INDEX(RegCaseNo,MATCH(LARGE(RegRankKey,$A9),RegRankKey,0))="","",INDEX(RegCaseNo,MATCH(LARGE(RegRankKey,$A9),RegRankKey,0))),"")</f>
        <v/>
      </c>
      <c r="C9" s="54">
        <f>IFERROR(IF(INDEX(RegTitle,MATCH(LARGE(RegRankKey,$A9),RegRankKey,0))="","",INDEX(RegTitle,MATCH(LARGE(RegRankKey,$A9),RegRankKey,0))),"")</f>
        <v/>
      </c>
      <c r="D9" s="54">
        <f>IFERROR(IF(INDEX(RegOffense,MATCH(LARGE(RegRankKey,$A9),RegRankKey,0))="","",INDEX(RegOffense,MATCH(LARGE(RegRankKey,$A9),RegRankKey,0))),"")</f>
        <v/>
      </c>
      <c r="E9" s="55">
        <f>IFERROR(IF(INDEX(RegCourt,MATCH(LARGE(RegRankKey,$A9),RegRankKey,0))="","",INDEX(RegCourt,MATCH(LARGE(RegRankKey,$A9),RegRankKey,0))),"")</f>
        <v/>
      </c>
      <c r="F9" s="55">
        <f>IFERROR(IF(INDEX(RegPersonnel,MATCH(LARGE(RegRankKey,$A9),RegRankKey,0))="","",INDEX(RegPersonnel,MATCH(LARGE(RegRankKey,$A9),RegRankKey,0))),"")</f>
        <v/>
      </c>
      <c r="G9" s="56">
        <f>IFERROR(IF(INDEX(RegStatus,MATCH(LARGE(RegRankKey,$A9),RegRankKey,0))="","",INDEX(RegStatus,MATCH(LARGE(RegRankKey,$A9),RegRankKey,0))),"")</f>
        <v/>
      </c>
      <c r="H9" s="57">
        <f>IFERROR(IF(INDEX(RegDaysPending,MATCH(LARGE(RegRankKey,$A9),RegRankKey,0))="","",INDEX(RegDaysPending,MATCH(LARGE(RegRankKey,$A9),RegRankKey,0))),"")</f>
        <v/>
      </c>
      <c r="I9" s="58">
        <f>IFERROR(IF(INDEX(RegNextHearing,MATCH(LARGE(RegRankKey,$A9),RegRankKey,0))="","",INDEX(RegNextHearing,MATCH(LARGE(RegRankKey,$A9),RegRankKey,0))),"")</f>
        <v/>
      </c>
      <c r="J9" s="58">
        <f>IFERROR(IF(INDEX(RegAge,MATCH(LARGE(RegRankKey,$A9),RegRankKey,0))="","",INDEX(RegAge,MATCH(LARGE(RegRankKey,$A9),RegRankKey,0))),"")</f>
        <v/>
      </c>
    </row>
    <row r="10" ht="30" customHeight="1">
      <c r="A10" s="52" t="n">
        <v>6</v>
      </c>
      <c r="B10" s="53">
        <f>IFERROR(IF(INDEX(RegCaseNo,MATCH(LARGE(RegRankKey,$A10),RegRankKey,0))="","",INDEX(RegCaseNo,MATCH(LARGE(RegRankKey,$A10),RegRankKey,0))),"")</f>
        <v/>
      </c>
      <c r="C10" s="54">
        <f>IFERROR(IF(INDEX(RegTitle,MATCH(LARGE(RegRankKey,$A10),RegRankKey,0))="","",INDEX(RegTitle,MATCH(LARGE(RegRankKey,$A10),RegRankKey,0))),"")</f>
        <v/>
      </c>
      <c r="D10" s="54">
        <f>IFERROR(IF(INDEX(RegOffense,MATCH(LARGE(RegRankKey,$A10),RegRankKey,0))="","",INDEX(RegOffense,MATCH(LARGE(RegRankKey,$A10),RegRankKey,0))),"")</f>
        <v/>
      </c>
      <c r="E10" s="55">
        <f>IFERROR(IF(INDEX(RegCourt,MATCH(LARGE(RegRankKey,$A10),RegRankKey,0))="","",INDEX(RegCourt,MATCH(LARGE(RegRankKey,$A10),RegRankKey,0))),"")</f>
        <v/>
      </c>
      <c r="F10" s="55">
        <f>IFERROR(IF(INDEX(RegPersonnel,MATCH(LARGE(RegRankKey,$A10),RegRankKey,0))="","",INDEX(RegPersonnel,MATCH(LARGE(RegRankKey,$A10),RegRankKey,0))),"")</f>
        <v/>
      </c>
      <c r="G10" s="56">
        <f>IFERROR(IF(INDEX(RegStatus,MATCH(LARGE(RegRankKey,$A10),RegRankKey,0))="","",INDEX(RegStatus,MATCH(LARGE(RegRankKey,$A10),RegRankKey,0))),"")</f>
        <v/>
      </c>
      <c r="H10" s="57">
        <f>IFERROR(IF(INDEX(RegDaysPending,MATCH(LARGE(RegRankKey,$A10),RegRankKey,0))="","",INDEX(RegDaysPending,MATCH(LARGE(RegRankKey,$A10),RegRankKey,0))),"")</f>
        <v/>
      </c>
      <c r="I10" s="58">
        <f>IFERROR(IF(INDEX(RegNextHearing,MATCH(LARGE(RegRankKey,$A10),RegRankKey,0))="","",INDEX(RegNextHearing,MATCH(LARGE(RegRankKey,$A10),RegRankKey,0))),"")</f>
        <v/>
      </c>
      <c r="J10" s="58">
        <f>IFERROR(IF(INDEX(RegAge,MATCH(LARGE(RegRankKey,$A10),RegRankKey,0))="","",INDEX(RegAge,MATCH(LARGE(RegRankKey,$A10),RegRankKey,0))),"")</f>
        <v/>
      </c>
    </row>
    <row r="11" ht="30" customHeight="1">
      <c r="A11" s="52" t="n">
        <v>7</v>
      </c>
      <c r="B11" s="53">
        <f>IFERROR(IF(INDEX(RegCaseNo,MATCH(LARGE(RegRankKey,$A11),RegRankKey,0))="","",INDEX(RegCaseNo,MATCH(LARGE(RegRankKey,$A11),RegRankKey,0))),"")</f>
        <v/>
      </c>
      <c r="C11" s="54">
        <f>IFERROR(IF(INDEX(RegTitle,MATCH(LARGE(RegRankKey,$A11),RegRankKey,0))="","",INDEX(RegTitle,MATCH(LARGE(RegRankKey,$A11),RegRankKey,0))),"")</f>
        <v/>
      </c>
      <c r="D11" s="54">
        <f>IFERROR(IF(INDEX(RegOffense,MATCH(LARGE(RegRankKey,$A11),RegRankKey,0))="","",INDEX(RegOffense,MATCH(LARGE(RegRankKey,$A11),RegRankKey,0))),"")</f>
        <v/>
      </c>
      <c r="E11" s="55">
        <f>IFERROR(IF(INDEX(RegCourt,MATCH(LARGE(RegRankKey,$A11),RegRankKey,0))="","",INDEX(RegCourt,MATCH(LARGE(RegRankKey,$A11),RegRankKey,0))),"")</f>
        <v/>
      </c>
      <c r="F11" s="55">
        <f>IFERROR(IF(INDEX(RegPersonnel,MATCH(LARGE(RegRankKey,$A11),RegRankKey,0))="","",INDEX(RegPersonnel,MATCH(LARGE(RegRankKey,$A11),RegRankKey,0))),"")</f>
        <v/>
      </c>
      <c r="G11" s="56">
        <f>IFERROR(IF(INDEX(RegStatus,MATCH(LARGE(RegRankKey,$A11),RegRankKey,0))="","",INDEX(RegStatus,MATCH(LARGE(RegRankKey,$A11),RegRankKey,0))),"")</f>
        <v/>
      </c>
      <c r="H11" s="57">
        <f>IFERROR(IF(INDEX(RegDaysPending,MATCH(LARGE(RegRankKey,$A11),RegRankKey,0))="","",INDEX(RegDaysPending,MATCH(LARGE(RegRankKey,$A11),RegRankKey,0))),"")</f>
        <v/>
      </c>
      <c r="I11" s="58">
        <f>IFERROR(IF(INDEX(RegNextHearing,MATCH(LARGE(RegRankKey,$A11),RegRankKey,0))="","",INDEX(RegNextHearing,MATCH(LARGE(RegRankKey,$A11),RegRankKey,0))),"")</f>
        <v/>
      </c>
      <c r="J11" s="58">
        <f>IFERROR(IF(INDEX(RegAge,MATCH(LARGE(RegRankKey,$A11),RegRankKey,0))="","",INDEX(RegAge,MATCH(LARGE(RegRankKey,$A11),RegRankKey,0))),"")</f>
        <v/>
      </c>
    </row>
    <row r="12" ht="30" customHeight="1">
      <c r="A12" s="52" t="n">
        <v>8</v>
      </c>
      <c r="B12" s="53">
        <f>IFERROR(IF(INDEX(RegCaseNo,MATCH(LARGE(RegRankKey,$A12),RegRankKey,0))="","",INDEX(RegCaseNo,MATCH(LARGE(RegRankKey,$A12),RegRankKey,0))),"")</f>
        <v/>
      </c>
      <c r="C12" s="54">
        <f>IFERROR(IF(INDEX(RegTitle,MATCH(LARGE(RegRankKey,$A12),RegRankKey,0))="","",INDEX(RegTitle,MATCH(LARGE(RegRankKey,$A12),RegRankKey,0))),"")</f>
        <v/>
      </c>
      <c r="D12" s="54">
        <f>IFERROR(IF(INDEX(RegOffense,MATCH(LARGE(RegRankKey,$A12),RegRankKey,0))="","",INDEX(RegOffense,MATCH(LARGE(RegRankKey,$A12),RegRankKey,0))),"")</f>
        <v/>
      </c>
      <c r="E12" s="55">
        <f>IFERROR(IF(INDEX(RegCourt,MATCH(LARGE(RegRankKey,$A12),RegRankKey,0))="","",INDEX(RegCourt,MATCH(LARGE(RegRankKey,$A12),RegRankKey,0))),"")</f>
        <v/>
      </c>
      <c r="F12" s="55">
        <f>IFERROR(IF(INDEX(RegPersonnel,MATCH(LARGE(RegRankKey,$A12),RegRankKey,0))="","",INDEX(RegPersonnel,MATCH(LARGE(RegRankKey,$A12),RegRankKey,0))),"")</f>
        <v/>
      </c>
      <c r="G12" s="56">
        <f>IFERROR(IF(INDEX(RegStatus,MATCH(LARGE(RegRankKey,$A12),RegRankKey,0))="","",INDEX(RegStatus,MATCH(LARGE(RegRankKey,$A12),RegRankKey,0))),"")</f>
        <v/>
      </c>
      <c r="H12" s="57">
        <f>IFERROR(IF(INDEX(RegDaysPending,MATCH(LARGE(RegRankKey,$A12),RegRankKey,0))="","",INDEX(RegDaysPending,MATCH(LARGE(RegRankKey,$A12),RegRankKey,0))),"")</f>
        <v/>
      </c>
      <c r="I12" s="58">
        <f>IFERROR(IF(INDEX(RegNextHearing,MATCH(LARGE(RegRankKey,$A12),RegRankKey,0))="","",INDEX(RegNextHearing,MATCH(LARGE(RegRankKey,$A12),RegRankKey,0))),"")</f>
        <v/>
      </c>
      <c r="J12" s="58">
        <f>IFERROR(IF(INDEX(RegAge,MATCH(LARGE(RegRankKey,$A12),RegRankKey,0))="","",INDEX(RegAge,MATCH(LARGE(RegRankKey,$A12),RegRankKey,0))),"")</f>
        <v/>
      </c>
    </row>
    <row r="13" ht="30" customHeight="1">
      <c r="A13" s="52" t="n">
        <v>9</v>
      </c>
      <c r="B13" s="53">
        <f>IFERROR(IF(INDEX(RegCaseNo,MATCH(LARGE(RegRankKey,$A13),RegRankKey,0))="","",INDEX(RegCaseNo,MATCH(LARGE(RegRankKey,$A13),RegRankKey,0))),"")</f>
        <v/>
      </c>
      <c r="C13" s="54">
        <f>IFERROR(IF(INDEX(RegTitle,MATCH(LARGE(RegRankKey,$A13),RegRankKey,0))="","",INDEX(RegTitle,MATCH(LARGE(RegRankKey,$A13),RegRankKey,0))),"")</f>
        <v/>
      </c>
      <c r="D13" s="54">
        <f>IFERROR(IF(INDEX(RegOffense,MATCH(LARGE(RegRankKey,$A13),RegRankKey,0))="","",INDEX(RegOffense,MATCH(LARGE(RegRankKey,$A13),RegRankKey,0))),"")</f>
        <v/>
      </c>
      <c r="E13" s="55">
        <f>IFERROR(IF(INDEX(RegCourt,MATCH(LARGE(RegRankKey,$A13),RegRankKey,0))="","",INDEX(RegCourt,MATCH(LARGE(RegRankKey,$A13),RegRankKey,0))),"")</f>
        <v/>
      </c>
      <c r="F13" s="55">
        <f>IFERROR(IF(INDEX(RegPersonnel,MATCH(LARGE(RegRankKey,$A13),RegRankKey,0))="","",INDEX(RegPersonnel,MATCH(LARGE(RegRankKey,$A13),RegRankKey,0))),"")</f>
        <v/>
      </c>
      <c r="G13" s="56">
        <f>IFERROR(IF(INDEX(RegStatus,MATCH(LARGE(RegRankKey,$A13),RegRankKey,0))="","",INDEX(RegStatus,MATCH(LARGE(RegRankKey,$A13),RegRankKey,0))),"")</f>
        <v/>
      </c>
      <c r="H13" s="57">
        <f>IFERROR(IF(INDEX(RegDaysPending,MATCH(LARGE(RegRankKey,$A13),RegRankKey,0))="","",INDEX(RegDaysPending,MATCH(LARGE(RegRankKey,$A13),RegRankKey,0))),"")</f>
        <v/>
      </c>
      <c r="I13" s="58">
        <f>IFERROR(IF(INDEX(RegNextHearing,MATCH(LARGE(RegRankKey,$A13),RegRankKey,0))="","",INDEX(RegNextHearing,MATCH(LARGE(RegRankKey,$A13),RegRankKey,0))),"")</f>
        <v/>
      </c>
      <c r="J13" s="58">
        <f>IFERROR(IF(INDEX(RegAge,MATCH(LARGE(RegRankKey,$A13),RegRankKey,0))="","",INDEX(RegAge,MATCH(LARGE(RegRankKey,$A13),RegRankKey,0))),"")</f>
        <v/>
      </c>
    </row>
    <row r="14" ht="30" customHeight="1">
      <c r="A14" s="52" t="n">
        <v>10</v>
      </c>
      <c r="B14" s="53">
        <f>IFERROR(IF(INDEX(RegCaseNo,MATCH(LARGE(RegRankKey,$A14),RegRankKey,0))="","",INDEX(RegCaseNo,MATCH(LARGE(RegRankKey,$A14),RegRankKey,0))),"")</f>
        <v/>
      </c>
      <c r="C14" s="54">
        <f>IFERROR(IF(INDEX(RegTitle,MATCH(LARGE(RegRankKey,$A14),RegRankKey,0))="","",INDEX(RegTitle,MATCH(LARGE(RegRankKey,$A14),RegRankKey,0))),"")</f>
        <v/>
      </c>
      <c r="D14" s="54">
        <f>IFERROR(IF(INDEX(RegOffense,MATCH(LARGE(RegRankKey,$A14),RegRankKey,0))="","",INDEX(RegOffense,MATCH(LARGE(RegRankKey,$A14),RegRankKey,0))),"")</f>
        <v/>
      </c>
      <c r="E14" s="55">
        <f>IFERROR(IF(INDEX(RegCourt,MATCH(LARGE(RegRankKey,$A14),RegRankKey,0))="","",INDEX(RegCourt,MATCH(LARGE(RegRankKey,$A14),RegRankKey,0))),"")</f>
        <v/>
      </c>
      <c r="F14" s="55">
        <f>IFERROR(IF(INDEX(RegPersonnel,MATCH(LARGE(RegRankKey,$A14),RegRankKey,0))="","",INDEX(RegPersonnel,MATCH(LARGE(RegRankKey,$A14),RegRankKey,0))),"")</f>
        <v/>
      </c>
      <c r="G14" s="56">
        <f>IFERROR(IF(INDEX(RegStatus,MATCH(LARGE(RegRankKey,$A14),RegRankKey,0))="","",INDEX(RegStatus,MATCH(LARGE(RegRankKey,$A14),RegRankKey,0))),"")</f>
        <v/>
      </c>
      <c r="H14" s="57">
        <f>IFERROR(IF(INDEX(RegDaysPending,MATCH(LARGE(RegRankKey,$A14),RegRankKey,0))="","",INDEX(RegDaysPending,MATCH(LARGE(RegRankKey,$A14),RegRankKey,0))),"")</f>
        <v/>
      </c>
      <c r="I14" s="58">
        <f>IFERROR(IF(INDEX(RegNextHearing,MATCH(LARGE(RegRankKey,$A14),RegRankKey,0))="","",INDEX(RegNextHearing,MATCH(LARGE(RegRankKey,$A14),RegRankKey,0))),"")</f>
        <v/>
      </c>
      <c r="J14" s="58">
        <f>IFERROR(IF(INDEX(RegAge,MATCH(LARGE(RegRankKey,$A14),RegRankKey,0))="","",INDEX(RegAge,MATCH(LARGE(RegRankKey,$A14),RegRankKey,0))),"")</f>
        <v/>
      </c>
    </row>
    <row r="16" ht="34" customHeight="1">
      <c r="A16" s="59" t="inlineStr">
        <is>
          <t>Escalation guide:  Monitor = review at case conference.   For Follow-up = written follow-up with the court or prosecutor within 7 days.   Critical = escalate to the Local Chief Executive / City Prosecutor and document the action taken in the Remarks column of the Case Register.</t>
        </is>
      </c>
    </row>
  </sheetData>
  <mergeCells count="3">
    <mergeCell ref="A16:J16"/>
    <mergeCell ref="A1:J1"/>
    <mergeCell ref="A2:J2"/>
  </mergeCells>
  <conditionalFormatting sqref="J5:J14">
    <cfRule type="expression" priority="1" dxfId="7" stopIfTrue="1">
      <formula>$J5="Critical"</formula>
    </cfRule>
    <cfRule type="expression" priority="2" dxfId="8" stopIfTrue="1">
      <formula>$J5="For Follow-up"</formula>
    </cfRule>
    <cfRule type="expression" priority="3" dxfId="10" stopIfTrue="1">
      <formula>$J5="Monitor"</formula>
    </cfRule>
    <cfRule type="expression" priority="4" dxfId="14" stopIfTrue="1">
      <formula>$J5="Within Standard"</formula>
    </cfRule>
  </conditionalFormatting>
  <conditionalFormatting sqref="H5:H14">
    <cfRule type="dataBar" priority="5">
      <dataBar showValue="1">
        <cfvo type="num" val="0"/>
        <cfvo type="max"/>
        <color rgb="00B42318"/>
      </dataBar>
    </cfRule>
  </conditionalFormatting>
  <pageMargins left="0.75" right="0.75" top="1" bottom="1" header="0.5" footer="0.5"/>
  <pageSetup orientation="landscape" fitToHeight="1" fitToWidth="1"/>
</worksheet>
</file>

<file path=xl/worksheets/sheet6.xml><?xml version="1.0" encoding="utf-8"?>
<worksheet xmlns="http://schemas.openxmlformats.org/spreadsheetml/2006/main">
  <sheetPr>
    <tabColor rgb="006B7280"/>
    <outlinePr summaryBelow="1" summaryRight="1"/>
    <pageSetUpPr/>
  </sheetPr>
  <dimension ref="A1:E105"/>
  <sheetViews>
    <sheetView showGridLines="0" workbookViewId="0">
      <selection activeCell="A1" sqref="A1"/>
    </sheetView>
  </sheetViews>
  <sheetFormatPr baseColWidth="8" defaultRowHeight="15"/>
  <cols>
    <col width="4" customWidth="1" min="1" max="1"/>
    <col width="40" customWidth="1" min="2" max="2"/>
    <col width="12" customWidth="1" min="3" max="3"/>
    <col width="14" customWidth="1" min="4" max="4"/>
    <col width="30" customWidth="1" min="5" max="5"/>
  </cols>
  <sheetData>
    <row r="1" ht="28" customHeight="1">
      <c r="A1" s="60" t="inlineStr">
        <is>
          <t>ANALYSIS TABLES  |  live counts that feed the dashboard charts</t>
        </is>
      </c>
    </row>
    <row r="2">
      <c r="A2" s="61" t="inlineStr">
        <is>
          <t>Everything here is a formula. You never need to edit this sheet.</t>
        </is>
      </c>
    </row>
    <row r="4">
      <c r="B4" s="62" t="inlineStr">
        <is>
          <t>CASES BY STAGE</t>
        </is>
      </c>
    </row>
    <row r="5">
      <c r="B5" s="63" t="inlineStr">
        <is>
          <t>CASE STAGE</t>
        </is>
      </c>
      <c r="C5" s="64" t="inlineStr">
        <is>
          <t>COUNT</t>
        </is>
      </c>
    </row>
    <row r="6">
      <c r="B6" s="65" t="inlineStr">
        <is>
          <t>For Filing</t>
        </is>
      </c>
      <c r="C6" s="66">
        <f>COUNTIF(RegStage,"For Filing")</f>
        <v/>
      </c>
    </row>
    <row r="7">
      <c r="B7" s="65" t="inlineStr">
        <is>
          <t>Preliminary Investigation</t>
        </is>
      </c>
      <c r="C7" s="66">
        <f>COUNTIF(RegStage,"Preliminary Investigation")</f>
        <v/>
      </c>
    </row>
    <row r="8">
      <c r="B8" s="65" t="inlineStr">
        <is>
          <t>Filed in Court</t>
        </is>
      </c>
      <c r="C8" s="66">
        <f>COUNTIF(RegStage,"Filed in Court")</f>
        <v/>
      </c>
    </row>
    <row r="9">
      <c r="B9" s="65" t="inlineStr">
        <is>
          <t>Arraignment</t>
        </is>
      </c>
      <c r="C9" s="66">
        <f>COUNTIF(RegStage,"Arraignment")</f>
        <v/>
      </c>
    </row>
    <row r="10">
      <c r="B10" s="65" t="inlineStr">
        <is>
          <t>Pre-Trial</t>
        </is>
      </c>
      <c r="C10" s="66">
        <f>COUNTIF(RegStage,"Pre-Trial")</f>
        <v/>
      </c>
    </row>
    <row r="11">
      <c r="B11" s="65" t="inlineStr">
        <is>
          <t>Trial</t>
        </is>
      </c>
      <c r="C11" s="66">
        <f>COUNTIF(RegStage,"Trial")</f>
        <v/>
      </c>
    </row>
    <row r="12">
      <c r="B12" s="65" t="inlineStr">
        <is>
          <t>Submitted for Decision</t>
        </is>
      </c>
      <c r="C12" s="66">
        <f>COUNTIF(RegStage,"Submitted for Decision")</f>
        <v/>
      </c>
    </row>
    <row r="13">
      <c r="B13" s="65" t="inlineStr">
        <is>
          <t>Judgment Rendered</t>
        </is>
      </c>
      <c r="C13" s="66">
        <f>COUNTIF(RegStage,"Judgment Rendered")</f>
        <v/>
      </c>
    </row>
    <row r="14">
      <c r="B14" s="65" t="inlineStr">
        <is>
          <t>Appeal / Review</t>
        </is>
      </c>
      <c r="C14" s="66">
        <f>COUNTIF(RegStage,"Appeal / Review")</f>
        <v/>
      </c>
    </row>
    <row r="15">
      <c r="B15" s="65" t="inlineStr">
        <is>
          <t>Archived</t>
        </is>
      </c>
      <c r="C15" s="66">
        <f>COUNTIF(RegStage,"Archived")</f>
        <v/>
      </c>
    </row>
    <row r="18">
      <c r="B18" s="62" t="inlineStr">
        <is>
          <t>CASES BY OFFENSE CATEGORY</t>
        </is>
      </c>
    </row>
    <row r="19">
      <c r="B19" s="63" t="inlineStr">
        <is>
          <t>CATEGORY</t>
        </is>
      </c>
      <c r="C19" s="64" t="inlineStr">
        <is>
          <t>COUNT</t>
        </is>
      </c>
    </row>
    <row r="20">
      <c r="B20" s="65" t="inlineStr">
        <is>
          <t>Crimes Against Persons</t>
        </is>
      </c>
      <c r="C20" s="66">
        <f>COUNTIF(RegCat,"Crimes Against Persons")</f>
        <v/>
      </c>
    </row>
    <row r="21">
      <c r="B21" s="65" t="inlineStr">
        <is>
          <t>Crimes Against Property</t>
        </is>
      </c>
      <c r="C21" s="66">
        <f>COUNTIF(RegCat,"Crimes Against Property")</f>
        <v/>
      </c>
    </row>
    <row r="22">
      <c r="B22" s="65" t="inlineStr">
        <is>
          <t>Crimes Against Chastity</t>
        </is>
      </c>
      <c r="C22" s="66">
        <f>COUNTIF(RegCat,"Crimes Against Chastity")</f>
        <v/>
      </c>
    </row>
    <row r="23">
      <c r="B23" s="65" t="inlineStr">
        <is>
          <t>Crimes Against Public Order</t>
        </is>
      </c>
      <c r="C23" s="66">
        <f>COUNTIF(RegCat,"Crimes Against Public Order")</f>
        <v/>
      </c>
    </row>
    <row r="24">
      <c r="B24" s="65" t="inlineStr">
        <is>
          <t>Crimes Against Public Interest</t>
        </is>
      </c>
      <c r="C24" s="66">
        <f>COUNTIF(RegCat,"Crimes Against Public Interest")</f>
        <v/>
      </c>
    </row>
    <row r="25">
      <c r="B25" s="65" t="inlineStr">
        <is>
          <t>Special Laws - Dangerous Drugs</t>
        </is>
      </c>
      <c r="C25" s="66">
        <f>COUNTIF(RegCat,"Special Laws - Dangerous Drugs")</f>
        <v/>
      </c>
    </row>
    <row r="26">
      <c r="B26" s="65" t="inlineStr">
        <is>
          <t>Special Laws - Women and Children</t>
        </is>
      </c>
      <c r="C26" s="66">
        <f>COUNTIF(RegCat,"Special Laws - Women and Children")</f>
        <v/>
      </c>
    </row>
    <row r="27">
      <c r="B27" s="65" t="inlineStr">
        <is>
          <t>Special Laws - Environment and Natural Resources</t>
        </is>
      </c>
      <c r="C27" s="66">
        <f>COUNTIF(RegCat,"Special Laws - Environment and Natural Resources")</f>
        <v/>
      </c>
    </row>
    <row r="28">
      <c r="B28" s="65" t="inlineStr">
        <is>
          <t>Special Laws - Economic and Cyber</t>
        </is>
      </c>
      <c r="C28" s="66">
        <f>COUNTIF(RegCat,"Special Laws - Economic and Cyber")</f>
        <v/>
      </c>
    </row>
    <row r="29">
      <c r="B29" s="65" t="inlineStr">
        <is>
          <t>Local Ordinances and Other Special Laws</t>
        </is>
      </c>
      <c r="C29" s="66">
        <f>COUNTIF(RegCat,"Local Ordinances and Other Special Laws")</f>
        <v/>
      </c>
    </row>
    <row r="32">
      <c r="B32" s="62" t="inlineStr">
        <is>
          <t>CASES BY STATUS</t>
        </is>
      </c>
    </row>
    <row r="33">
      <c r="B33" s="63" t="inlineStr">
        <is>
          <t>CASE STATUS</t>
        </is>
      </c>
      <c r="C33" s="64" t="inlineStr">
        <is>
          <t>COUNT</t>
        </is>
      </c>
    </row>
    <row r="34">
      <c r="B34" s="65" t="inlineStr">
        <is>
          <t>Active</t>
        </is>
      </c>
      <c r="C34" s="66">
        <f>COUNTIF(RegStatus,"Active")</f>
        <v/>
      </c>
    </row>
    <row r="35">
      <c r="B35" s="65" t="inlineStr">
        <is>
          <t>For Action</t>
        </is>
      </c>
      <c r="C35" s="66">
        <f>COUNTIF(RegStatus,"For Action")</f>
        <v/>
      </c>
    </row>
    <row r="36">
      <c r="B36" s="65" t="inlineStr">
        <is>
          <t>Deferred</t>
        </is>
      </c>
      <c r="C36" s="66">
        <f>COUNTIF(RegStatus,"Deferred")</f>
        <v/>
      </c>
    </row>
    <row r="37">
      <c r="B37" s="65" t="inlineStr">
        <is>
          <t>Dormant</t>
        </is>
      </c>
      <c r="C37" s="66">
        <f>COUNTIF(RegStatus,"Dormant")</f>
        <v/>
      </c>
    </row>
    <row r="38">
      <c r="B38" s="65" t="inlineStr">
        <is>
          <t>Closed</t>
        </is>
      </c>
      <c r="C38" s="66">
        <f>COUNTIF(RegStatus,"Closed")</f>
        <v/>
      </c>
    </row>
    <row r="39">
      <c r="B39" s="65" t="inlineStr">
        <is>
          <t>Endorsed / Transferred</t>
        </is>
      </c>
      <c r="C39" s="66">
        <f>COUNTIF(RegStatus,"Endorsed / Transferred")</f>
        <v/>
      </c>
    </row>
    <row r="42">
      <c r="B42" s="62" t="inlineStr">
        <is>
          <t>MONTHLY CASE INTAKE (12 MONTHS)</t>
        </is>
      </c>
    </row>
    <row r="43">
      <c r="B43" s="63" t="inlineStr">
        <is>
          <t>MONTH</t>
        </is>
      </c>
      <c r="C43" s="64" t="inlineStr">
        <is>
          <t>FILED</t>
        </is>
      </c>
    </row>
    <row r="44">
      <c r="B44" s="67" t="n">
        <v>45962</v>
      </c>
      <c r="C44" s="68">
        <f>COUNTIFS(RegFiled,"&gt;="&amp;$B44,RegFiled,"&lt;"&amp;DATE(2025,12,1))</f>
        <v/>
      </c>
    </row>
    <row r="45">
      <c r="B45" s="67" t="n">
        <v>45992</v>
      </c>
      <c r="C45" s="68">
        <f>COUNTIFS(RegFiled,"&gt;="&amp;$B45,RegFiled,"&lt;"&amp;DATE(2026,1,1))</f>
        <v/>
      </c>
    </row>
    <row r="46">
      <c r="B46" s="67" t="n">
        <v>46023</v>
      </c>
      <c r="C46" s="68">
        <f>COUNTIFS(RegFiled,"&gt;="&amp;$B46,RegFiled,"&lt;"&amp;DATE(2026,2,1))</f>
        <v/>
      </c>
    </row>
    <row r="47">
      <c r="B47" s="67" t="n">
        <v>46054</v>
      </c>
      <c r="C47" s="68">
        <f>COUNTIFS(RegFiled,"&gt;="&amp;$B47,RegFiled,"&lt;"&amp;DATE(2026,3,1))</f>
        <v/>
      </c>
    </row>
    <row r="48">
      <c r="B48" s="67" t="n">
        <v>46082</v>
      </c>
      <c r="C48" s="68">
        <f>COUNTIFS(RegFiled,"&gt;="&amp;$B48,RegFiled,"&lt;"&amp;DATE(2026,4,1))</f>
        <v/>
      </c>
    </row>
    <row r="49">
      <c r="B49" s="67" t="n">
        <v>46113</v>
      </c>
      <c r="C49" s="68">
        <f>COUNTIFS(RegFiled,"&gt;="&amp;$B49,RegFiled,"&lt;"&amp;DATE(2026,5,1))</f>
        <v/>
      </c>
    </row>
    <row r="50">
      <c r="B50" s="67" t="n">
        <v>46143</v>
      </c>
      <c r="C50" s="68">
        <f>COUNTIFS(RegFiled,"&gt;="&amp;$B50,RegFiled,"&lt;"&amp;DATE(2026,6,1))</f>
        <v/>
      </c>
    </row>
    <row r="51">
      <c r="B51" s="67" t="n">
        <v>46174</v>
      </c>
      <c r="C51" s="68">
        <f>COUNTIFS(RegFiled,"&gt;="&amp;$B51,RegFiled,"&lt;"&amp;DATE(2026,7,1))</f>
        <v/>
      </c>
    </row>
    <row r="52">
      <c r="B52" s="67" t="n">
        <v>46204</v>
      </c>
      <c r="C52" s="68">
        <f>COUNTIFS(RegFiled,"&gt;="&amp;$B52,RegFiled,"&lt;"&amp;DATE(2026,8,1))</f>
        <v/>
      </c>
    </row>
    <row r="53">
      <c r="B53" s="67" t="n">
        <v>46235</v>
      </c>
      <c r="C53" s="68">
        <f>COUNTIFS(RegFiled,"&gt;="&amp;$B53,RegFiled,"&lt;"&amp;DATE(2026,9,1))</f>
        <v/>
      </c>
    </row>
    <row r="54">
      <c r="B54" s="67" t="n">
        <v>46266</v>
      </c>
      <c r="C54" s="68">
        <f>COUNTIFS(RegFiled,"&gt;="&amp;$B54,RegFiled,"&lt;"&amp;DATE(2026,10,1))</f>
        <v/>
      </c>
    </row>
    <row r="55">
      <c r="B55" s="67" t="n">
        <v>46296</v>
      </c>
      <c r="C55" s="68">
        <f>COUNTIFS(RegFiled,"&gt;="&amp;$B55,RegFiled,"&lt;"&amp;DATE(2026,11,1))</f>
        <v/>
      </c>
    </row>
    <row r="58">
      <c r="B58" s="62" t="inlineStr">
        <is>
          <t>CASES BY COURT / FORUM</t>
        </is>
      </c>
    </row>
    <row r="59">
      <c r="B59" s="63" t="inlineStr">
        <is>
          <t>COURT / FORUM</t>
        </is>
      </c>
      <c r="C59" s="64" t="inlineStr">
        <is>
          <t>COUNT</t>
        </is>
      </c>
    </row>
    <row r="60">
      <c r="B60" s="65" t="inlineStr">
        <is>
          <t>Katarungang Pambarangay</t>
        </is>
      </c>
      <c r="C60" s="66">
        <f>COUNTIF(RegCourt,"Katarungang Pambarangay")</f>
        <v/>
      </c>
    </row>
    <row r="61">
      <c r="B61" s="65" t="inlineStr">
        <is>
          <t>Office of the Prosecutor</t>
        </is>
      </c>
      <c r="C61" s="66">
        <f>COUNTIF(RegCourt,"Office of the Prosecutor")</f>
        <v/>
      </c>
    </row>
    <row r="62">
      <c r="B62" s="65" t="inlineStr">
        <is>
          <t>Regional Trial Court</t>
        </is>
      </c>
      <c r="C62" s="66">
        <f>COUNTIF(RegCourt,"Regional Trial Court")</f>
        <v/>
      </c>
    </row>
    <row r="63">
      <c r="B63" s="65" t="inlineStr">
        <is>
          <t>Metropolitan Trial Court</t>
        </is>
      </c>
      <c r="C63" s="66">
        <f>COUNTIF(RegCourt,"Metropolitan Trial Court")</f>
        <v/>
      </c>
    </row>
    <row r="64">
      <c r="B64" s="65" t="inlineStr">
        <is>
          <t>Municipal Trial Court</t>
        </is>
      </c>
      <c r="C64" s="66">
        <f>COUNTIF(RegCourt,"Municipal Trial Court")</f>
        <v/>
      </c>
    </row>
    <row r="65">
      <c r="B65" s="65" t="inlineStr">
        <is>
          <t>Municipal Circuit Trial Court</t>
        </is>
      </c>
      <c r="C65" s="66">
        <f>COUNTIF(RegCourt,"Municipal Circuit Trial Court")</f>
        <v/>
      </c>
    </row>
    <row r="66">
      <c r="B66" s="65" t="inlineStr">
        <is>
          <t>Sandiganbayan</t>
        </is>
      </c>
      <c r="C66" s="66">
        <f>COUNTIF(RegCourt,"Sandiganbayan")</f>
        <v/>
      </c>
    </row>
    <row r="67">
      <c r="B67" s="65" t="inlineStr">
        <is>
          <t>Court of Appeals</t>
        </is>
      </c>
      <c r="C67" s="66">
        <f>COUNTIF(RegCourt,"Court of Appeals")</f>
        <v/>
      </c>
    </row>
    <row r="68">
      <c r="B68" s="65" t="inlineStr">
        <is>
          <t>Supreme Court</t>
        </is>
      </c>
      <c r="C68" s="66">
        <f>COUNTIF(RegCourt,"Supreme Court")</f>
        <v/>
      </c>
    </row>
    <row r="71">
      <c r="B71" s="62" t="inlineStr">
        <is>
          <t>CASELOAD PER PERSONNEL</t>
        </is>
      </c>
    </row>
    <row r="72">
      <c r="B72" s="63" t="inlineStr">
        <is>
          <t>PERSONNEL</t>
        </is>
      </c>
      <c r="C72" s="64" t="inlineStr">
        <is>
          <t>COUNT</t>
        </is>
      </c>
    </row>
    <row r="73">
      <c r="B73" s="65" t="inlineStr">
        <is>
          <t>Atty. R. Villanueva</t>
        </is>
      </c>
      <c r="C73" s="66">
        <f>COUNTIF(RegPersonnel,"Atty. R. Villanueva")</f>
        <v/>
      </c>
    </row>
    <row r="74">
      <c r="B74" s="65" t="inlineStr">
        <is>
          <t>Atty. M. Fernandez</t>
        </is>
      </c>
      <c r="C74" s="66">
        <f>COUNTIF(RegPersonnel,"Atty. M. Fernandez")</f>
        <v/>
      </c>
    </row>
    <row r="75">
      <c r="B75" s="65" t="inlineStr">
        <is>
          <t>Atty. J. Aquino</t>
        </is>
      </c>
      <c r="C75" s="66">
        <f>COUNTIF(RegPersonnel,"Atty. J. Aquino")</f>
        <v/>
      </c>
    </row>
    <row r="76">
      <c r="B76" s="65" t="inlineStr">
        <is>
          <t>Atty. C. Bautista</t>
        </is>
      </c>
      <c r="C76" s="66">
        <f>COUNTIF(RegPersonnel,"Atty. C. Bautista")</f>
        <v/>
      </c>
    </row>
    <row r="77">
      <c r="B77" s="65" t="inlineStr">
        <is>
          <t>Atty. S. Navarro</t>
        </is>
      </c>
      <c r="C77" s="66">
        <f>COUNTIF(RegPersonnel,"Atty. S. Navarro")</f>
        <v/>
      </c>
    </row>
    <row r="78">
      <c r="B78" s="65" t="inlineStr">
        <is>
          <t>Investigator P. Reyes</t>
        </is>
      </c>
      <c r="C78" s="66">
        <f>COUNTIF(RegPersonnel,"Investigator P. Reyes")</f>
        <v/>
      </c>
    </row>
    <row r="79">
      <c r="B79" s="65" t="inlineStr">
        <is>
          <t>Investigator L. Gomez</t>
        </is>
      </c>
      <c r="C79" s="66">
        <f>COUNTIF(RegPersonnel,"Investigator L. Gomez")</f>
        <v/>
      </c>
    </row>
    <row r="80">
      <c r="B80" s="65" t="inlineStr">
        <is>
          <t>Unassigned</t>
        </is>
      </c>
      <c r="C80" s="66">
        <f>COUNTIF(RegPersonnel,"Unassigned")</f>
        <v/>
      </c>
    </row>
    <row r="83">
      <c r="B83" s="62" t="inlineStr">
        <is>
          <t>CASES BY BARANGAY</t>
        </is>
      </c>
    </row>
    <row r="84">
      <c r="B84" s="63" t="inlineStr">
        <is>
          <t>BARANGAY</t>
        </is>
      </c>
      <c r="C84" s="64" t="inlineStr">
        <is>
          <t>COUNT</t>
        </is>
      </c>
    </row>
    <row r="85">
      <c r="B85" s="65" t="inlineStr">
        <is>
          <t>Barangay 1</t>
        </is>
      </c>
      <c r="C85" s="66">
        <f>COUNTIF(RegBrgy,"Barangay 1")</f>
        <v/>
      </c>
    </row>
    <row r="86">
      <c r="B86" s="65" t="inlineStr">
        <is>
          <t>Barangay 2</t>
        </is>
      </c>
      <c r="C86" s="66">
        <f>COUNTIF(RegBrgy,"Barangay 2")</f>
        <v/>
      </c>
    </row>
    <row r="87">
      <c r="B87" s="65" t="inlineStr">
        <is>
          <t>Barangay 3</t>
        </is>
      </c>
      <c r="C87" s="66">
        <f>COUNTIF(RegBrgy,"Barangay 3")</f>
        <v/>
      </c>
    </row>
    <row r="88">
      <c r="B88" s="65" t="inlineStr">
        <is>
          <t>Barangay 4</t>
        </is>
      </c>
      <c r="C88" s="66">
        <f>COUNTIF(RegBrgy,"Barangay 4")</f>
        <v/>
      </c>
    </row>
    <row r="89">
      <c r="B89" s="65" t="inlineStr">
        <is>
          <t>Barangay 5</t>
        </is>
      </c>
      <c r="C89" s="66">
        <f>COUNTIF(RegBrgy,"Barangay 5")</f>
        <v/>
      </c>
    </row>
    <row r="90">
      <c r="B90" s="65" t="inlineStr">
        <is>
          <t>Barangay 6</t>
        </is>
      </c>
      <c r="C90" s="66">
        <f>COUNTIF(RegBrgy,"Barangay 6")</f>
        <v/>
      </c>
    </row>
    <row r="91">
      <c r="B91" s="65" t="inlineStr">
        <is>
          <t>Barangay 7</t>
        </is>
      </c>
      <c r="C91" s="66">
        <f>COUNTIF(RegBrgy,"Barangay 7")</f>
        <v/>
      </c>
    </row>
    <row r="92">
      <c r="B92" s="65" t="inlineStr">
        <is>
          <t>Barangay 8</t>
        </is>
      </c>
      <c r="C92" s="66">
        <f>COUNTIF(RegBrgy,"Barangay 8")</f>
        <v/>
      </c>
    </row>
    <row r="93">
      <c r="B93" s="65" t="inlineStr">
        <is>
          <t>Barangay 9</t>
        </is>
      </c>
      <c r="C93" s="66">
        <f>COUNTIF(RegBrgy,"Barangay 9")</f>
        <v/>
      </c>
    </row>
    <row r="94">
      <c r="B94" s="65" t="inlineStr">
        <is>
          <t>Barangay 10</t>
        </is>
      </c>
      <c r="C94" s="66">
        <f>COUNTIF(RegBrgy,"Barangay 10")</f>
        <v/>
      </c>
    </row>
    <row r="95">
      <c r="B95" s="65" t="inlineStr">
        <is>
          <t>Poblacion</t>
        </is>
      </c>
      <c r="C95" s="66">
        <f>COUNTIF(RegBrgy,"Poblacion")</f>
        <v/>
      </c>
    </row>
    <row r="96">
      <c r="B96" s="65" t="inlineStr">
        <is>
          <t>Outside Jurisdiction</t>
        </is>
      </c>
      <c r="C96" s="66">
        <f>COUNTIF(RegBrgy,"Outside Jurisdiction")</f>
        <v/>
      </c>
    </row>
    <row r="99">
      <c r="B99" s="62" t="inlineStr">
        <is>
          <t>HEARING AND DOCUMENT TOTALS</t>
        </is>
      </c>
    </row>
    <row r="100">
      <c r="B100" s="65" t="inlineStr">
        <is>
          <t>Hearings logged</t>
        </is>
      </c>
      <c r="C100" s="68">
        <f>COUNTA('Hearing Calendar'!$A$3:$A$302)</f>
        <v/>
      </c>
    </row>
    <row r="101">
      <c r="B101" s="65" t="inlineStr">
        <is>
          <t>Hearings held as scheduled</t>
        </is>
      </c>
      <c r="C101" s="68">
        <f>COUNTIF('Hearing Calendar'!$H$3:$H$302,"Held as Scheduled")</f>
        <v/>
      </c>
    </row>
    <row r="102">
      <c r="B102" s="65" t="inlineStr">
        <is>
          <t>Hearings postponed / reset</t>
        </is>
      </c>
      <c r="C102" s="68">
        <f>COUNTIF('Hearing Calendar'!$H$3:$H$302,"Postponed - Prosecution")+COUNTIF('Hearing Calendar'!$H$3:$H$302,"Postponed - Defense")+COUNTIF('Hearing Calendar'!$H$3:$H$302,"Postponed - Court")+COUNTIF('Hearing Calendar'!$H$3:$H$302,"Reset")</f>
        <v/>
      </c>
    </row>
    <row r="103">
      <c r="B103" s="65" t="inlineStr">
        <is>
          <t>Hearings cancelled</t>
        </is>
      </c>
      <c r="C103" s="68">
        <f>COUNTIF('Hearing Calendar'!$H$3:$H$302,"Cancelled")</f>
        <v/>
      </c>
    </row>
    <row r="104">
      <c r="B104" s="65" t="inlineStr">
        <is>
          <t>Document items marked missing (N)</t>
        </is>
      </c>
      <c r="C104" s="68">
        <f>COUNTIF('Case Register'!Y3:AF602,"N")</f>
        <v/>
      </c>
    </row>
    <row r="105">
      <c r="B105" s="65" t="inlineStr">
        <is>
          <t>Document items on file (Y)</t>
        </is>
      </c>
      <c r="C105" s="68">
        <f>COUNTIF('Case Register'!Y3:AF602,"Y")</f>
        <v/>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tabColor rgb="006B7280"/>
    <outlinePr summaryBelow="1" summaryRight="1"/>
    <pageSetUpPr/>
  </sheetPr>
  <dimension ref="A1:R129"/>
  <sheetViews>
    <sheetView showGridLines="0" zoomScale="90" workbookViewId="0">
      <selection activeCell="A1" sqref="A1"/>
    </sheetView>
  </sheetViews>
  <sheetFormatPr baseColWidth="8" defaultRowHeight="15"/>
  <cols>
    <col width="46" customWidth="1" min="1" max="1"/>
    <col width="34" customWidth="1" min="2" max="2"/>
    <col width="46" customWidth="1" min="3" max="3"/>
    <col width="14" customWidth="1" min="4" max="4"/>
    <col width="3" customWidth="1" min="5" max="5"/>
    <col width="34" customWidth="1" min="6" max="6"/>
    <col width="12" customWidth="1" min="7" max="7"/>
    <col width="26" customWidth="1" min="8" max="8"/>
    <col width="12" customWidth="1" min="9" max="9"/>
    <col width="12" customWidth="1" min="10" max="10"/>
    <col width="20" customWidth="1" min="11" max="11"/>
    <col width="19" customWidth="1" min="12" max="12"/>
    <col width="27" customWidth="1" min="13" max="13"/>
    <col width="26" customWidth="1" min="14" max="14"/>
    <col width="24" customWidth="1" min="15" max="15"/>
    <col width="26" customWidth="1" min="16" max="16"/>
    <col width="24" customWidth="1" min="17" max="17"/>
    <col width="28" customWidth="1" min="18" max="18"/>
  </cols>
  <sheetData>
    <row r="1" ht="30" customHeight="1">
      <c r="A1" s="69" t="inlineStr">
        <is>
          <t>REFERENCE LISTS  |  DATA DICTIONARY</t>
        </is>
      </c>
    </row>
    <row r="2">
      <c r="A2" s="70" t="inlineStr">
        <is>
          <t>Dropdown sources for the entire workbook. Add or rename items here and every dropdown updates automatically. Do not delete a block's header row.</t>
        </is>
      </c>
    </row>
    <row r="4" ht="22" customHeight="1">
      <c r="A4" s="71" t="inlineStr">
        <is>
          <t>OFFENSE MASTER  (edit freely - dropdown + auto-category + legal basis)</t>
        </is>
      </c>
      <c r="F4" s="71" t="inlineStr">
        <is>
          <t>CATEGORIES</t>
        </is>
      </c>
      <c r="H4" s="71" t="inlineStr">
        <is>
          <t>CASE STAGES</t>
        </is>
      </c>
      <c r="J4" s="71" t="inlineStr">
        <is>
          <t>PRIORITY</t>
        </is>
      </c>
      <c r="K4" s="71" t="inlineStr">
        <is>
          <t>CASE STATUS</t>
        </is>
      </c>
      <c r="L4" s="71" t="inlineStr">
        <is>
          <t>OUTCOME</t>
        </is>
      </c>
      <c r="M4" s="71" t="inlineStr">
        <is>
          <t>COURTS / FORUMS</t>
        </is>
      </c>
      <c r="N4" s="71" t="inlineStr">
        <is>
          <t>CUSTODY / BAIL</t>
        </is>
      </c>
      <c r="O4" s="71" t="inlineStr">
        <is>
          <t>PERSONNEL</t>
        </is>
      </c>
      <c r="P4" s="71" t="inlineStr">
        <is>
          <t>BARANGAYS (rename to actual)</t>
        </is>
      </c>
      <c r="Q4" s="71" t="inlineStr">
        <is>
          <t>HEARING TYPE</t>
        </is>
      </c>
      <c r="R4" s="71" t="inlineStr">
        <is>
          <t>HEARING RESULT</t>
        </is>
      </c>
    </row>
    <row r="5">
      <c r="A5" s="72" t="inlineStr">
        <is>
          <t>OFFENSE / VIOLATION</t>
        </is>
      </c>
      <c r="B5" s="72" t="inlineStr">
        <is>
          <t>CATEGORY (auto)</t>
        </is>
      </c>
      <c r="C5" s="72" t="inlineStr">
        <is>
          <t>LEGAL BASIS (auto)</t>
        </is>
      </c>
      <c r="D5" s="72" t="inlineStr">
        <is>
          <t>USED IN DROPDOWN</t>
        </is>
      </c>
      <c r="F5" s="72" t="inlineStr">
        <is>
          <t>OFFENSE CATEGORY</t>
        </is>
      </c>
      <c r="H5" s="72" t="inlineStr">
        <is>
          <t>CASE STAGE</t>
        </is>
      </c>
      <c r="I5" s="72" t="inlineStr">
        <is>
          <t>PROGRESS %</t>
        </is>
      </c>
      <c r="J5" s="72" t="inlineStr">
        <is>
          <t>PRIORITY</t>
        </is>
      </c>
      <c r="K5" s="72" t="inlineStr">
        <is>
          <t>CASE STATUS</t>
        </is>
      </c>
      <c r="L5" s="72" t="inlineStr">
        <is>
          <t>OUTCOME</t>
        </is>
      </c>
      <c r="M5" s="72" t="inlineStr">
        <is>
          <t>COURT / FORUM</t>
        </is>
      </c>
      <c r="N5" s="72" t="inlineStr">
        <is>
          <t>CUSTODY STATUS</t>
        </is>
      </c>
      <c r="O5" s="72" t="inlineStr">
        <is>
          <t>PROSECUTOR / INVESTIGATOR</t>
        </is>
      </c>
      <c r="P5" s="72" t="inlineStr">
        <is>
          <t>BARANGAY / LOCATION</t>
        </is>
      </c>
      <c r="Q5" s="72" t="inlineStr">
        <is>
          <t>HEARING TYPE</t>
        </is>
      </c>
      <c r="R5" s="72" t="inlineStr">
        <is>
          <t>HEARING RESULT</t>
        </is>
      </c>
    </row>
    <row r="6">
      <c r="A6" s="73" t="inlineStr">
        <is>
          <t>Murder</t>
        </is>
      </c>
      <c r="B6" s="74" t="inlineStr">
        <is>
          <t>Crimes Against Persons</t>
        </is>
      </c>
      <c r="C6" s="74" t="inlineStr">
        <is>
          <t>RPC Art. 248</t>
        </is>
      </c>
      <c r="D6" s="74" t="inlineStr">
        <is>
          <t>Yes</t>
        </is>
      </c>
      <c r="F6" s="73" t="inlineStr">
        <is>
          <t>Crimes Against Persons</t>
        </is>
      </c>
      <c r="H6" s="73" t="inlineStr">
        <is>
          <t>For Filing</t>
        </is>
      </c>
      <c r="I6" s="75" t="n">
        <v>5</v>
      </c>
      <c r="J6" s="73" t="inlineStr">
        <is>
          <t>High</t>
        </is>
      </c>
      <c r="K6" s="73" t="inlineStr">
        <is>
          <t>Active</t>
        </is>
      </c>
      <c r="L6" s="73" t="inlineStr">
        <is>
          <t>Pending</t>
        </is>
      </c>
      <c r="M6" s="73" t="inlineStr">
        <is>
          <t>Katarungang Pambarangay</t>
        </is>
      </c>
      <c r="N6" s="73" t="inlineStr">
        <is>
          <t>In Custody - No Bail</t>
        </is>
      </c>
      <c r="O6" s="73" t="inlineStr">
        <is>
          <t>Atty. R. Villanueva</t>
        </is>
      </c>
      <c r="P6" s="73" t="inlineStr">
        <is>
          <t>Barangay 1</t>
        </is>
      </c>
      <c r="Q6" s="73" t="inlineStr">
        <is>
          <t>Arraignment</t>
        </is>
      </c>
      <c r="R6" s="73" t="inlineStr">
        <is>
          <t>Held as Scheduled</t>
        </is>
      </c>
    </row>
    <row r="7">
      <c r="A7" s="73" t="inlineStr">
        <is>
          <t>Frustrated Murder</t>
        </is>
      </c>
      <c r="B7" s="74" t="inlineStr">
        <is>
          <t>Crimes Against Persons</t>
        </is>
      </c>
      <c r="C7" s="74" t="inlineStr">
        <is>
          <t>RPC Art. 248 in rel. to Art. 6</t>
        </is>
      </c>
      <c r="D7" s="74" t="inlineStr">
        <is>
          <t>Yes</t>
        </is>
      </c>
      <c r="F7" s="73" t="inlineStr">
        <is>
          <t>Crimes Against Property</t>
        </is>
      </c>
      <c r="H7" s="73" t="inlineStr">
        <is>
          <t>Preliminary Investigation</t>
        </is>
      </c>
      <c r="I7" s="75" t="n">
        <v>20</v>
      </c>
      <c r="J7" s="73" t="inlineStr">
        <is>
          <t>Medium</t>
        </is>
      </c>
      <c r="K7" s="73" t="inlineStr">
        <is>
          <t>For Action</t>
        </is>
      </c>
      <c r="L7" s="73" t="inlineStr">
        <is>
          <t>Convicted</t>
        </is>
      </c>
      <c r="M7" s="73" t="inlineStr">
        <is>
          <t>Office of the Prosecutor</t>
        </is>
      </c>
      <c r="N7" s="73" t="inlineStr">
        <is>
          <t>In Custody - With Bail</t>
        </is>
      </c>
      <c r="O7" s="73" t="inlineStr">
        <is>
          <t>Atty. M. Fernandez</t>
        </is>
      </c>
      <c r="P7" s="73" t="inlineStr">
        <is>
          <t>Barangay 2</t>
        </is>
      </c>
      <c r="Q7" s="73" t="inlineStr">
        <is>
          <t>Pre-Trial</t>
        </is>
      </c>
      <c r="R7" s="73" t="inlineStr">
        <is>
          <t>Postponed - Prosecution</t>
        </is>
      </c>
    </row>
    <row r="8">
      <c r="A8" s="73" t="inlineStr">
        <is>
          <t>Attempted Murder</t>
        </is>
      </c>
      <c r="B8" s="74" t="inlineStr">
        <is>
          <t>Crimes Against Persons</t>
        </is>
      </c>
      <c r="C8" s="74" t="inlineStr">
        <is>
          <t>RPC Art. 248 in rel. to Art. 6</t>
        </is>
      </c>
      <c r="D8" s="74" t="inlineStr">
        <is>
          <t>Yes</t>
        </is>
      </c>
      <c r="F8" s="73" t="inlineStr">
        <is>
          <t>Crimes Against Chastity</t>
        </is>
      </c>
      <c r="H8" s="73" t="inlineStr">
        <is>
          <t>Filed in Court</t>
        </is>
      </c>
      <c r="I8" s="75" t="n">
        <v>35</v>
      </c>
      <c r="J8" s="73" t="inlineStr">
        <is>
          <t>Low</t>
        </is>
      </c>
      <c r="K8" s="73" t="inlineStr">
        <is>
          <t>Deferred</t>
        </is>
      </c>
      <c r="L8" s="73" t="inlineStr">
        <is>
          <t>Acquitted</t>
        </is>
      </c>
      <c r="M8" s="73" t="inlineStr">
        <is>
          <t>Regional Trial Court</t>
        </is>
      </c>
      <c r="N8" s="73" t="inlineStr">
        <is>
          <t>Released on Bail</t>
        </is>
      </c>
      <c r="O8" s="73" t="inlineStr">
        <is>
          <t>Atty. J. Aquino</t>
        </is>
      </c>
      <c r="P8" s="73" t="inlineStr">
        <is>
          <t>Barangay 3</t>
        </is>
      </c>
      <c r="Q8" s="73" t="inlineStr">
        <is>
          <t>Trial</t>
        </is>
      </c>
      <c r="R8" s="73" t="inlineStr">
        <is>
          <t>Postponed - Defense</t>
        </is>
      </c>
    </row>
    <row r="9">
      <c r="A9" s="73" t="inlineStr">
        <is>
          <t>Homicide</t>
        </is>
      </c>
      <c r="B9" s="74" t="inlineStr">
        <is>
          <t>Crimes Against Persons</t>
        </is>
      </c>
      <c r="C9" s="74" t="inlineStr">
        <is>
          <t>RPC Art. 249</t>
        </is>
      </c>
      <c r="D9" s="74" t="inlineStr">
        <is>
          <t>Yes</t>
        </is>
      </c>
      <c r="F9" s="73" t="inlineStr">
        <is>
          <t>Crimes Against Public Order</t>
        </is>
      </c>
      <c r="H9" s="73" t="inlineStr">
        <is>
          <t>Arraignment</t>
        </is>
      </c>
      <c r="I9" s="75" t="n">
        <v>45</v>
      </c>
      <c r="K9" s="73" t="inlineStr">
        <is>
          <t>Dormant</t>
        </is>
      </c>
      <c r="L9" s="73" t="inlineStr">
        <is>
          <t>Dismissed</t>
        </is>
      </c>
      <c r="M9" s="73" t="inlineStr">
        <is>
          <t>Metropolitan Trial Court</t>
        </is>
      </c>
      <c r="N9" s="73" t="inlineStr">
        <is>
          <t>Released on Recognizance</t>
        </is>
      </c>
      <c r="O9" s="73" t="inlineStr">
        <is>
          <t>Atty. C. Bautista</t>
        </is>
      </c>
      <c r="P9" s="73" t="inlineStr">
        <is>
          <t>Barangay 4</t>
        </is>
      </c>
      <c r="Q9" s="73" t="inlineStr">
        <is>
          <t>Promulgation</t>
        </is>
      </c>
      <c r="R9" s="73" t="inlineStr">
        <is>
          <t>Postponed - Court</t>
        </is>
      </c>
    </row>
    <row r="10">
      <c r="A10" s="73" t="inlineStr">
        <is>
          <t>Frustrated Homicide</t>
        </is>
      </c>
      <c r="B10" s="74" t="inlineStr">
        <is>
          <t>Crimes Against Persons</t>
        </is>
      </c>
      <c r="C10" s="74" t="inlineStr">
        <is>
          <t>RPC Art. 249 in rel. to Art. 6</t>
        </is>
      </c>
      <c r="D10" s="74" t="inlineStr">
        <is>
          <t>Yes</t>
        </is>
      </c>
      <c r="F10" s="73" t="inlineStr">
        <is>
          <t>Crimes Against Public Interest</t>
        </is>
      </c>
      <c r="H10" s="73" t="inlineStr">
        <is>
          <t>Pre-Trial</t>
        </is>
      </c>
      <c r="I10" s="75" t="n">
        <v>60</v>
      </c>
      <c r="K10" s="73" t="inlineStr">
        <is>
          <t>Closed</t>
        </is>
      </c>
      <c r="L10" s="73" t="inlineStr">
        <is>
          <t>Amicably Settled</t>
        </is>
      </c>
      <c r="M10" s="73" t="inlineStr">
        <is>
          <t>Municipal Trial Court</t>
        </is>
      </c>
      <c r="N10" s="73" t="inlineStr">
        <is>
          <t>At Large</t>
        </is>
      </c>
      <c r="O10" s="73" t="inlineStr">
        <is>
          <t>Atty. S. Navarro</t>
        </is>
      </c>
      <c r="P10" s="73" t="inlineStr">
        <is>
          <t>Barangay 5</t>
        </is>
      </c>
      <c r="Q10" s="73" t="inlineStr">
        <is>
          <t>Motion Hearing</t>
        </is>
      </c>
      <c r="R10" s="73" t="inlineStr">
        <is>
          <t>Reset</t>
        </is>
      </c>
    </row>
    <row r="11">
      <c r="A11" s="73" t="inlineStr">
        <is>
          <t>Attempted Homicide</t>
        </is>
      </c>
      <c r="B11" s="74" t="inlineStr">
        <is>
          <t>Crimes Against Persons</t>
        </is>
      </c>
      <c r="C11" s="74" t="inlineStr">
        <is>
          <t>RPC Art. 249 in rel. to Art. 6</t>
        </is>
      </c>
      <c r="D11" s="74" t="inlineStr">
        <is>
          <t>Yes</t>
        </is>
      </c>
      <c r="F11" s="73" t="inlineStr">
        <is>
          <t>Special Laws - Dangerous Drugs</t>
        </is>
      </c>
      <c r="H11" s="73" t="inlineStr">
        <is>
          <t>Trial</t>
        </is>
      </c>
      <c r="I11" s="75" t="n">
        <v>75</v>
      </c>
      <c r="K11" s="73" t="inlineStr">
        <is>
          <t>Endorsed / Transferred</t>
        </is>
      </c>
      <c r="L11" s="73" t="inlineStr">
        <is>
          <t>Archived / Referred</t>
        </is>
      </c>
      <c r="M11" s="73" t="inlineStr">
        <is>
          <t>Municipal Circuit Trial Court</t>
        </is>
      </c>
      <c r="N11" s="73" t="inlineStr">
        <is>
          <t>N/A (Not in Custody)</t>
        </is>
      </c>
      <c r="O11" s="73" t="inlineStr">
        <is>
          <t>Investigator P. Reyes</t>
        </is>
      </c>
      <c r="P11" s="73" t="inlineStr">
        <is>
          <t>Barangay 6</t>
        </is>
      </c>
      <c r="Q11" s="73" t="inlineStr">
        <is>
          <t>Inquest</t>
        </is>
      </c>
      <c r="R11" s="73" t="inlineStr">
        <is>
          <t>Cancelled</t>
        </is>
      </c>
    </row>
    <row r="12">
      <c r="A12" s="73" t="inlineStr">
        <is>
          <t>Parricide</t>
        </is>
      </c>
      <c r="B12" s="74" t="inlineStr">
        <is>
          <t>Crimes Against Persons</t>
        </is>
      </c>
      <c r="C12" s="74" t="inlineStr">
        <is>
          <t>RPC Art. 246</t>
        </is>
      </c>
      <c r="D12" s="74" t="inlineStr">
        <is>
          <t>Yes</t>
        </is>
      </c>
      <c r="F12" s="73" t="inlineStr">
        <is>
          <t>Special Laws - Women and Children</t>
        </is>
      </c>
      <c r="H12" s="73" t="inlineStr">
        <is>
          <t>Submitted for Decision</t>
        </is>
      </c>
      <c r="I12" s="75" t="n">
        <v>88</v>
      </c>
      <c r="L12" s="73" t="inlineStr">
        <is>
          <t>N/A</t>
        </is>
      </c>
      <c r="M12" s="73" t="inlineStr">
        <is>
          <t>Sandiganbayan</t>
        </is>
      </c>
      <c r="O12" s="73" t="inlineStr">
        <is>
          <t>Investigator L. Gomez</t>
        </is>
      </c>
      <c r="P12" s="73" t="inlineStr">
        <is>
          <t>Barangay 7</t>
        </is>
      </c>
      <c r="Q12" s="73" t="inlineStr">
        <is>
          <t>Preliminary Investigation</t>
        </is>
      </c>
      <c r="R12" s="73" t="inlineStr">
        <is>
          <t>Submitted for Resolution</t>
        </is>
      </c>
    </row>
    <row r="13">
      <c r="A13" s="73" t="inlineStr">
        <is>
          <t>Infanticide</t>
        </is>
      </c>
      <c r="B13" s="74" t="inlineStr">
        <is>
          <t>Crimes Against Persons</t>
        </is>
      </c>
      <c r="C13" s="74" t="inlineStr">
        <is>
          <t>RPC Art. 255</t>
        </is>
      </c>
      <c r="D13" s="74" t="inlineStr">
        <is>
          <t>Yes</t>
        </is>
      </c>
      <c r="F13" s="73" t="inlineStr">
        <is>
          <t>Special Laws - Environment and Natural Resources</t>
        </is>
      </c>
      <c r="H13" s="73" t="inlineStr">
        <is>
          <t>Judgment Rendered</t>
        </is>
      </c>
      <c r="I13" s="75" t="n">
        <v>97</v>
      </c>
      <c r="M13" s="73" t="inlineStr">
        <is>
          <t>Court of Appeals</t>
        </is>
      </c>
      <c r="O13" s="73" t="inlineStr">
        <is>
          <t>Unassigned</t>
        </is>
      </c>
      <c r="P13" s="73" t="inlineStr">
        <is>
          <t>Barangay 8</t>
        </is>
      </c>
      <c r="Q13" s="73" t="inlineStr">
        <is>
          <t>Mediation / Conciliation</t>
        </is>
      </c>
    </row>
    <row r="14">
      <c r="A14" s="73" t="inlineStr">
        <is>
          <t>Serious Physical Injuries</t>
        </is>
      </c>
      <c r="B14" s="74" t="inlineStr">
        <is>
          <t>Crimes Against Persons</t>
        </is>
      </c>
      <c r="C14" s="74" t="inlineStr">
        <is>
          <t>RPC Art. 263</t>
        </is>
      </c>
      <c r="D14" s="74" t="inlineStr">
        <is>
          <t>Yes</t>
        </is>
      </c>
      <c r="F14" s="73" t="inlineStr">
        <is>
          <t>Special Laws - Economic and Cyber</t>
        </is>
      </c>
      <c r="H14" s="73" t="inlineStr">
        <is>
          <t>Appeal / Review</t>
        </is>
      </c>
      <c r="I14" s="75" t="n">
        <v>97</v>
      </c>
      <c r="M14" s="73" t="inlineStr">
        <is>
          <t>Supreme Court</t>
        </is>
      </c>
      <c r="P14" s="73" t="inlineStr">
        <is>
          <t>Barangay 9</t>
        </is>
      </c>
    </row>
    <row r="15">
      <c r="A15" s="73" t="inlineStr">
        <is>
          <t>Less Serious Physical Injuries</t>
        </is>
      </c>
      <c r="B15" s="74" t="inlineStr">
        <is>
          <t>Crimes Against Persons</t>
        </is>
      </c>
      <c r="C15" s="74" t="inlineStr">
        <is>
          <t>RPC Art. 265</t>
        </is>
      </c>
      <c r="D15" s="74" t="inlineStr">
        <is>
          <t>Yes</t>
        </is>
      </c>
      <c r="F15" s="73" t="inlineStr">
        <is>
          <t>Local Ordinances and Other Special Laws</t>
        </is>
      </c>
      <c r="H15" s="73" t="inlineStr">
        <is>
          <t>Archived</t>
        </is>
      </c>
      <c r="I15" s="75" t="n">
        <v>100</v>
      </c>
      <c r="P15" s="73" t="inlineStr">
        <is>
          <t>Barangay 10</t>
        </is>
      </c>
    </row>
    <row r="16">
      <c r="A16" s="73" t="inlineStr">
        <is>
          <t>Slight Physical Injuries</t>
        </is>
      </c>
      <c r="B16" s="74" t="inlineStr">
        <is>
          <t>Crimes Against Persons</t>
        </is>
      </c>
      <c r="C16" s="74" t="inlineStr">
        <is>
          <t>RPC Art. 266</t>
        </is>
      </c>
      <c r="D16" s="74" t="inlineStr">
        <is>
          <t>Yes</t>
        </is>
      </c>
      <c r="P16" s="73" t="inlineStr">
        <is>
          <t>Poblacion</t>
        </is>
      </c>
    </row>
    <row r="17">
      <c r="A17" s="73" t="inlineStr">
        <is>
          <t>Grave Threats</t>
        </is>
      </c>
      <c r="B17" s="74" t="inlineStr">
        <is>
          <t>Crimes Against Persons</t>
        </is>
      </c>
      <c r="C17" s="74" t="inlineStr">
        <is>
          <t>RPC Art. 282</t>
        </is>
      </c>
      <c r="D17" s="74" t="inlineStr">
        <is>
          <t>Yes</t>
        </is>
      </c>
      <c r="P17" s="73" t="inlineStr">
        <is>
          <t>Outside Jurisdiction</t>
        </is>
      </c>
    </row>
    <row r="18">
      <c r="A18" s="73" t="inlineStr">
        <is>
          <t>Grave Coercion</t>
        </is>
      </c>
      <c r="B18" s="74" t="inlineStr">
        <is>
          <t>Crimes Against Persons</t>
        </is>
      </c>
      <c r="C18" s="74" t="inlineStr">
        <is>
          <t>RPC Art. 286</t>
        </is>
      </c>
      <c r="D18" s="74" t="inlineStr">
        <is>
          <t>Yes</t>
        </is>
      </c>
    </row>
    <row r="19">
      <c r="A19" s="73" t="inlineStr">
        <is>
          <t>Kidnapping and Serious Illegal Detention</t>
        </is>
      </c>
      <c r="B19" s="74" t="inlineStr">
        <is>
          <t>Crimes Against Persons</t>
        </is>
      </c>
      <c r="C19" s="74" t="inlineStr">
        <is>
          <t>RPC Art. 267</t>
        </is>
      </c>
      <c r="D19" s="74" t="inlineStr">
        <is>
          <t>Yes</t>
        </is>
      </c>
    </row>
    <row r="20">
      <c r="A20" s="73" t="inlineStr">
        <is>
          <t>Slight Illegal Detention</t>
        </is>
      </c>
      <c r="B20" s="74" t="inlineStr">
        <is>
          <t>Crimes Against Persons</t>
        </is>
      </c>
      <c r="C20" s="74" t="inlineStr">
        <is>
          <t>RPC Art. 268</t>
        </is>
      </c>
      <c r="D20" s="74" t="inlineStr">
        <is>
          <t>Yes</t>
        </is>
      </c>
    </row>
    <row r="21">
      <c r="A21" s="73" t="inlineStr">
        <is>
          <t>Abduction</t>
        </is>
      </c>
      <c r="B21" s="74" t="inlineStr">
        <is>
          <t>Crimes Against Persons</t>
        </is>
      </c>
      <c r="C21" s="74" t="inlineStr">
        <is>
          <t>RPC Art. 342</t>
        </is>
      </c>
      <c r="D21" s="74" t="inlineStr">
        <is>
          <t>Yes</t>
        </is>
      </c>
    </row>
    <row r="22">
      <c r="A22" s="73" t="inlineStr">
        <is>
          <t>Reckless Imprudence Resulting in Homicide</t>
        </is>
      </c>
      <c r="B22" s="74" t="inlineStr">
        <is>
          <t>Crimes Against Persons</t>
        </is>
      </c>
      <c r="C22" s="74" t="inlineStr">
        <is>
          <t>RPC Art. 365</t>
        </is>
      </c>
      <c r="D22" s="74" t="inlineStr">
        <is>
          <t>Yes</t>
        </is>
      </c>
    </row>
    <row r="23">
      <c r="A23" s="73" t="inlineStr">
        <is>
          <t>Reckless Imprudence Resulting in Physical Injuries</t>
        </is>
      </c>
      <c r="B23" s="74" t="inlineStr">
        <is>
          <t>Crimes Against Persons</t>
        </is>
      </c>
      <c r="C23" s="74" t="inlineStr">
        <is>
          <t>RPC Art. 365</t>
        </is>
      </c>
      <c r="D23" s="74" t="inlineStr">
        <is>
          <t>Yes</t>
        </is>
      </c>
    </row>
    <row r="24">
      <c r="A24" s="73" t="inlineStr">
        <is>
          <t>Robbery</t>
        </is>
      </c>
      <c r="B24" s="74" t="inlineStr">
        <is>
          <t>Crimes Against Property</t>
        </is>
      </c>
      <c r="C24" s="74" t="inlineStr">
        <is>
          <t>RPC Art. 294</t>
        </is>
      </c>
      <c r="D24" s="74" t="inlineStr">
        <is>
          <t>Yes</t>
        </is>
      </c>
    </row>
    <row r="25">
      <c r="A25" s="73" t="inlineStr">
        <is>
          <t>Robbery with Homicide</t>
        </is>
      </c>
      <c r="B25" s="74" t="inlineStr">
        <is>
          <t>Crimes Against Property</t>
        </is>
      </c>
      <c r="C25" s="74" t="inlineStr">
        <is>
          <t>RPC Art. 294 (1)</t>
        </is>
      </c>
      <c r="D25" s="74" t="inlineStr">
        <is>
          <t>Yes</t>
        </is>
      </c>
    </row>
    <row r="26">
      <c r="A26" s="73" t="inlineStr">
        <is>
          <t>Theft</t>
        </is>
      </c>
      <c r="B26" s="74" t="inlineStr">
        <is>
          <t>Crimes Against Property</t>
        </is>
      </c>
      <c r="C26" s="74" t="inlineStr">
        <is>
          <t>RPC Art. 308</t>
        </is>
      </c>
      <c r="D26" s="74" t="inlineStr">
        <is>
          <t>Yes</t>
        </is>
      </c>
    </row>
    <row r="27">
      <c r="A27" s="73" t="inlineStr">
        <is>
          <t>Qualified Theft</t>
        </is>
      </c>
      <c r="B27" s="74" t="inlineStr">
        <is>
          <t>Crimes Against Property</t>
        </is>
      </c>
      <c r="C27" s="74" t="inlineStr">
        <is>
          <t>RPC Art. 310</t>
        </is>
      </c>
      <c r="D27" s="74" t="inlineStr">
        <is>
          <t>Yes</t>
        </is>
      </c>
    </row>
    <row r="28">
      <c r="A28" s="73" t="inlineStr">
        <is>
          <t>Estafa</t>
        </is>
      </c>
      <c r="B28" s="74" t="inlineStr">
        <is>
          <t>Crimes Against Property</t>
        </is>
      </c>
      <c r="C28" s="74" t="inlineStr">
        <is>
          <t>RPC Art. 315</t>
        </is>
      </c>
      <c r="D28" s="74" t="inlineStr">
        <is>
          <t>Yes</t>
        </is>
      </c>
    </row>
    <row r="29">
      <c r="A29" s="73" t="inlineStr">
        <is>
          <t>Estafa thru Falsification</t>
        </is>
      </c>
      <c r="B29" s="74" t="inlineStr">
        <is>
          <t>Crimes Against Property</t>
        </is>
      </c>
      <c r="C29" s="74" t="inlineStr">
        <is>
          <t>RPC Art. 315 in rel. to Art. 171</t>
        </is>
      </c>
      <c r="D29" s="74" t="inlineStr">
        <is>
          <t>Yes</t>
        </is>
      </c>
    </row>
    <row r="30">
      <c r="A30" s="73" t="inlineStr">
        <is>
          <t>Malicious Mischief</t>
        </is>
      </c>
      <c r="B30" s="74" t="inlineStr">
        <is>
          <t>Crimes Against Property</t>
        </is>
      </c>
      <c r="C30" s="74" t="inlineStr">
        <is>
          <t>RPC Art. 327</t>
        </is>
      </c>
      <c r="D30" s="74" t="inlineStr">
        <is>
          <t>Yes</t>
        </is>
      </c>
    </row>
    <row r="31">
      <c r="A31" s="73" t="inlineStr">
        <is>
          <t>Arson</t>
        </is>
      </c>
      <c r="B31" s="74" t="inlineStr">
        <is>
          <t>Crimes Against Property</t>
        </is>
      </c>
      <c r="C31" s="74" t="inlineStr">
        <is>
          <t>RPC Art. 320</t>
        </is>
      </c>
      <c r="D31" s="74" t="inlineStr">
        <is>
          <t>Yes</t>
        </is>
      </c>
    </row>
    <row r="32">
      <c r="A32" s="73" t="inlineStr">
        <is>
          <t>Destructive Arson</t>
        </is>
      </c>
      <c r="B32" s="74" t="inlineStr">
        <is>
          <t>Crimes Against Property</t>
        </is>
      </c>
      <c r="C32" s="74" t="inlineStr">
        <is>
          <t>RPC Art. 320</t>
        </is>
      </c>
      <c r="D32" s="74" t="inlineStr">
        <is>
          <t>Yes</t>
        </is>
      </c>
    </row>
    <row r="33">
      <c r="A33" s="73" t="inlineStr">
        <is>
          <t>Trespass to Dwelling</t>
        </is>
      </c>
      <c r="B33" s="74" t="inlineStr">
        <is>
          <t>Crimes Against Property</t>
        </is>
      </c>
      <c r="C33" s="74" t="inlineStr">
        <is>
          <t>RPC Art. 280</t>
        </is>
      </c>
      <c r="D33" s="74" t="inlineStr">
        <is>
          <t>Yes</t>
        </is>
      </c>
    </row>
    <row r="34">
      <c r="A34" s="73" t="inlineStr">
        <is>
          <t>Usurpation of Real Property</t>
        </is>
      </c>
      <c r="B34" s="74" t="inlineStr">
        <is>
          <t>Crimes Against Property</t>
        </is>
      </c>
      <c r="C34" s="74" t="inlineStr">
        <is>
          <t>RPC Art. 312</t>
        </is>
      </c>
      <c r="D34" s="74" t="inlineStr">
        <is>
          <t>Yes</t>
        </is>
      </c>
    </row>
    <row r="35">
      <c r="A35" s="73" t="inlineStr">
        <is>
          <t>Anti-Cattle Rustling</t>
        </is>
      </c>
      <c r="B35" s="74" t="inlineStr">
        <is>
          <t>Crimes Against Property</t>
        </is>
      </c>
      <c r="C35" s="74" t="inlineStr">
        <is>
          <t>PD 533</t>
        </is>
      </c>
      <c r="D35" s="74" t="inlineStr">
        <is>
          <t>Yes</t>
        </is>
      </c>
    </row>
    <row r="36">
      <c r="A36" s="73" t="inlineStr">
        <is>
          <t>Anti-Fencing</t>
        </is>
      </c>
      <c r="B36" s="74" t="inlineStr">
        <is>
          <t>Crimes Against Property</t>
        </is>
      </c>
      <c r="C36" s="74" t="inlineStr">
        <is>
          <t>PD 1612</t>
        </is>
      </c>
      <c r="D36" s="74" t="inlineStr">
        <is>
          <t>Yes</t>
        </is>
      </c>
    </row>
    <row r="37">
      <c r="A37" s="73" t="inlineStr">
        <is>
          <t>Rape</t>
        </is>
      </c>
      <c r="B37" s="74" t="inlineStr">
        <is>
          <t>Crimes Against Chastity</t>
        </is>
      </c>
      <c r="C37" s="74" t="inlineStr">
        <is>
          <t>RPC Art. 266-A</t>
        </is>
      </c>
      <c r="D37" s="74" t="inlineStr">
        <is>
          <t>Yes</t>
        </is>
      </c>
    </row>
    <row r="38">
      <c r="A38" s="73" t="inlineStr">
        <is>
          <t>Attempted Rape</t>
        </is>
      </c>
      <c r="B38" s="74" t="inlineStr">
        <is>
          <t>Crimes Against Chastity</t>
        </is>
      </c>
      <c r="C38" s="74" t="inlineStr">
        <is>
          <t>RPC Art. 266-A in rel. to Art. 6</t>
        </is>
      </c>
      <c r="D38" s="74" t="inlineStr">
        <is>
          <t>Yes</t>
        </is>
      </c>
    </row>
    <row r="39">
      <c r="A39" s="73" t="inlineStr">
        <is>
          <t>Acts of Lasciviousness</t>
        </is>
      </c>
      <c r="B39" s="74" t="inlineStr">
        <is>
          <t>Crimes Against Chastity</t>
        </is>
      </c>
      <c r="C39" s="74" t="inlineStr">
        <is>
          <t>RPC Art. 336</t>
        </is>
      </c>
      <c r="D39" s="74" t="inlineStr">
        <is>
          <t>Yes</t>
        </is>
      </c>
    </row>
    <row r="40">
      <c r="A40" s="73" t="inlineStr">
        <is>
          <t>Sexual Harassment</t>
        </is>
      </c>
      <c r="B40" s="74" t="inlineStr">
        <is>
          <t>Crimes Against Chastity</t>
        </is>
      </c>
      <c r="C40" s="74" t="inlineStr">
        <is>
          <t>RA 7877</t>
        </is>
      </c>
      <c r="D40" s="74" t="inlineStr">
        <is>
          <t>Yes</t>
        </is>
      </c>
    </row>
    <row r="41">
      <c r="A41" s="73" t="inlineStr">
        <is>
          <t>Safe Spaces Act (GBSH)</t>
        </is>
      </c>
      <c r="B41" s="74" t="inlineStr">
        <is>
          <t>Crimes Against Chastity</t>
        </is>
      </c>
      <c r="C41" s="74" t="inlineStr">
        <is>
          <t>RA 11313</t>
        </is>
      </c>
      <c r="D41" s="74" t="inlineStr">
        <is>
          <t>Yes</t>
        </is>
      </c>
    </row>
    <row r="42">
      <c r="A42" s="73" t="inlineStr">
        <is>
          <t>Anti-Photo and Video Voyeurism</t>
        </is>
      </c>
      <c r="B42" s="74" t="inlineStr">
        <is>
          <t>Crimes Against Chastity</t>
        </is>
      </c>
      <c r="C42" s="74" t="inlineStr">
        <is>
          <t>RA 9995</t>
        </is>
      </c>
      <c r="D42" s="74" t="inlineStr">
        <is>
          <t>Yes</t>
        </is>
      </c>
    </row>
    <row r="43">
      <c r="A43" s="73" t="inlineStr">
        <is>
          <t>Concubinage</t>
        </is>
      </c>
      <c r="B43" s="74" t="inlineStr">
        <is>
          <t>Crimes Against Chastity</t>
        </is>
      </c>
      <c r="C43" s="74" t="inlineStr">
        <is>
          <t>RPC Art. 334</t>
        </is>
      </c>
      <c r="D43" s="74" t="inlineStr">
        <is>
          <t>Yes</t>
        </is>
      </c>
    </row>
    <row r="44">
      <c r="A44" s="73" t="inlineStr">
        <is>
          <t>Adultery</t>
        </is>
      </c>
      <c r="B44" s="74" t="inlineStr">
        <is>
          <t>Crimes Against Chastity</t>
        </is>
      </c>
      <c r="C44" s="74" t="inlineStr">
        <is>
          <t>RPC Art. 333</t>
        </is>
      </c>
      <c r="D44" s="74" t="inlineStr">
        <is>
          <t>Yes</t>
        </is>
      </c>
    </row>
    <row r="45">
      <c r="A45" s="73" t="inlineStr">
        <is>
          <t>Direct Assault</t>
        </is>
      </c>
      <c r="B45" s="74" t="inlineStr">
        <is>
          <t>Crimes Against Public Order</t>
        </is>
      </c>
      <c r="C45" s="74" t="inlineStr">
        <is>
          <t>RPC Art. 148</t>
        </is>
      </c>
      <c r="D45" s="74" t="inlineStr">
        <is>
          <t>Yes</t>
        </is>
      </c>
    </row>
    <row r="46">
      <c r="A46" s="73" t="inlineStr">
        <is>
          <t>Indirect Assault</t>
        </is>
      </c>
      <c r="B46" s="74" t="inlineStr">
        <is>
          <t>Crimes Against Public Order</t>
        </is>
      </c>
      <c r="C46" s="74" t="inlineStr">
        <is>
          <t>RPC Art. 149</t>
        </is>
      </c>
      <c r="D46" s="74" t="inlineStr">
        <is>
          <t>Yes</t>
        </is>
      </c>
    </row>
    <row r="47">
      <c r="A47" s="73" t="inlineStr">
        <is>
          <t>Resistance and Disobedience</t>
        </is>
      </c>
      <c r="B47" s="74" t="inlineStr">
        <is>
          <t>Crimes Against Public Order</t>
        </is>
      </c>
      <c r="C47" s="74" t="inlineStr">
        <is>
          <t>RPC Art. 151</t>
        </is>
      </c>
      <c r="D47" s="74" t="inlineStr">
        <is>
          <t>Yes</t>
        </is>
      </c>
    </row>
    <row r="48">
      <c r="A48" s="73" t="inlineStr">
        <is>
          <t>Alarm and Scandal</t>
        </is>
      </c>
      <c r="B48" s="74" t="inlineStr">
        <is>
          <t>Crimes Against Public Order</t>
        </is>
      </c>
      <c r="C48" s="74" t="inlineStr">
        <is>
          <t>RPC Art. 155</t>
        </is>
      </c>
      <c r="D48" s="74" t="inlineStr">
        <is>
          <t>Yes</t>
        </is>
      </c>
    </row>
    <row r="49">
      <c r="A49" s="73" t="inlineStr">
        <is>
          <t>Tumults and Other Disturbances</t>
        </is>
      </c>
      <c r="B49" s="74" t="inlineStr">
        <is>
          <t>Crimes Against Public Order</t>
        </is>
      </c>
      <c r="C49" s="74" t="inlineStr">
        <is>
          <t>RPC Art. 153</t>
        </is>
      </c>
      <c r="D49" s="74" t="inlineStr">
        <is>
          <t>Yes</t>
        </is>
      </c>
    </row>
    <row r="50">
      <c r="A50" s="73" t="inlineStr">
        <is>
          <t>Illegal Possession of Firearms</t>
        </is>
      </c>
      <c r="B50" s="74" t="inlineStr">
        <is>
          <t>Crimes Against Public Order</t>
        </is>
      </c>
      <c r="C50" s="74" t="inlineStr">
        <is>
          <t>RA 10591</t>
        </is>
      </c>
      <c r="D50" s="74" t="inlineStr">
        <is>
          <t>Yes</t>
        </is>
      </c>
    </row>
    <row r="51">
      <c r="A51" s="73" t="inlineStr">
        <is>
          <t>Illegal Possession of Explosives</t>
        </is>
      </c>
      <c r="B51" s="74" t="inlineStr">
        <is>
          <t>Crimes Against Public Order</t>
        </is>
      </c>
      <c r="C51" s="74" t="inlineStr">
        <is>
          <t>RA 9516</t>
        </is>
      </c>
      <c r="D51" s="74" t="inlineStr">
        <is>
          <t>Yes</t>
        </is>
      </c>
    </row>
    <row r="52">
      <c r="A52" s="73" t="inlineStr">
        <is>
          <t>Illegal Gambling</t>
        </is>
      </c>
      <c r="B52" s="74" t="inlineStr">
        <is>
          <t>Crimes Against Public Order</t>
        </is>
      </c>
      <c r="C52" s="74" t="inlineStr">
        <is>
          <t>PD 1602</t>
        </is>
      </c>
      <c r="D52" s="74" t="inlineStr">
        <is>
          <t>Yes</t>
        </is>
      </c>
    </row>
    <row r="53">
      <c r="A53" s="73" t="inlineStr">
        <is>
          <t>Illegal Cockfighting</t>
        </is>
      </c>
      <c r="B53" s="74" t="inlineStr">
        <is>
          <t>Crimes Against Public Order</t>
        </is>
      </c>
      <c r="C53" s="74" t="inlineStr">
        <is>
          <t>PD 449</t>
        </is>
      </c>
      <c r="D53" s="74" t="inlineStr">
        <is>
          <t>Yes</t>
        </is>
      </c>
    </row>
    <row r="54">
      <c r="A54" s="73" t="inlineStr">
        <is>
          <t>Illegal Numbers Game (Jueteng, etc.)</t>
        </is>
      </c>
      <c r="B54" s="74" t="inlineStr">
        <is>
          <t>Crimes Against Public Order</t>
        </is>
      </c>
      <c r="C54" s="74" t="inlineStr">
        <is>
          <t>RA 9287</t>
        </is>
      </c>
      <c r="D54" s="74" t="inlineStr">
        <is>
          <t>Yes</t>
        </is>
      </c>
    </row>
    <row r="55">
      <c r="A55" s="73" t="inlineStr">
        <is>
          <t>Driving Under the Influence</t>
        </is>
      </c>
      <c r="B55" s="74" t="inlineStr">
        <is>
          <t>Crimes Against Public Order</t>
        </is>
      </c>
      <c r="C55" s="74" t="inlineStr">
        <is>
          <t>RA 10586</t>
        </is>
      </c>
      <c r="D55" s="74" t="inlineStr">
        <is>
          <t>Yes</t>
        </is>
      </c>
    </row>
    <row r="56">
      <c r="A56" s="73" t="inlineStr">
        <is>
          <t>Reckless Driving</t>
        </is>
      </c>
      <c r="B56" s="74" t="inlineStr">
        <is>
          <t>Crimes Against Public Order</t>
        </is>
      </c>
      <c r="C56" s="74" t="inlineStr">
        <is>
          <t>RA 4136</t>
        </is>
      </c>
      <c r="D56" s="74" t="inlineStr">
        <is>
          <t>Yes</t>
        </is>
      </c>
    </row>
    <row r="57">
      <c r="A57" s="73" t="inlineStr">
        <is>
          <t>Anti-Distracted Driving</t>
        </is>
      </c>
      <c r="B57" s="74" t="inlineStr">
        <is>
          <t>Crimes Against Public Order</t>
        </is>
      </c>
      <c r="C57" s="74" t="inlineStr">
        <is>
          <t>RA 10913</t>
        </is>
      </c>
      <c r="D57" s="74" t="inlineStr">
        <is>
          <t>Yes</t>
        </is>
      </c>
    </row>
    <row r="58">
      <c r="A58" s="73" t="inlineStr">
        <is>
          <t>Perjury</t>
        </is>
      </c>
      <c r="B58" s="74" t="inlineStr">
        <is>
          <t>Crimes Against Public Interest</t>
        </is>
      </c>
      <c r="C58" s="74" t="inlineStr">
        <is>
          <t>RPC Art. 183</t>
        </is>
      </c>
      <c r="D58" s="74" t="inlineStr">
        <is>
          <t>Yes</t>
        </is>
      </c>
    </row>
    <row r="59">
      <c r="A59" s="73" t="inlineStr">
        <is>
          <t>Falsification of Public Documents</t>
        </is>
      </c>
      <c r="B59" s="74" t="inlineStr">
        <is>
          <t>Crimes Against Public Interest</t>
        </is>
      </c>
      <c r="C59" s="74" t="inlineStr">
        <is>
          <t>RPC Art. 171</t>
        </is>
      </c>
      <c r="D59" s="74" t="inlineStr">
        <is>
          <t>Yes</t>
        </is>
      </c>
    </row>
    <row r="60">
      <c r="A60" s="73" t="inlineStr">
        <is>
          <t>Falsification of Private Documents</t>
        </is>
      </c>
      <c r="B60" s="74" t="inlineStr">
        <is>
          <t>Crimes Against Public Interest</t>
        </is>
      </c>
      <c r="C60" s="74" t="inlineStr">
        <is>
          <t>RPC Art. 172</t>
        </is>
      </c>
      <c r="D60" s="74" t="inlineStr">
        <is>
          <t>Yes</t>
        </is>
      </c>
    </row>
    <row r="61">
      <c r="A61" s="73" t="inlineStr">
        <is>
          <t>Usurpation of Authority</t>
        </is>
      </c>
      <c r="B61" s="74" t="inlineStr">
        <is>
          <t>Crimes Against Public Interest</t>
        </is>
      </c>
      <c r="C61" s="74" t="inlineStr">
        <is>
          <t>RPC Art. 177</t>
        </is>
      </c>
      <c r="D61" s="74" t="inlineStr">
        <is>
          <t>Yes</t>
        </is>
      </c>
    </row>
    <row r="62">
      <c r="A62" s="73" t="inlineStr">
        <is>
          <t>Direct Bribery</t>
        </is>
      </c>
      <c r="B62" s="74" t="inlineStr">
        <is>
          <t>Crimes Against Public Interest</t>
        </is>
      </c>
      <c r="C62" s="74" t="inlineStr">
        <is>
          <t>RPC Art. 210</t>
        </is>
      </c>
      <c r="D62" s="74" t="inlineStr">
        <is>
          <t>Yes</t>
        </is>
      </c>
    </row>
    <row r="63">
      <c r="A63" s="73" t="inlineStr">
        <is>
          <t>Anti-Graft and Corrupt Practices</t>
        </is>
      </c>
      <c r="B63" s="74" t="inlineStr">
        <is>
          <t>Crimes Against Public Interest</t>
        </is>
      </c>
      <c r="C63" s="74" t="inlineStr">
        <is>
          <t>RA 3019</t>
        </is>
      </c>
      <c r="D63" s="74" t="inlineStr">
        <is>
          <t>Yes</t>
        </is>
      </c>
    </row>
    <row r="64">
      <c r="A64" s="73" t="inlineStr">
        <is>
          <t>Plunder</t>
        </is>
      </c>
      <c r="B64" s="74" t="inlineStr">
        <is>
          <t>Crimes Against Public Interest</t>
        </is>
      </c>
      <c r="C64" s="74" t="inlineStr">
        <is>
          <t>RA 7080</t>
        </is>
      </c>
      <c r="D64" s="74" t="inlineStr">
        <is>
          <t>Yes</t>
        </is>
      </c>
    </row>
    <row r="65">
      <c r="A65" s="73" t="inlineStr">
        <is>
          <t>Grave Oral Defamation</t>
        </is>
      </c>
      <c r="B65" s="74" t="inlineStr">
        <is>
          <t>Crimes Against Public Interest</t>
        </is>
      </c>
      <c r="C65" s="74" t="inlineStr">
        <is>
          <t>RPC Art. 358</t>
        </is>
      </c>
      <c r="D65" s="74" t="inlineStr">
        <is>
          <t>Yes</t>
        </is>
      </c>
    </row>
    <row r="66">
      <c r="A66" s="73" t="inlineStr">
        <is>
          <t>Libel</t>
        </is>
      </c>
      <c r="B66" s="74" t="inlineStr">
        <is>
          <t>Crimes Against Public Interest</t>
        </is>
      </c>
      <c r="C66" s="74" t="inlineStr">
        <is>
          <t>RPC Art. 355</t>
        </is>
      </c>
      <c r="D66" s="74" t="inlineStr">
        <is>
          <t>Yes</t>
        </is>
      </c>
    </row>
    <row r="67">
      <c r="A67" s="73" t="inlineStr">
        <is>
          <t>Anti-Wiretapping</t>
        </is>
      </c>
      <c r="B67" s="74" t="inlineStr">
        <is>
          <t>Crimes Against Public Interest</t>
        </is>
      </c>
      <c r="C67" s="74" t="inlineStr">
        <is>
          <t>RA 4200</t>
        </is>
      </c>
      <c r="D67" s="74" t="inlineStr">
        <is>
          <t>Yes</t>
        </is>
      </c>
    </row>
    <row r="68">
      <c r="A68" s="73" t="inlineStr">
        <is>
          <t>Illegal Sale of Dangerous Drugs</t>
        </is>
      </c>
      <c r="B68" s="74" t="inlineStr">
        <is>
          <t>Special Laws - Dangerous Drugs</t>
        </is>
      </c>
      <c r="C68" s="74" t="inlineStr">
        <is>
          <t>RA 9165 Sec. 5</t>
        </is>
      </c>
      <c r="D68" s="74" t="inlineStr">
        <is>
          <t>Yes</t>
        </is>
      </c>
    </row>
    <row r="69">
      <c r="A69" s="73" t="inlineStr">
        <is>
          <t>Illegal Possession of Dangerous Drugs</t>
        </is>
      </c>
      <c r="B69" s="74" t="inlineStr">
        <is>
          <t>Special Laws - Dangerous Drugs</t>
        </is>
      </c>
      <c r="C69" s="74" t="inlineStr">
        <is>
          <t>RA 9165 Sec. 11</t>
        </is>
      </c>
      <c r="D69" s="74" t="inlineStr">
        <is>
          <t>Yes</t>
        </is>
      </c>
    </row>
    <row r="70">
      <c r="A70" s="73" t="inlineStr">
        <is>
          <t>Illegal Use of Dangerous Drugs</t>
        </is>
      </c>
      <c r="B70" s="74" t="inlineStr">
        <is>
          <t>Special Laws - Dangerous Drugs</t>
        </is>
      </c>
      <c r="C70" s="74" t="inlineStr">
        <is>
          <t>RA 9165 Sec. 15</t>
        </is>
      </c>
      <c r="D70" s="74" t="inlineStr">
        <is>
          <t>Yes</t>
        </is>
      </c>
    </row>
    <row r="71">
      <c r="A71" s="73" t="inlineStr">
        <is>
          <t>Possession of Drug Paraphernalia</t>
        </is>
      </c>
      <c r="B71" s="74" t="inlineStr">
        <is>
          <t>Special Laws - Dangerous Drugs</t>
        </is>
      </c>
      <c r="C71" s="74" t="inlineStr">
        <is>
          <t>RA 9165 Sec. 12</t>
        </is>
      </c>
      <c r="D71" s="74" t="inlineStr">
        <is>
          <t>Yes</t>
        </is>
      </c>
    </row>
    <row r="72">
      <c r="A72" s="73" t="inlineStr">
        <is>
          <t>Maintenance of a Drug Den</t>
        </is>
      </c>
      <c r="B72" s="74" t="inlineStr">
        <is>
          <t>Special Laws - Dangerous Drugs</t>
        </is>
      </c>
      <c r="C72" s="74" t="inlineStr">
        <is>
          <t>RA 9165 Sec. 6</t>
        </is>
      </c>
      <c r="D72" s="74" t="inlineStr">
        <is>
          <t>Yes</t>
        </is>
      </c>
    </row>
    <row r="73">
      <c r="A73" s="73" t="inlineStr">
        <is>
          <t>Cultivation of Dangerous Drugs</t>
        </is>
      </c>
      <c r="B73" s="74" t="inlineStr">
        <is>
          <t>Special Laws - Dangerous Drugs</t>
        </is>
      </c>
      <c r="C73" s="74" t="inlineStr">
        <is>
          <t>RA 9165 Sec. 16</t>
        </is>
      </c>
      <c r="D73" s="74" t="inlineStr">
        <is>
          <t>Yes</t>
        </is>
      </c>
    </row>
    <row r="74">
      <c r="A74" s="73" t="inlineStr">
        <is>
          <t>Other Violation of RA 9165</t>
        </is>
      </c>
      <c r="B74" s="74" t="inlineStr">
        <is>
          <t>Special Laws - Dangerous Drugs</t>
        </is>
      </c>
      <c r="C74" s="74" t="inlineStr">
        <is>
          <t>RA 9165</t>
        </is>
      </c>
      <c r="D74" s="74" t="inlineStr">
        <is>
          <t>Yes</t>
        </is>
      </c>
    </row>
    <row r="75">
      <c r="A75" s="73" t="inlineStr">
        <is>
          <t>Violation of VAWC Act</t>
        </is>
      </c>
      <c r="B75" s="74" t="inlineStr">
        <is>
          <t>Special Laws - Women and Children</t>
        </is>
      </c>
      <c r="C75" s="74" t="inlineStr">
        <is>
          <t>RA 9262</t>
        </is>
      </c>
      <c r="D75" s="74" t="inlineStr">
        <is>
          <t>Yes</t>
        </is>
      </c>
    </row>
    <row r="76">
      <c r="A76" s="73" t="inlineStr">
        <is>
          <t>Child Abuse</t>
        </is>
      </c>
      <c r="B76" s="74" t="inlineStr">
        <is>
          <t>Special Laws - Women and Children</t>
        </is>
      </c>
      <c r="C76" s="74" t="inlineStr">
        <is>
          <t>RA 7610</t>
        </is>
      </c>
      <c r="D76" s="74" t="inlineStr">
        <is>
          <t>Yes</t>
        </is>
      </c>
    </row>
    <row r="77">
      <c r="A77" s="73" t="inlineStr">
        <is>
          <t>Trafficking in Persons</t>
        </is>
      </c>
      <c r="B77" s="74" t="inlineStr">
        <is>
          <t>Special Laws - Women and Children</t>
        </is>
      </c>
      <c r="C77" s="74" t="inlineStr">
        <is>
          <t>RA 9208</t>
        </is>
      </c>
      <c r="D77" s="74" t="inlineStr">
        <is>
          <t>Yes</t>
        </is>
      </c>
    </row>
    <row r="78">
      <c r="A78" s="73" t="inlineStr">
        <is>
          <t>Expanded Anti-Trafficking in Persons</t>
        </is>
      </c>
      <c r="B78" s="74" t="inlineStr">
        <is>
          <t>Special Laws - Women and Children</t>
        </is>
      </c>
      <c r="C78" s="74" t="inlineStr">
        <is>
          <t>RA 10364</t>
        </is>
      </c>
      <c r="D78" s="74" t="inlineStr">
        <is>
          <t>Yes</t>
        </is>
      </c>
    </row>
    <row r="79">
      <c r="A79" s="73" t="inlineStr">
        <is>
          <t>Anti-Child Pornography</t>
        </is>
      </c>
      <c r="B79" s="74" t="inlineStr">
        <is>
          <t>Special Laws - Women and Children</t>
        </is>
      </c>
      <c r="C79" s="74" t="inlineStr">
        <is>
          <t>RA 9775</t>
        </is>
      </c>
      <c r="D79" s="74" t="inlineStr">
        <is>
          <t>Yes</t>
        </is>
      </c>
    </row>
    <row r="80">
      <c r="A80" s="73" t="inlineStr">
        <is>
          <t>Anti-OSAEC and CSAEM</t>
        </is>
      </c>
      <c r="B80" s="74" t="inlineStr">
        <is>
          <t>Special Laws - Women and Children</t>
        </is>
      </c>
      <c r="C80" s="74" t="inlineStr">
        <is>
          <t>RA 11930</t>
        </is>
      </c>
      <c r="D80" s="74" t="inlineStr">
        <is>
          <t>Yes</t>
        </is>
      </c>
    </row>
    <row r="81">
      <c r="A81" s="73" t="inlineStr">
        <is>
          <t>Child Labor Violation</t>
        </is>
      </c>
      <c r="B81" s="74" t="inlineStr">
        <is>
          <t>Special Laws - Women and Children</t>
        </is>
      </c>
      <c r="C81" s="74" t="inlineStr">
        <is>
          <t>RA 9231</t>
        </is>
      </c>
      <c r="D81" s="74" t="inlineStr">
        <is>
          <t>Yes</t>
        </is>
      </c>
    </row>
    <row r="82">
      <c r="A82" s="73" t="inlineStr">
        <is>
          <t>Illegal Logging</t>
        </is>
      </c>
      <c r="B82" s="74" t="inlineStr">
        <is>
          <t>Special Laws - Environment and Natural Resources</t>
        </is>
      </c>
      <c r="C82" s="74" t="inlineStr">
        <is>
          <t>PD 705</t>
        </is>
      </c>
      <c r="D82" s="74" t="inlineStr">
        <is>
          <t>Yes</t>
        </is>
      </c>
    </row>
    <row r="83">
      <c r="A83" s="73" t="inlineStr">
        <is>
          <t>Illegal Fishing</t>
        </is>
      </c>
      <c r="B83" s="74" t="inlineStr">
        <is>
          <t>Special Laws - Environment and Natural Resources</t>
        </is>
      </c>
      <c r="C83" s="74" t="inlineStr">
        <is>
          <t>RA 8550</t>
        </is>
      </c>
      <c r="D83" s="74" t="inlineStr">
        <is>
          <t>Yes</t>
        </is>
      </c>
    </row>
    <row r="84">
      <c r="A84" s="73" t="inlineStr">
        <is>
          <t>Illegal Quarrying</t>
        </is>
      </c>
      <c r="B84" s="74" t="inlineStr">
        <is>
          <t>Special Laws - Environment and Natural Resources</t>
        </is>
      </c>
      <c r="C84" s="74" t="inlineStr">
        <is>
          <t>RA 7942</t>
        </is>
      </c>
      <c r="D84" s="74" t="inlineStr">
        <is>
          <t>Yes</t>
        </is>
      </c>
    </row>
    <row r="85">
      <c r="A85" s="73" t="inlineStr">
        <is>
          <t>Violation of Wildlife Act</t>
        </is>
      </c>
      <c r="B85" s="74" t="inlineStr">
        <is>
          <t>Special Laws - Environment and Natural Resources</t>
        </is>
      </c>
      <c r="C85" s="74" t="inlineStr">
        <is>
          <t>RA 9147</t>
        </is>
      </c>
      <c r="D85" s="74" t="inlineStr">
        <is>
          <t>Yes</t>
        </is>
      </c>
    </row>
    <row r="86">
      <c r="A86" s="73" t="inlineStr">
        <is>
          <t>Violation of Chainsaw Act</t>
        </is>
      </c>
      <c r="B86" s="74" t="inlineStr">
        <is>
          <t>Special Laws - Environment and Natural Resources</t>
        </is>
      </c>
      <c r="C86" s="74" t="inlineStr">
        <is>
          <t>RA 9175</t>
        </is>
      </c>
      <c r="D86" s="74" t="inlineStr">
        <is>
          <t>Yes</t>
        </is>
      </c>
    </row>
    <row r="87">
      <c r="A87" s="73" t="inlineStr">
        <is>
          <t>Violation of Ecological Solid Waste Act</t>
        </is>
      </c>
      <c r="B87" s="74" t="inlineStr">
        <is>
          <t>Special Laws - Environment and Natural Resources</t>
        </is>
      </c>
      <c r="C87" s="74" t="inlineStr">
        <is>
          <t>RA 9003</t>
        </is>
      </c>
      <c r="D87" s="74" t="inlineStr">
        <is>
          <t>Yes</t>
        </is>
      </c>
    </row>
    <row r="88">
      <c r="A88" s="73" t="inlineStr">
        <is>
          <t>Violation of Clean Air Act</t>
        </is>
      </c>
      <c r="B88" s="74" t="inlineStr">
        <is>
          <t>Special Laws - Environment and Natural Resources</t>
        </is>
      </c>
      <c r="C88" s="74" t="inlineStr">
        <is>
          <t>RA 8749</t>
        </is>
      </c>
      <c r="D88" s="74" t="inlineStr">
        <is>
          <t>Yes</t>
        </is>
      </c>
    </row>
    <row r="89">
      <c r="A89" s="73" t="inlineStr">
        <is>
          <t>Violation of Clean Water Act</t>
        </is>
      </c>
      <c r="B89" s="74" t="inlineStr">
        <is>
          <t>Special Laws - Environment and Natural Resources</t>
        </is>
      </c>
      <c r="C89" s="74" t="inlineStr">
        <is>
          <t>RA 9275</t>
        </is>
      </c>
      <c r="D89" s="74" t="inlineStr">
        <is>
          <t>Yes</t>
        </is>
      </c>
    </row>
    <row r="90">
      <c r="A90" s="73" t="inlineStr">
        <is>
          <t>Cybercrime (Illegal Access / Fraud)</t>
        </is>
      </c>
      <c r="B90" s="74" t="inlineStr">
        <is>
          <t>Special Laws - Economic and Cyber</t>
        </is>
      </c>
      <c r="C90" s="74" t="inlineStr">
        <is>
          <t>RA 10175</t>
        </is>
      </c>
      <c r="D90" s="74" t="inlineStr">
        <is>
          <t>Yes</t>
        </is>
      </c>
    </row>
    <row r="91">
      <c r="A91" s="73" t="inlineStr">
        <is>
          <t>Cyber Libel</t>
        </is>
      </c>
      <c r="B91" s="74" t="inlineStr">
        <is>
          <t>Special Laws - Economic and Cyber</t>
        </is>
      </c>
      <c r="C91" s="74" t="inlineStr">
        <is>
          <t>RA 10175 in rel. to RPC Art. 355</t>
        </is>
      </c>
      <c r="D91" s="74" t="inlineStr">
        <is>
          <t>Yes</t>
        </is>
      </c>
    </row>
    <row r="92">
      <c r="A92" s="73" t="inlineStr">
        <is>
          <t>Online Scam / Financial Account Scam</t>
        </is>
      </c>
      <c r="B92" s="74" t="inlineStr">
        <is>
          <t>Special Laws - Economic and Cyber</t>
        </is>
      </c>
      <c r="C92" s="74" t="inlineStr">
        <is>
          <t>RA 12065</t>
        </is>
      </c>
      <c r="D92" s="74" t="inlineStr">
        <is>
          <t>Yes</t>
        </is>
      </c>
    </row>
    <row r="93">
      <c r="A93" s="73" t="inlineStr">
        <is>
          <t>Bouncing Checks</t>
        </is>
      </c>
      <c r="B93" s="74" t="inlineStr">
        <is>
          <t>Special Laws - Economic and Cyber</t>
        </is>
      </c>
      <c r="C93" s="74" t="inlineStr">
        <is>
          <t>BP 22</t>
        </is>
      </c>
      <c r="D93" s="74" t="inlineStr">
        <is>
          <t>Yes</t>
        </is>
      </c>
    </row>
    <row r="94">
      <c r="A94" s="73" t="inlineStr">
        <is>
          <t>Illegal Recruitment</t>
        </is>
      </c>
      <c r="B94" s="74" t="inlineStr">
        <is>
          <t>Special Laws - Economic and Cyber</t>
        </is>
      </c>
      <c r="C94" s="74" t="inlineStr">
        <is>
          <t>RA 8042</t>
        </is>
      </c>
      <c r="D94" s="74" t="inlineStr">
        <is>
          <t>Yes</t>
        </is>
      </c>
    </row>
    <row r="95">
      <c r="A95" s="73" t="inlineStr">
        <is>
          <t>Violation of Consumer Act</t>
        </is>
      </c>
      <c r="B95" s="74" t="inlineStr">
        <is>
          <t>Special Laws - Economic and Cyber</t>
        </is>
      </c>
      <c r="C95" s="74" t="inlineStr">
        <is>
          <t>RA 7394</t>
        </is>
      </c>
      <c r="D95" s="74" t="inlineStr">
        <is>
          <t>Yes</t>
        </is>
      </c>
    </row>
    <row r="96">
      <c r="A96" s="73" t="inlineStr">
        <is>
          <t>Price Act Violation (Hoarding / Profiteering)</t>
        </is>
      </c>
      <c r="B96" s="74" t="inlineStr">
        <is>
          <t>Special Laws - Economic and Cyber</t>
        </is>
      </c>
      <c r="C96" s="74" t="inlineStr">
        <is>
          <t>RA 7581</t>
        </is>
      </c>
      <c r="D96" s="74" t="inlineStr">
        <is>
          <t>Yes</t>
        </is>
      </c>
    </row>
    <row r="97">
      <c r="A97" s="73" t="inlineStr">
        <is>
          <t>Violation of Intellectual Property Code</t>
        </is>
      </c>
      <c r="B97" s="74" t="inlineStr">
        <is>
          <t>Special Laws - Economic and Cyber</t>
        </is>
      </c>
      <c r="C97" s="74" t="inlineStr">
        <is>
          <t>RA 8293</t>
        </is>
      </c>
      <c r="D97" s="74" t="inlineStr">
        <is>
          <t>Yes</t>
        </is>
      </c>
    </row>
    <row r="98">
      <c r="A98" s="73" t="inlineStr">
        <is>
          <t>Anti-Money Laundering</t>
        </is>
      </c>
      <c r="B98" s="74" t="inlineStr">
        <is>
          <t>Special Laws - Economic and Cyber</t>
        </is>
      </c>
      <c r="C98" s="74" t="inlineStr">
        <is>
          <t>RA 9160</t>
        </is>
      </c>
      <c r="D98" s="74" t="inlineStr">
        <is>
          <t>Yes</t>
        </is>
      </c>
    </row>
    <row r="99">
      <c r="A99" s="73" t="inlineStr">
        <is>
          <t>Violation of Local Ordinance</t>
        </is>
      </c>
      <c r="B99" s="74" t="inlineStr">
        <is>
          <t>Local Ordinances and Other Special Laws</t>
        </is>
      </c>
      <c r="C99" s="74" t="inlineStr">
        <is>
          <t>Local Ordinance</t>
        </is>
      </c>
      <c r="D99" s="74" t="inlineStr">
        <is>
          <t>Yes</t>
        </is>
      </c>
    </row>
    <row r="100">
      <c r="A100" s="73" t="inlineStr">
        <is>
          <t>Violation of Barangay Ordinance</t>
        </is>
      </c>
      <c r="B100" s="74" t="inlineStr">
        <is>
          <t>Local Ordinances and Other Special Laws</t>
        </is>
      </c>
      <c r="C100" s="74" t="inlineStr">
        <is>
          <t>Barangay Ordinance</t>
        </is>
      </c>
      <c r="D100" s="74" t="inlineStr">
        <is>
          <t>Yes</t>
        </is>
      </c>
    </row>
    <row r="101">
      <c r="A101" s="73" t="inlineStr">
        <is>
          <t>Violation of National Building Code</t>
        </is>
      </c>
      <c r="B101" s="74" t="inlineStr">
        <is>
          <t>Local Ordinances and Other Special Laws</t>
        </is>
      </c>
      <c r="C101" s="74" t="inlineStr">
        <is>
          <t>PD 1096</t>
        </is>
      </c>
      <c r="D101" s="74" t="inlineStr">
        <is>
          <t>Yes</t>
        </is>
      </c>
    </row>
    <row r="102">
      <c r="A102" s="73" t="inlineStr">
        <is>
          <t>Violation of Fire Code</t>
        </is>
      </c>
      <c r="B102" s="74" t="inlineStr">
        <is>
          <t>Local Ordinances and Other Special Laws</t>
        </is>
      </c>
      <c r="C102" s="74" t="inlineStr">
        <is>
          <t>RA 9514</t>
        </is>
      </c>
      <c r="D102" s="74" t="inlineStr">
        <is>
          <t>Yes</t>
        </is>
      </c>
    </row>
    <row r="103">
      <c r="A103" s="73" t="inlineStr">
        <is>
          <t>Violation of Sanitation Code</t>
        </is>
      </c>
      <c r="B103" s="74" t="inlineStr">
        <is>
          <t>Local Ordinances and Other Special Laws</t>
        </is>
      </c>
      <c r="C103" s="74" t="inlineStr">
        <is>
          <t>PD 856</t>
        </is>
      </c>
      <c r="D103" s="74" t="inlineStr">
        <is>
          <t>Yes</t>
        </is>
      </c>
    </row>
    <row r="104">
      <c r="A104" s="73" t="inlineStr">
        <is>
          <t>Violation of Anti-Smoking Ordinance</t>
        </is>
      </c>
      <c r="B104" s="74" t="inlineStr">
        <is>
          <t>Local Ordinances and Other Special Laws</t>
        </is>
      </c>
      <c r="C104" s="74" t="inlineStr">
        <is>
          <t>RA 9211 / Local Ordinance</t>
        </is>
      </c>
      <c r="D104" s="74" t="inlineStr">
        <is>
          <t>Yes</t>
        </is>
      </c>
    </row>
    <row r="107" ht="22" customHeight="1">
      <c r="A107" s="71" t="inlineStr">
        <is>
          <t>DOCUMENT CHECKLIST ITEMS (used as column headers in the register)</t>
        </is>
      </c>
    </row>
    <row r="108">
      <c r="A108" s="73" t="inlineStr">
        <is>
          <t>Affidavit of Complaint</t>
        </is>
      </c>
      <c r="B108" s="75" t="inlineStr">
        <is>
          <t>Y / N / N-A</t>
        </is>
      </c>
    </row>
    <row r="109">
      <c r="A109" s="73" t="inlineStr">
        <is>
          <t>Sworn Statement(s)</t>
        </is>
      </c>
      <c r="B109" s="75" t="inlineStr">
        <is>
          <t>Y / N / N-A</t>
        </is>
      </c>
    </row>
    <row r="110">
      <c r="A110" s="73" t="inlineStr">
        <is>
          <t>Police / Incident Report</t>
        </is>
      </c>
      <c r="B110" s="75" t="inlineStr">
        <is>
          <t>Y / N / N-A</t>
        </is>
      </c>
    </row>
    <row r="111">
      <c r="A111" s="73" t="inlineStr">
        <is>
          <t>Evidence and Exhibits</t>
        </is>
      </c>
      <c r="B111" s="75" t="inlineStr">
        <is>
          <t>Y / N / N-A</t>
        </is>
      </c>
    </row>
    <row r="112">
      <c r="A112" s="73" t="inlineStr">
        <is>
          <t>Resolution / Information</t>
        </is>
      </c>
      <c r="B112" s="75" t="inlineStr">
        <is>
          <t>Y / N / N-A</t>
        </is>
      </c>
    </row>
    <row r="113">
      <c r="A113" s="73" t="inlineStr">
        <is>
          <t>Court Order / Docket</t>
        </is>
      </c>
      <c r="B113" s="75" t="inlineStr">
        <is>
          <t>Y / N / N-A</t>
        </is>
      </c>
    </row>
    <row r="114">
      <c r="A114" s="73" t="inlineStr">
        <is>
          <t>Bail / Bond Records</t>
        </is>
      </c>
      <c r="B114" s="75" t="inlineStr">
        <is>
          <t>Y / N / N-A</t>
        </is>
      </c>
    </row>
    <row r="115">
      <c r="A115" s="73" t="inlineStr">
        <is>
          <t>Judgment / Order</t>
        </is>
      </c>
      <c r="B115" s="75" t="inlineStr">
        <is>
          <t>Y / N / N-A</t>
        </is>
      </c>
    </row>
    <row r="118" ht="22" customHeight="1">
      <c r="A118" s="71" t="inlineStr">
        <is>
          <t>OFFICE PROFILE AND SETTINGS  (feeds the dashboard header and ageing rules)</t>
        </is>
      </c>
    </row>
    <row r="119">
      <c r="A119" s="76" t="inlineStr">
        <is>
          <t>SETTING</t>
        </is>
      </c>
      <c r="C119" s="77" t="inlineStr">
        <is>
          <t>VALUE  (edit these)</t>
        </is>
      </c>
    </row>
    <row r="120">
      <c r="A120" s="78" t="inlineStr">
        <is>
          <t>Local Government Unit (LGU)</t>
        </is>
      </c>
      <c r="C120" s="79" t="inlineStr">
        <is>
          <t>Local Government Unit of San Isidro</t>
        </is>
      </c>
    </row>
    <row r="121">
      <c r="A121" s="78" t="inlineStr">
        <is>
          <t>Province / District</t>
        </is>
      </c>
      <c r="C121" s="79" t="inlineStr">
        <is>
          <t>Province of Nueva Ecija</t>
        </is>
      </c>
    </row>
    <row r="122">
      <c r="A122" s="78" t="inlineStr">
        <is>
          <t>Office</t>
        </is>
      </c>
      <c r="C122" s="79" t="inlineStr">
        <is>
          <t>Office of the City Prosecutor</t>
        </is>
      </c>
    </row>
    <row r="123">
      <c r="A123" s="78" t="inlineStr">
        <is>
          <t>Prepared by / Designation</t>
        </is>
      </c>
      <c r="C123" s="79" t="inlineStr">
        <is>
          <t>Case Monitoring Officer</t>
        </is>
      </c>
    </row>
    <row r="124">
      <c r="A124" s="78" t="inlineStr">
        <is>
          <t>Contact Number / Email</t>
        </is>
      </c>
      <c r="C124" s="79" t="inlineStr">
        <is>
          <t>(044) 000-0000  |  monitoring@lgu.gov.ph</t>
        </is>
      </c>
    </row>
    <row r="125">
      <c r="A125" s="78" t="inlineStr">
        <is>
          <t>Reporting Period Label</t>
        </is>
      </c>
      <c r="C125" s="79" t="inlineStr">
        <is>
          <t>CY 2026 - All Criminal Cases</t>
        </is>
      </c>
    </row>
    <row r="126">
      <c r="A126" s="78" t="inlineStr">
        <is>
          <t>Ageing: Monitor threshold (days)</t>
        </is>
      </c>
      <c r="C126" s="80" t="n">
        <v>90</v>
      </c>
    </row>
    <row r="127">
      <c r="A127" s="78" t="inlineStr">
        <is>
          <t>Ageing: For Follow-up threshold (days)</t>
        </is>
      </c>
      <c r="C127" s="80" t="n">
        <v>180</v>
      </c>
    </row>
    <row r="128">
      <c r="A128" s="78" t="inlineStr">
        <is>
          <t>Ageing: Critical threshold (days)</t>
        </is>
      </c>
      <c r="C128" s="80" t="n">
        <v>365</v>
      </c>
    </row>
    <row r="129">
      <c r="A129" s="78" t="inlineStr">
        <is>
          <t>Upcoming hearing window (days)</t>
        </is>
      </c>
      <c r="C129" s="80" t="n">
        <v>7</v>
      </c>
    </row>
  </sheetData>
  <mergeCells count="17">
    <mergeCell ref="A118:D118"/>
    <mergeCell ref="A125:B125"/>
    <mergeCell ref="A2:R2"/>
    <mergeCell ref="A4:D4"/>
    <mergeCell ref="A128:B128"/>
    <mergeCell ref="A107:B107"/>
    <mergeCell ref="A121:B121"/>
    <mergeCell ref="A129:B129"/>
    <mergeCell ref="A123:B123"/>
    <mergeCell ref="A127:B127"/>
    <mergeCell ref="A1:R1"/>
    <mergeCell ref="H4:I4"/>
    <mergeCell ref="A119:B119"/>
    <mergeCell ref="A126:B126"/>
    <mergeCell ref="A120:B120"/>
    <mergeCell ref="A124:B124"/>
    <mergeCell ref="A122:B122"/>
  </mergeCells>
  <pageMargins left="0.75" right="0.75" top="1" bottom="1" header="0.5" footer="0.5"/>
</worksheet>
</file>

<file path=xl/worksheets/sheet8.xml><?xml version="1.0" encoding="utf-8"?>
<worksheet xmlns="http://schemas.openxmlformats.org/spreadsheetml/2006/main">
  <sheetPr>
    <tabColor rgb="001E7B4F"/>
    <outlinePr summaryBelow="1" summaryRight="1"/>
    <pageSetUpPr/>
  </sheetPr>
  <dimension ref="A1:C51"/>
  <sheetViews>
    <sheetView showGridLines="0" workbookViewId="0">
      <selection activeCell="A1" sqref="A1"/>
    </sheetView>
  </sheetViews>
  <sheetFormatPr baseColWidth="8" defaultRowHeight="15"/>
  <cols>
    <col width="3" customWidth="1" min="1" max="1"/>
    <col width="30" customWidth="1" min="2" max="2"/>
    <col width="104" customWidth="1" min="3" max="3"/>
  </cols>
  <sheetData>
    <row r="1" ht="36" customHeight="1">
      <c r="A1" s="81" t="inlineStr">
        <is>
          <t>USER GUIDE  |  LGU CRIMINAL CASE MONITORING SYSTEM</t>
        </is>
      </c>
      <c r="B1" s="3" t="n"/>
      <c r="C1" s="3" t="n"/>
    </row>
    <row r="3" ht="24" customHeight="1">
      <c r="A3" s="82" t="inlineStr">
        <is>
          <t>1. WHAT THIS WORKBOOK DOES</t>
        </is>
      </c>
    </row>
    <row r="4" ht="32" customHeight="1">
      <c r="B4" s="83" t="inlineStr">
        <is>
          <t>Purpose</t>
        </is>
      </c>
      <c r="C4" s="84" t="inlineStr">
        <is>
          <t>One live record of every criminal case handled or monitored by the LGU: intake, stage, court, custody, documents, hearings and outcome - with an automatic dashboard, ageing alerts and a follow-up watchlist.</t>
        </is>
      </c>
    </row>
    <row r="5" ht="32" customHeight="1">
      <c r="B5" s="85" t="inlineStr">
        <is>
          <t>Sheets</t>
        </is>
      </c>
      <c r="C5" s="86" t="inlineStr">
        <is>
          <t>Case Dashboard (management view)  |  Case Register (the master list)  |  Hearing Calendar  |  Document Compliance  |  Watchlist  |  Analysis (chart data)  |  Lists (dropdowns and settings)  |  User Guide.</t>
        </is>
      </c>
    </row>
    <row r="6" ht="45" customHeight="1">
      <c r="B6" s="83" t="inlineStr">
        <is>
          <t>How the parts connect</t>
        </is>
      </c>
      <c r="C6" s="84" t="inlineStr">
        <is>
          <t>You type only into white cells on the Register, Hearing Calendar and Document Compliance sheets. Grey cells hold formulas. The dashboard, watchlist and analysis tables read from those sheets, so they update the moment you encode or edit a record.</t>
        </is>
      </c>
    </row>
    <row r="8" ht="24" customHeight="1">
      <c r="A8" s="82" t="inlineStr">
        <is>
          <t>2. FIRST-TIME SETUP (about 10 minutes)</t>
        </is>
      </c>
    </row>
    <row r="9" ht="32" customHeight="1">
      <c r="B9" s="83" t="inlineStr">
        <is>
          <t>Step 1 - Office profile</t>
        </is>
      </c>
      <c r="C9" s="84" t="inlineStr">
        <is>
          <t>Open the Lists sheet and go to the OFFICE PROFILE AND SETTINGS block (column A, lower part). Replace the LGU name, province, office, preparer and reporting period. These appear on the dashboard header.</t>
        </is>
      </c>
    </row>
    <row r="10" ht="45" customHeight="1">
      <c r="B10" s="85" t="inlineStr">
        <is>
          <t>Step 2 - Thresholds</t>
        </is>
      </c>
      <c r="C10" s="86" t="inlineStr">
        <is>
          <t>Still on the Lists sheet, set the ageing thresholds in days (default: Monitor 90, For Follow-up 180, Critical 365) and the hearing window (default 7 days). Every colour flag in the workbook follows these numbers.</t>
        </is>
      </c>
    </row>
    <row r="11" ht="32" customHeight="1">
      <c r="B11" s="83" t="inlineStr">
        <is>
          <t>Step 3 - Barangays</t>
        </is>
      </c>
      <c r="C11" s="84" t="inlineStr">
        <is>
          <t>Replace the placeholder barangay names with the actual barangays of your LGU. Keep at least one entry; add as many as you need.</t>
        </is>
      </c>
    </row>
    <row r="12" ht="32" customHeight="1">
      <c r="B12" s="85" t="inlineStr">
        <is>
          <t>Step 4 - People</t>
        </is>
      </c>
      <c r="C12" s="86" t="inlineStr">
        <is>
          <t>Replace the placeholder prosecutors and investigators with real names and designations. These feed the assignment dropdowns and the caseload chart.</t>
        </is>
      </c>
    </row>
    <row r="13" ht="45" customHeight="1">
      <c r="B13" s="83" t="inlineStr">
        <is>
          <t>Step 5 - Offenses</t>
        </is>
      </c>
      <c r="C13" s="84" t="inlineStr">
        <is>
          <t>The OFFENSE MASTER block already lists the common offenses with the correct category and legal basis. Add any local offense your office monitors (put a category in column B so the dashboard categorises it correctly).</t>
        </is>
      </c>
    </row>
    <row r="14" ht="45" customHeight="1">
      <c r="B14" s="85" t="inlineStr">
        <is>
          <t>Step 6 - Clear the samples</t>
        </is>
      </c>
      <c r="C14" s="86" t="inlineStr">
        <is>
          <t>The workbook ships with 26 illustrative cases so you can see it working. Delete the sample rows (right-click &gt; Delete Table Rows) once you start encoding real data. Never delete rows 1 and 2, and never delete the last helper columns.</t>
        </is>
      </c>
    </row>
    <row r="16" ht="24" customHeight="1">
      <c r="A16" s="82" t="inlineStr">
        <is>
          <t>3. DAILY OPERATION</t>
        </is>
      </c>
    </row>
    <row r="17" ht="32" customHeight="1">
      <c r="B17" s="83" t="inlineStr">
        <is>
          <t>New case</t>
        </is>
      </c>
      <c r="C17" s="84" t="inlineStr">
        <is>
          <t>Case Register &gt; first empty row. Type the case number (use one consistent format, e.g. CC-2026-0001), date recorded, case title, parties, offense, stage, court and handler. Grey columns fill themselves.</t>
        </is>
      </c>
    </row>
    <row r="18" ht="45" customHeight="1">
      <c r="B18" s="85" t="inlineStr">
        <is>
          <t>Logging a hearing</t>
        </is>
      </c>
      <c r="C18" s="86" t="inlineStr">
        <is>
          <t>Hearing Calendar &gt; new row. Pick the case number, enter the hearing date, type and time. After the hearing, pick the result. The STATUS column turns red if a hearing date passes with no result, gold if it falls inside the hearing window, green when held.</t>
        </is>
      </c>
    </row>
    <row r="19" ht="32" customHeight="1">
      <c r="B19" s="83" t="inlineStr">
        <is>
          <t>Updating a stage</t>
        </is>
      </c>
      <c r="C19" s="84" t="inlineStr">
        <is>
          <t>When a case moves forward, change CASE STAGE and set STAGE SINCE to the date of the change. The ageing clock resets automatically.</t>
        </is>
      </c>
    </row>
    <row r="20" ht="45" customHeight="1">
      <c r="B20" s="85" t="inlineStr">
        <is>
          <t>Tracking documents</t>
        </is>
      </c>
      <c r="C20" s="86" t="inlineStr">
        <is>
          <t>The Register has a Y / N / N/A checklist for eight core documents. Mark Y when the paper is physically on file. The Document Compliance sheet summarises what is missing, assigns a follow-up owner and a target date.</t>
        </is>
      </c>
    </row>
    <row r="21" ht="32" customHeight="1">
      <c r="B21" s="83" t="inlineStr">
        <is>
          <t>Closing a case</t>
        </is>
      </c>
      <c r="C21" s="84" t="inlineStr">
        <is>
          <t>Set CASE STATUS to Closed, choose the OUTCOME, and enter the DATE CLOSED. The ageing flag switches to Closed and the case drops out of the watchlist.</t>
        </is>
      </c>
    </row>
    <row r="22" ht="45" customHeight="1">
      <c r="B22" s="85" t="inlineStr">
        <is>
          <t>Escalation</t>
        </is>
      </c>
      <c r="C22" s="86" t="inlineStr">
        <is>
          <t>Work the Watchlist weekly. Monitor = discuss at case conference; For Follow-up = written follow-up within 7 days; Critical = escalate to the Local Chief Executive and City Prosecutor and record the action in Remarks.</t>
        </is>
      </c>
    </row>
    <row r="24" ht="24" customHeight="1">
      <c r="A24" s="82" t="inlineStr">
        <is>
          <t>4. HOW EACH CALCULATION WORKS</t>
        </is>
      </c>
    </row>
    <row r="25" ht="32" customHeight="1">
      <c r="B25" s="83" t="inlineStr">
        <is>
          <t>Days pending</t>
        </is>
      </c>
      <c r="C25" s="84" t="inlineStr">
        <is>
          <t>Date closed minus date recorded for closed cases; today minus date recorded for open cases. It measures the whole life of the case, not the current stage.</t>
        </is>
      </c>
    </row>
    <row r="26" ht="32" customHeight="1">
      <c r="B26" s="85" t="inlineStr">
        <is>
          <t>Days in current stage</t>
        </is>
      </c>
      <c r="C26" s="86" t="inlineStr">
        <is>
          <t>Today minus STAGE SINCE (frozen at the closing date for closed cases). This drives the ageing flag because delay usually happens stage by stage.</t>
        </is>
      </c>
    </row>
    <row r="27" ht="32" customHeight="1">
      <c r="B27" s="83" t="inlineStr">
        <is>
          <t>Stage ageing</t>
        </is>
      </c>
      <c r="C27" s="84" t="inlineStr">
        <is>
          <t>Compared against the three thresholds: Critical, For Follow-up, Monitor, Within Standard. Closed cases are excluded.</t>
        </is>
      </c>
    </row>
    <row r="28" ht="32" customHeight="1">
      <c r="B28" s="85" t="inlineStr">
        <is>
          <t>Case progress</t>
        </is>
      </c>
      <c r="C28" s="86" t="inlineStr">
        <is>
          <t>The percent weight assigned to each stage on the Lists sheet (For Filing 5% to Judgment 97%). Adjust the weights if your office measures progress differently.</t>
        </is>
      </c>
    </row>
    <row r="29" ht="32" customHeight="1">
      <c r="B29" s="83" t="inlineStr">
        <is>
          <t>Document completeness</t>
        </is>
      </c>
      <c r="C29" s="84" t="inlineStr">
        <is>
          <t>Documents marked Y divided by documents marked Y or N (N/A entries are ignored, so a court case without bail records is not penalised).</t>
        </is>
      </c>
    </row>
    <row r="30" ht="32" customHeight="1">
      <c r="B30" s="85" t="inlineStr">
        <is>
          <t>Days in custody</t>
        </is>
      </c>
      <c r="C30" s="86" t="inlineStr">
        <is>
          <t>Today (or the closing date) minus DATE OF DETENTION, shown only for accused who are actually detained - useful for flagging preventive-detention limits.</t>
        </is>
      </c>
    </row>
    <row r="32" ht="24" customHeight="1">
      <c r="A32" s="82" t="inlineStr">
        <is>
          <t>5. INTEGRITY RULES - PLEASE FOLLOW</t>
        </is>
      </c>
    </row>
    <row r="33" ht="32" customHeight="1">
      <c r="B33" s="83" t="inlineStr">
        <is>
          <t>Never type in grey cells</t>
        </is>
      </c>
      <c r="C33" s="84" t="inlineStr">
        <is>
          <t>Grey columns are formulas. Overwriting them breaks the dashboard for that row. If a formula is accidentally deleted, copy the same cell from the row above or below.</t>
        </is>
      </c>
    </row>
    <row r="34" ht="32" customHeight="1">
      <c r="B34" s="85" t="inlineStr">
        <is>
          <t>Grow the table, do not paste outside it</t>
        </is>
      </c>
      <c r="C34" s="86" t="inlineStr">
        <is>
          <t>Each sheet is a real Excel table sized for 600 cases, 300 hearings and 250 document reviews. Add rows inside the table so formulas and dropdowns copy down automatically.</t>
        </is>
      </c>
    </row>
    <row r="35" ht="32" customHeight="1">
      <c r="B35" s="83" t="inlineStr">
        <is>
          <t>One row per case, one row per hearing</t>
        </is>
      </c>
      <c r="C35" s="84" t="inlineStr">
        <is>
          <t>Do not merge cells in the data areas and do not leave blank rows in the middle of the table - filters and counts will skip them.</t>
        </is>
      </c>
    </row>
    <row r="36" ht="32" customHeight="1">
      <c r="B36" s="85" t="inlineStr">
        <is>
          <t>Keep case numbers consistent</t>
        </is>
      </c>
      <c r="C36" s="86" t="inlineStr">
        <is>
          <t>The Hearing Calendar and Document Compliance sheets look cases up by case number. If a case number is edited in the Register, re-point the related rows.</t>
        </is>
      </c>
    </row>
    <row r="37" ht="32" customHeight="1">
      <c r="B37" s="83" t="inlineStr">
        <is>
          <t>Monthly snapshot</t>
        </is>
      </c>
      <c r="C37" s="84" t="inlineStr">
        <is>
          <t>At month end use File &gt; Save As to keep a read-only copy (e.g. CASES-2026-10.xlsx). Keep the working file as the live version.</t>
        </is>
      </c>
    </row>
    <row r="39" ht="24" customHeight="1">
      <c r="A39" s="82" t="inlineStr">
        <is>
          <t>6. DATA PRIVACY AND SECURITY (PHILIPPINES)</t>
        </is>
      </c>
    </row>
    <row r="40" ht="45" customHeight="1">
      <c r="B40" s="83" t="inlineStr">
        <is>
          <t>Sensitive records</t>
        </is>
      </c>
      <c r="C40" s="84" t="inlineStr">
        <is>
          <t>This file will contain names of accused, victims and witnesses. Store it on a restricted drive, use a password (File &gt; Info &gt; Protect Workbook) and limit access to authorised personnel under RA 10173 (Data Privacy Act).</t>
        </is>
      </c>
    </row>
    <row r="41" ht="45" customHeight="1">
      <c r="B41" s="85" t="inlineStr">
        <is>
          <t>Minors and sensitive cases</t>
        </is>
      </c>
      <c r="C41" s="86" t="inlineStr">
        <is>
          <t>For cases involving children, rape, VAWC or trafficking, use initials or codes instead of full names in the complainant and title columns (RA 7610, RA 9262, RA 9208). Keep the identifying details in a separate secured log.</t>
        </is>
      </c>
    </row>
    <row r="42" ht="32" customHeight="1">
      <c r="B42" s="83" t="inlineStr">
        <is>
          <t>Retention</t>
        </is>
      </c>
      <c r="C42" s="84" t="inlineStr">
        <is>
          <t>Follow your records retention schedule and the National Archives rules before destroying or archiving case records.</t>
        </is>
      </c>
    </row>
    <row r="43" ht="19" customHeight="1">
      <c r="B43" s="85" t="inlineStr">
        <is>
          <t>Sharing</t>
        </is>
      </c>
      <c r="C43" s="86" t="inlineStr">
        <is>
          <t>When emailing a report, send the dashboard printout or a PDF rather than the raw workbook.</t>
        </is>
      </c>
    </row>
    <row r="45" ht="24" customHeight="1">
      <c r="A45" s="82" t="inlineStr">
        <is>
          <t>7. TROUBLESHOOTING</t>
        </is>
      </c>
    </row>
    <row r="46" ht="32" customHeight="1">
      <c r="B46" s="83" t="inlineStr">
        <is>
          <t>A dropdown is missing</t>
        </is>
      </c>
      <c r="C46" s="84" t="inlineStr">
        <is>
          <t>Check the Lists sheet: if the block header or the range was deleted, the named range breaks. Restore the block and its items.</t>
        </is>
      </c>
    </row>
    <row r="47" ht="32" customHeight="1">
      <c r="B47" s="85" t="inlineStr">
        <is>
          <t>Dashboard shows zero</t>
        </is>
      </c>
      <c r="C47" s="86" t="inlineStr">
        <is>
          <t>Confirm the case rows are inside the table and that CASE NO. is filled in - every formula is gated on the case number.</t>
        </is>
      </c>
    </row>
    <row r="48" ht="19" customHeight="1">
      <c r="B48" s="83" t="inlineStr">
        <is>
          <t>#N/A in a hearing row</t>
        </is>
      </c>
      <c r="C48" s="84" t="inlineStr">
        <is>
          <t>The case number typed in the Hearing Calendar does not exist in the Register. Pick it from the dropdown.</t>
        </is>
      </c>
    </row>
    <row r="49" ht="19" customHeight="1">
      <c r="B49" s="85" t="inlineStr">
        <is>
          <t>Chart does not update</t>
        </is>
      </c>
      <c r="C49" s="86" t="inlineStr">
        <is>
          <t>Charts read the Analysis sheet. Press F9 (or Ctrl+Alt+F9) to force a full recalculation.</t>
        </is>
      </c>
    </row>
    <row r="51">
      <c r="A51" s="87" t="inlineStr">
        <is>
          <t>Prepared for local government case monitoring. Every figure in this workbook is a live formula - if a number looks wrong, check the source rows in the Case Register, Hearing Calendar or Document Compliance sheet.</t>
        </is>
      </c>
    </row>
  </sheetData>
  <mergeCells count="9">
    <mergeCell ref="A1:C1"/>
    <mergeCell ref="A45:C45"/>
    <mergeCell ref="A32:C32"/>
    <mergeCell ref="A8:C8"/>
    <mergeCell ref="A3:C3"/>
    <mergeCell ref="A39:C39"/>
    <mergeCell ref="A24:C24"/>
    <mergeCell ref="A16:C16"/>
    <mergeCell ref="A51:C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Case Monitoring Office</dc:creator>
  <dc:title>LGU Criminal Case Monitoring System</dc:title>
  <dc:description>Formula-driven case register, hearing calendar, document compliance monitor and dashboard.</dc:description>
  <dc:subject>Criminal case monitoring, ageing and compliance tracker for a Philippine local government unit</dc:subject>
  <dcterms:created xsi:type="dcterms:W3CDTF">2026-10-21T12:15:53Z</dcterms:created>
  <dcterms:modified xsi:type="dcterms:W3CDTF">2026-10-21T12:15:58Z</dcterms:modified>
  <cp:category>Case Management</cp:category>
  <cp:keywords>criminal cases; LGU; Philippines; case monitoring; dashboard</cp:keywords>
</cp:coreProperties>
</file>